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eget\OneDrive\Рабочий стол\"/>
    </mc:Choice>
  </mc:AlternateContent>
  <bookViews>
    <workbookView xWindow="0" yWindow="0" windowWidth="10245" windowHeight="11835" activeTab="5"/>
  </bookViews>
  <sheets>
    <sheet name="financial data" sheetId="2" r:id="rId1"/>
    <sheet name="prolongations" sheetId="1" r:id="rId2"/>
    <sheet name="financial data unpivot" sheetId="7" r:id="rId3"/>
    <sheet name="Весь отдел" sheetId="3" r:id="rId4"/>
    <sheet name="Менеджер за год" sheetId="4" r:id="rId5"/>
    <sheet name="Менеджеры по месяцам" sheetId="5" r:id="rId6"/>
  </sheets>
  <externalReferences>
    <externalReference r:id="rId7"/>
  </externalReferences>
  <definedNames>
    <definedName name="_xlnm._FilterDatabase" localSheetId="1" hidden="1">prolongations!$A$1:$C$1000</definedName>
    <definedName name="ExternalData_1" localSheetId="2" hidden="1">'financial data unpivot'!$A$1:$E$2597</definedName>
  </definedNames>
  <calcPr calcId="162913"/>
</workbook>
</file>

<file path=xl/calcChain.xml><?xml version="1.0" encoding="utf-8"?>
<calcChain xmlns="http://schemas.openxmlformats.org/spreadsheetml/2006/main">
  <c r="O19" i="5" l="1"/>
  <c r="O20" i="5"/>
  <c r="O22" i="5"/>
  <c r="O23" i="5"/>
  <c r="O26" i="5"/>
  <c r="O27" i="5"/>
  <c r="O28" i="5"/>
  <c r="O7" i="5"/>
  <c r="O12" i="5"/>
  <c r="O13" i="5"/>
  <c r="N25" i="5"/>
  <c r="N26" i="5"/>
  <c r="N27" i="5"/>
  <c r="N28" i="5"/>
  <c r="M20" i="5"/>
  <c r="M25" i="5"/>
  <c r="M26" i="5"/>
  <c r="M27" i="5"/>
  <c r="M28" i="5"/>
  <c r="L20" i="5"/>
  <c r="L25" i="5"/>
  <c r="L26" i="5"/>
  <c r="L28" i="5"/>
  <c r="K26" i="5"/>
  <c r="K27" i="5"/>
  <c r="K28" i="5"/>
  <c r="J25" i="5"/>
  <c r="J26" i="5"/>
  <c r="J27" i="5"/>
  <c r="J28" i="5"/>
  <c r="I26" i="5"/>
  <c r="I27" i="5"/>
  <c r="I28" i="5"/>
  <c r="H20" i="5"/>
  <c r="H26" i="5"/>
  <c r="H27" i="5"/>
  <c r="H28" i="5"/>
  <c r="G20" i="5"/>
  <c r="G26" i="5"/>
  <c r="G27" i="5"/>
  <c r="G28" i="5"/>
  <c r="F20" i="5"/>
  <c r="F22" i="5"/>
  <c r="F26" i="5"/>
  <c r="F27" i="5"/>
  <c r="F28" i="5"/>
  <c r="E20" i="5"/>
  <c r="E21" i="5"/>
  <c r="E22" i="5"/>
  <c r="E23" i="5"/>
  <c r="E24" i="5"/>
  <c r="E25" i="5"/>
  <c r="E26" i="5"/>
  <c r="E27" i="5"/>
  <c r="E28" i="5"/>
  <c r="E19" i="5"/>
  <c r="F19" i="5"/>
  <c r="D24" i="5"/>
  <c r="D26" i="5"/>
  <c r="D27" i="5"/>
  <c r="D28" i="5"/>
  <c r="N5" i="5"/>
  <c r="N7" i="5"/>
  <c r="N8" i="5"/>
  <c r="N11" i="5"/>
  <c r="N12" i="5"/>
  <c r="N13" i="5"/>
  <c r="M10" i="5"/>
  <c r="M11" i="5"/>
  <c r="M12" i="5"/>
  <c r="M13" i="5"/>
  <c r="L5" i="5"/>
  <c r="L10" i="5"/>
  <c r="L11" i="5"/>
  <c r="L12" i="5"/>
  <c r="L13" i="5"/>
  <c r="K5" i="5"/>
  <c r="K10" i="5"/>
  <c r="K11" i="5"/>
  <c r="K13" i="5"/>
  <c r="J11" i="5"/>
  <c r="J12" i="5"/>
  <c r="J13" i="5"/>
  <c r="I10" i="5"/>
  <c r="I11" i="5"/>
  <c r="I12" i="5"/>
  <c r="I13" i="5"/>
  <c r="H11" i="5"/>
  <c r="H12" i="5"/>
  <c r="H13" i="5"/>
  <c r="G5" i="5"/>
  <c r="G11" i="5"/>
  <c r="G12" i="5"/>
  <c r="G13" i="5"/>
  <c r="F5" i="5"/>
  <c r="F11" i="5"/>
  <c r="F12" i="5"/>
  <c r="F13" i="5"/>
  <c r="E5" i="5"/>
  <c r="E7" i="5"/>
  <c r="E11" i="5"/>
  <c r="E12" i="5"/>
  <c r="E13" i="5"/>
  <c r="E4" i="5"/>
  <c r="D11" i="5"/>
  <c r="D12" i="5"/>
  <c r="D13" i="5"/>
  <c r="K451" i="7"/>
  <c r="J7" i="7"/>
  <c r="J20" i="7"/>
  <c r="J18" i="7"/>
  <c r="J17" i="7"/>
  <c r="J167" i="7"/>
  <c r="J23" i="7"/>
  <c r="K18" i="7"/>
  <c r="J2" i="7"/>
  <c r="K2" i="7" l="1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9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753" i="7"/>
  <c r="K754" i="7"/>
  <c r="K755" i="7"/>
  <c r="K756" i="7"/>
  <c r="K757" i="7"/>
  <c r="K758" i="7"/>
  <c r="K759" i="7"/>
  <c r="K760" i="7"/>
  <c r="K761" i="7"/>
  <c r="K762" i="7"/>
  <c r="K763" i="7"/>
  <c r="K764" i="7"/>
  <c r="K765" i="7"/>
  <c r="K766" i="7"/>
  <c r="K767" i="7"/>
  <c r="K768" i="7"/>
  <c r="K769" i="7"/>
  <c r="K770" i="7"/>
  <c r="K771" i="7"/>
  <c r="K772" i="7"/>
  <c r="K773" i="7"/>
  <c r="K774" i="7"/>
  <c r="K775" i="7"/>
  <c r="K776" i="7"/>
  <c r="K777" i="7"/>
  <c r="K778" i="7"/>
  <c r="K779" i="7"/>
  <c r="K780" i="7"/>
  <c r="K781" i="7"/>
  <c r="K782" i="7"/>
  <c r="K783" i="7"/>
  <c r="K784" i="7"/>
  <c r="K785" i="7"/>
  <c r="K786" i="7"/>
  <c r="K787" i="7"/>
  <c r="K788" i="7"/>
  <c r="K790" i="7"/>
  <c r="K791" i="7"/>
  <c r="K792" i="7"/>
  <c r="K793" i="7"/>
  <c r="K794" i="7"/>
  <c r="K795" i="7"/>
  <c r="K796" i="7"/>
  <c r="K797" i="7"/>
  <c r="K798" i="7"/>
  <c r="K799" i="7"/>
  <c r="K800" i="7"/>
  <c r="K801" i="7"/>
  <c r="K802" i="7"/>
  <c r="K803" i="7"/>
  <c r="K804" i="7"/>
  <c r="K806" i="7"/>
  <c r="K807" i="7"/>
  <c r="K808" i="7"/>
  <c r="K809" i="7"/>
  <c r="K810" i="7"/>
  <c r="K811" i="7"/>
  <c r="K812" i="7"/>
  <c r="K813" i="7"/>
  <c r="K814" i="7"/>
  <c r="K815" i="7"/>
  <c r="K816" i="7"/>
  <c r="K817" i="7"/>
  <c r="K818" i="7"/>
  <c r="K819" i="7"/>
  <c r="K820" i="7"/>
  <c r="K821" i="7"/>
  <c r="K822" i="7"/>
  <c r="K823" i="7"/>
  <c r="K824" i="7"/>
  <c r="K825" i="7"/>
  <c r="K826" i="7"/>
  <c r="K827" i="7"/>
  <c r="K828" i="7"/>
  <c r="K829" i="7"/>
  <c r="K830" i="7"/>
  <c r="K831" i="7"/>
  <c r="K832" i="7"/>
  <c r="K833" i="7"/>
  <c r="K834" i="7"/>
  <c r="K835" i="7"/>
  <c r="K836" i="7"/>
  <c r="K837" i="7"/>
  <c r="K838" i="7"/>
  <c r="K839" i="7"/>
  <c r="K840" i="7"/>
  <c r="K841" i="7"/>
  <c r="K842" i="7"/>
  <c r="K843" i="7"/>
  <c r="K844" i="7"/>
  <c r="K845" i="7"/>
  <c r="K846" i="7"/>
  <c r="K847" i="7"/>
  <c r="K848" i="7"/>
  <c r="K849" i="7"/>
  <c r="K850" i="7"/>
  <c r="K851" i="7"/>
  <c r="K852" i="7"/>
  <c r="K853" i="7"/>
  <c r="K854" i="7"/>
  <c r="K855" i="7"/>
  <c r="K856" i="7"/>
  <c r="K857" i="7"/>
  <c r="K858" i="7"/>
  <c r="K859" i="7"/>
  <c r="K860" i="7"/>
  <c r="K861" i="7"/>
  <c r="K862" i="7"/>
  <c r="K863" i="7"/>
  <c r="K864" i="7"/>
  <c r="K865" i="7"/>
  <c r="K866" i="7"/>
  <c r="K867" i="7"/>
  <c r="K868" i="7"/>
  <c r="K869" i="7"/>
  <c r="K870" i="7"/>
  <c r="K871" i="7"/>
  <c r="K872" i="7"/>
  <c r="K873" i="7"/>
  <c r="K874" i="7"/>
  <c r="K875" i="7"/>
  <c r="K876" i="7"/>
  <c r="K877" i="7"/>
  <c r="K878" i="7"/>
  <c r="K879" i="7"/>
  <c r="K880" i="7"/>
  <c r="K881" i="7"/>
  <c r="K882" i="7"/>
  <c r="K883" i="7"/>
  <c r="K884" i="7"/>
  <c r="K885" i="7"/>
  <c r="K886" i="7"/>
  <c r="K887" i="7"/>
  <c r="K888" i="7"/>
  <c r="K889" i="7"/>
  <c r="K890" i="7"/>
  <c r="K891" i="7"/>
  <c r="K892" i="7"/>
  <c r="K893" i="7"/>
  <c r="K894" i="7"/>
  <c r="K895" i="7"/>
  <c r="K896" i="7"/>
  <c r="K897" i="7"/>
  <c r="K898" i="7"/>
  <c r="K899" i="7"/>
  <c r="K900" i="7"/>
  <c r="K901" i="7"/>
  <c r="K902" i="7"/>
  <c r="K903" i="7"/>
  <c r="K904" i="7"/>
  <c r="K905" i="7"/>
  <c r="K906" i="7"/>
  <c r="K907" i="7"/>
  <c r="K908" i="7"/>
  <c r="K909" i="7"/>
  <c r="K910" i="7"/>
  <c r="K911" i="7"/>
  <c r="K912" i="7"/>
  <c r="K913" i="7"/>
  <c r="K914" i="7"/>
  <c r="K915" i="7"/>
  <c r="K916" i="7"/>
  <c r="K917" i="7"/>
  <c r="K918" i="7"/>
  <c r="K919" i="7"/>
  <c r="K920" i="7"/>
  <c r="K921" i="7"/>
  <c r="K922" i="7"/>
  <c r="K923" i="7"/>
  <c r="K924" i="7"/>
  <c r="K925" i="7"/>
  <c r="K926" i="7"/>
  <c r="K927" i="7"/>
  <c r="K928" i="7"/>
  <c r="K929" i="7"/>
  <c r="K930" i="7"/>
  <c r="K931" i="7"/>
  <c r="K932" i="7"/>
  <c r="K933" i="7"/>
  <c r="K934" i="7"/>
  <c r="K935" i="7"/>
  <c r="K936" i="7"/>
  <c r="K937" i="7"/>
  <c r="K938" i="7"/>
  <c r="K939" i="7"/>
  <c r="K940" i="7"/>
  <c r="K941" i="7"/>
  <c r="K942" i="7"/>
  <c r="K943" i="7"/>
  <c r="K944" i="7"/>
  <c r="K945" i="7"/>
  <c r="K946" i="7"/>
  <c r="K947" i="7"/>
  <c r="K948" i="7"/>
  <c r="K949" i="7"/>
  <c r="K950" i="7"/>
  <c r="K951" i="7"/>
  <c r="K952" i="7"/>
  <c r="K953" i="7"/>
  <c r="K954" i="7"/>
  <c r="K955" i="7"/>
  <c r="K956" i="7"/>
  <c r="K957" i="7"/>
  <c r="K958" i="7"/>
  <c r="K959" i="7"/>
  <c r="K960" i="7"/>
  <c r="K961" i="7"/>
  <c r="K962" i="7"/>
  <c r="K963" i="7"/>
  <c r="K964" i="7"/>
  <c r="K965" i="7"/>
  <c r="K966" i="7"/>
  <c r="K967" i="7"/>
  <c r="K968" i="7"/>
  <c r="K969" i="7"/>
  <c r="K970" i="7"/>
  <c r="K971" i="7"/>
  <c r="K972" i="7"/>
  <c r="K973" i="7"/>
  <c r="K974" i="7"/>
  <c r="K975" i="7"/>
  <c r="K976" i="7"/>
  <c r="K977" i="7"/>
  <c r="K978" i="7"/>
  <c r="K979" i="7"/>
  <c r="K980" i="7"/>
  <c r="K981" i="7"/>
  <c r="K982" i="7"/>
  <c r="K983" i="7"/>
  <c r="K984" i="7"/>
  <c r="K985" i="7"/>
  <c r="K986" i="7"/>
  <c r="K987" i="7"/>
  <c r="K988" i="7"/>
  <c r="K989" i="7"/>
  <c r="K990" i="7"/>
  <c r="K991" i="7"/>
  <c r="K992" i="7"/>
  <c r="K993" i="7"/>
  <c r="K994" i="7"/>
  <c r="K995" i="7"/>
  <c r="K996" i="7"/>
  <c r="K997" i="7"/>
  <c r="K998" i="7"/>
  <c r="K999" i="7"/>
  <c r="K1000" i="7"/>
  <c r="K1001" i="7"/>
  <c r="K1002" i="7"/>
  <c r="K1003" i="7"/>
  <c r="K1004" i="7"/>
  <c r="K1005" i="7"/>
  <c r="K1006" i="7"/>
  <c r="K1007" i="7"/>
  <c r="K1008" i="7"/>
  <c r="K1009" i="7"/>
  <c r="K1010" i="7"/>
  <c r="K1011" i="7"/>
  <c r="K1012" i="7"/>
  <c r="K1013" i="7"/>
  <c r="K1014" i="7"/>
  <c r="K1015" i="7"/>
  <c r="K1016" i="7"/>
  <c r="K1017" i="7"/>
  <c r="K1018" i="7"/>
  <c r="K1019" i="7"/>
  <c r="K1020" i="7"/>
  <c r="K1021" i="7"/>
  <c r="K1022" i="7"/>
  <c r="K1023" i="7"/>
  <c r="K1024" i="7"/>
  <c r="K1025" i="7"/>
  <c r="K1026" i="7"/>
  <c r="K1027" i="7"/>
  <c r="K1028" i="7"/>
  <c r="K1029" i="7"/>
  <c r="K1030" i="7"/>
  <c r="K1031" i="7"/>
  <c r="K1032" i="7"/>
  <c r="K1033" i="7"/>
  <c r="K1034" i="7"/>
  <c r="K1035" i="7"/>
  <c r="K1036" i="7"/>
  <c r="K1037" i="7"/>
  <c r="K1038" i="7"/>
  <c r="K1039" i="7"/>
  <c r="K1040" i="7"/>
  <c r="K1041" i="7"/>
  <c r="K1042" i="7"/>
  <c r="K1043" i="7"/>
  <c r="K1044" i="7"/>
  <c r="K1045" i="7"/>
  <c r="K1046" i="7"/>
  <c r="K1047" i="7"/>
  <c r="K1048" i="7"/>
  <c r="K1049" i="7"/>
  <c r="K1050" i="7"/>
  <c r="K1051" i="7"/>
  <c r="K1052" i="7"/>
  <c r="K1053" i="7"/>
  <c r="K1054" i="7"/>
  <c r="K1055" i="7"/>
  <c r="K1056" i="7"/>
  <c r="K1057" i="7"/>
  <c r="K1058" i="7"/>
  <c r="K1059" i="7"/>
  <c r="K1060" i="7"/>
  <c r="K1061" i="7"/>
  <c r="K1062" i="7"/>
  <c r="K1063" i="7"/>
  <c r="K1064" i="7"/>
  <c r="K1065" i="7"/>
  <c r="K1066" i="7"/>
  <c r="K1067" i="7"/>
  <c r="K1068" i="7"/>
  <c r="K1069" i="7"/>
  <c r="K1070" i="7"/>
  <c r="K1071" i="7"/>
  <c r="K1072" i="7"/>
  <c r="K1073" i="7"/>
  <c r="K1074" i="7"/>
  <c r="K1075" i="7"/>
  <c r="K1076" i="7"/>
  <c r="K1077" i="7"/>
  <c r="K1078" i="7"/>
  <c r="K1079" i="7"/>
  <c r="K1080" i="7"/>
  <c r="K1081" i="7"/>
  <c r="K1082" i="7"/>
  <c r="K1083" i="7"/>
  <c r="K1084" i="7"/>
  <c r="K1085" i="7"/>
  <c r="K1086" i="7"/>
  <c r="K1087" i="7"/>
  <c r="K1088" i="7"/>
  <c r="K1089" i="7"/>
  <c r="K1090" i="7"/>
  <c r="K1091" i="7"/>
  <c r="K1092" i="7"/>
  <c r="K1093" i="7"/>
  <c r="K1094" i="7"/>
  <c r="K1095" i="7"/>
  <c r="K1096" i="7"/>
  <c r="K1097" i="7"/>
  <c r="K1098" i="7"/>
  <c r="K1099" i="7"/>
  <c r="K1100" i="7"/>
  <c r="K1101" i="7"/>
  <c r="K1102" i="7"/>
  <c r="K1103" i="7"/>
  <c r="K1104" i="7"/>
  <c r="K1105" i="7"/>
  <c r="K1106" i="7"/>
  <c r="K1107" i="7"/>
  <c r="K1108" i="7"/>
  <c r="K1109" i="7"/>
  <c r="K1110" i="7"/>
  <c r="K1111" i="7"/>
  <c r="K1112" i="7"/>
  <c r="K1113" i="7"/>
  <c r="K1114" i="7"/>
  <c r="K1115" i="7"/>
  <c r="K1116" i="7"/>
  <c r="K1117" i="7"/>
  <c r="K1118" i="7"/>
  <c r="K1119" i="7"/>
  <c r="K1120" i="7"/>
  <c r="K1121" i="7"/>
  <c r="K1122" i="7"/>
  <c r="K1123" i="7"/>
  <c r="K1124" i="7"/>
  <c r="K1125" i="7"/>
  <c r="K1126" i="7"/>
  <c r="K1127" i="7"/>
  <c r="K1128" i="7"/>
  <c r="K1129" i="7"/>
  <c r="K1130" i="7"/>
  <c r="K1131" i="7"/>
  <c r="K1132" i="7"/>
  <c r="K1133" i="7"/>
  <c r="K1134" i="7"/>
  <c r="K1135" i="7"/>
  <c r="K1136" i="7"/>
  <c r="K1137" i="7"/>
  <c r="K1138" i="7"/>
  <c r="K1139" i="7"/>
  <c r="K1140" i="7"/>
  <c r="K1141" i="7"/>
  <c r="K1142" i="7"/>
  <c r="K1143" i="7"/>
  <c r="K1144" i="7"/>
  <c r="K1145" i="7"/>
  <c r="K1146" i="7"/>
  <c r="K1147" i="7"/>
  <c r="K1148" i="7"/>
  <c r="K1149" i="7"/>
  <c r="K1150" i="7"/>
  <c r="K1151" i="7"/>
  <c r="K1152" i="7"/>
  <c r="K1153" i="7"/>
  <c r="K1154" i="7"/>
  <c r="K1155" i="7"/>
  <c r="K1156" i="7"/>
  <c r="K1158" i="7"/>
  <c r="K1159" i="7"/>
  <c r="K1160" i="7"/>
  <c r="K1161" i="7"/>
  <c r="K1162" i="7"/>
  <c r="K1163" i="7"/>
  <c r="K1164" i="7"/>
  <c r="K1165" i="7"/>
  <c r="K1167" i="7"/>
  <c r="K1168" i="7"/>
  <c r="K1169" i="7"/>
  <c r="K1170" i="7"/>
  <c r="K1171" i="7"/>
  <c r="K1172" i="7"/>
  <c r="K1173" i="7"/>
  <c r="K1174" i="7"/>
  <c r="K1175" i="7"/>
  <c r="K1176" i="7"/>
  <c r="K1177" i="7"/>
  <c r="K1178" i="7"/>
  <c r="K1179" i="7"/>
  <c r="K1180" i="7"/>
  <c r="K1181" i="7"/>
  <c r="K1182" i="7"/>
  <c r="K1183" i="7"/>
  <c r="K1184" i="7"/>
  <c r="K1185" i="7"/>
  <c r="K1186" i="7"/>
  <c r="K1187" i="7"/>
  <c r="K1188" i="7"/>
  <c r="K1189" i="7"/>
  <c r="K1190" i="7"/>
  <c r="K1191" i="7"/>
  <c r="K1192" i="7"/>
  <c r="K1193" i="7"/>
  <c r="K1194" i="7"/>
  <c r="K1195" i="7"/>
  <c r="K1196" i="7"/>
  <c r="K1197" i="7"/>
  <c r="K1198" i="7"/>
  <c r="K1199" i="7"/>
  <c r="K1200" i="7"/>
  <c r="K1201" i="7"/>
  <c r="K1202" i="7"/>
  <c r="K1203" i="7"/>
  <c r="K1204" i="7"/>
  <c r="K1205" i="7"/>
  <c r="K1206" i="7"/>
  <c r="K1207" i="7"/>
  <c r="K1208" i="7"/>
  <c r="K1209" i="7"/>
  <c r="K1210" i="7"/>
  <c r="K1211" i="7"/>
  <c r="K1212" i="7"/>
  <c r="K1214" i="7"/>
  <c r="K1216" i="7"/>
  <c r="K1217" i="7"/>
  <c r="K1218" i="7"/>
  <c r="K1219" i="7"/>
  <c r="K1220" i="7"/>
  <c r="K1221" i="7"/>
  <c r="K1222" i="7"/>
  <c r="K1223" i="7"/>
  <c r="K1224" i="7"/>
  <c r="K1225" i="7"/>
  <c r="K1226" i="7"/>
  <c r="K1227" i="7"/>
  <c r="K1228" i="7"/>
  <c r="K1229" i="7"/>
  <c r="K1230" i="7"/>
  <c r="K1231" i="7"/>
  <c r="K1232" i="7"/>
  <c r="K1233" i="7"/>
  <c r="K1234" i="7"/>
  <c r="K1235" i="7"/>
  <c r="K1236" i="7"/>
  <c r="K1237" i="7"/>
  <c r="K1238" i="7"/>
  <c r="K1239" i="7"/>
  <c r="K1240" i="7"/>
  <c r="K1241" i="7"/>
  <c r="K1242" i="7"/>
  <c r="K1243" i="7"/>
  <c r="K1244" i="7"/>
  <c r="K1245" i="7"/>
  <c r="K1246" i="7"/>
  <c r="K1247" i="7"/>
  <c r="K1249" i="7"/>
  <c r="K1250" i="7"/>
  <c r="K1251" i="7"/>
  <c r="K1252" i="7"/>
  <c r="K1253" i="7"/>
  <c r="K1254" i="7"/>
  <c r="K1255" i="7"/>
  <c r="K1256" i="7"/>
  <c r="K1257" i="7"/>
  <c r="K1258" i="7"/>
  <c r="K1259" i="7"/>
  <c r="K1260" i="7"/>
  <c r="K1261" i="7"/>
  <c r="K1262" i="7"/>
  <c r="K1263" i="7"/>
  <c r="K1264" i="7"/>
  <c r="K1265" i="7"/>
  <c r="K1266" i="7"/>
  <c r="K1267" i="7"/>
  <c r="K1268" i="7"/>
  <c r="K1269" i="7"/>
  <c r="K1270" i="7"/>
  <c r="K1271" i="7"/>
  <c r="K1272" i="7"/>
  <c r="K1273" i="7"/>
  <c r="K1274" i="7"/>
  <c r="K1275" i="7"/>
  <c r="K1276" i="7"/>
  <c r="K1277" i="7"/>
  <c r="K1278" i="7"/>
  <c r="K1279" i="7"/>
  <c r="K1280" i="7"/>
  <c r="K1281" i="7"/>
  <c r="K1282" i="7"/>
  <c r="K1283" i="7"/>
  <c r="K1284" i="7"/>
  <c r="K1285" i="7"/>
  <c r="K1286" i="7"/>
  <c r="K1287" i="7"/>
  <c r="K1288" i="7"/>
  <c r="K1289" i="7"/>
  <c r="K1290" i="7"/>
  <c r="K1291" i="7"/>
  <c r="K1292" i="7"/>
  <c r="K1293" i="7"/>
  <c r="K1294" i="7"/>
  <c r="K1295" i="7"/>
  <c r="K1296" i="7"/>
  <c r="K1297" i="7"/>
  <c r="K1298" i="7"/>
  <c r="K1299" i="7"/>
  <c r="K1300" i="7"/>
  <c r="K1301" i="7"/>
  <c r="K1302" i="7"/>
  <c r="K1303" i="7"/>
  <c r="K1304" i="7"/>
  <c r="K1305" i="7"/>
  <c r="K1306" i="7"/>
  <c r="K1307" i="7"/>
  <c r="K1308" i="7"/>
  <c r="K1309" i="7"/>
  <c r="K1310" i="7"/>
  <c r="K1311" i="7"/>
  <c r="K1312" i="7"/>
  <c r="K1313" i="7"/>
  <c r="K1314" i="7"/>
  <c r="K1315" i="7"/>
  <c r="K1316" i="7"/>
  <c r="K1317" i="7"/>
  <c r="K1318" i="7"/>
  <c r="K1319" i="7"/>
  <c r="K1320" i="7"/>
  <c r="K1321" i="7"/>
  <c r="K1322" i="7"/>
  <c r="K1323" i="7"/>
  <c r="K1324" i="7"/>
  <c r="K1325" i="7"/>
  <c r="K1326" i="7"/>
  <c r="K1327" i="7"/>
  <c r="K1328" i="7"/>
  <c r="K1329" i="7"/>
  <c r="K1330" i="7"/>
  <c r="K1331" i="7"/>
  <c r="K1332" i="7"/>
  <c r="K1333" i="7"/>
  <c r="K1334" i="7"/>
  <c r="K1335" i="7"/>
  <c r="K1336" i="7"/>
  <c r="K1337" i="7"/>
  <c r="K1338" i="7"/>
  <c r="K1339" i="7"/>
  <c r="K1340" i="7"/>
  <c r="K1341" i="7"/>
  <c r="K1342" i="7"/>
  <c r="K1343" i="7"/>
  <c r="K1344" i="7"/>
  <c r="K1345" i="7"/>
  <c r="K1346" i="7"/>
  <c r="K1347" i="7"/>
  <c r="K1348" i="7"/>
  <c r="K1349" i="7"/>
  <c r="K1350" i="7"/>
  <c r="K1351" i="7"/>
  <c r="K1352" i="7"/>
  <c r="K1353" i="7"/>
  <c r="K1354" i="7"/>
  <c r="K1355" i="7"/>
  <c r="K1356" i="7"/>
  <c r="K1357" i="7"/>
  <c r="K1358" i="7"/>
  <c r="K1359" i="7"/>
  <c r="K1360" i="7"/>
  <c r="K1361" i="7"/>
  <c r="K1362" i="7"/>
  <c r="K1363" i="7"/>
  <c r="K1364" i="7"/>
  <c r="K1365" i="7"/>
  <c r="K1366" i="7"/>
  <c r="K1367" i="7"/>
  <c r="K1368" i="7"/>
  <c r="K1369" i="7"/>
  <c r="K1370" i="7"/>
  <c r="K1371" i="7"/>
  <c r="K1372" i="7"/>
  <c r="K1373" i="7"/>
  <c r="K1374" i="7"/>
  <c r="K1375" i="7"/>
  <c r="K1376" i="7"/>
  <c r="K1377" i="7"/>
  <c r="K1378" i="7"/>
  <c r="K1379" i="7"/>
  <c r="K1380" i="7"/>
  <c r="K1381" i="7"/>
  <c r="K1382" i="7"/>
  <c r="K1383" i="7"/>
  <c r="K1384" i="7"/>
  <c r="K1385" i="7"/>
  <c r="K1386" i="7"/>
  <c r="K1387" i="7"/>
  <c r="K1388" i="7"/>
  <c r="K1389" i="7"/>
  <c r="K1390" i="7"/>
  <c r="K1391" i="7"/>
  <c r="K1392" i="7"/>
  <c r="K1393" i="7"/>
  <c r="K1394" i="7"/>
  <c r="K1395" i="7"/>
  <c r="K1396" i="7"/>
  <c r="K1397" i="7"/>
  <c r="K1399" i="7"/>
  <c r="K1400" i="7"/>
  <c r="K1401" i="7"/>
  <c r="K1402" i="7"/>
  <c r="K1403" i="7"/>
  <c r="K1404" i="7"/>
  <c r="K1405" i="7"/>
  <c r="K1406" i="7"/>
  <c r="K1407" i="7"/>
  <c r="K1408" i="7"/>
  <c r="K1409" i="7"/>
  <c r="K1410" i="7"/>
  <c r="K1411" i="7"/>
  <c r="K1412" i="7"/>
  <c r="K1413" i="7"/>
  <c r="K1414" i="7"/>
  <c r="K1415" i="7"/>
  <c r="K1416" i="7"/>
  <c r="K1417" i="7"/>
  <c r="K1418" i="7"/>
  <c r="K1419" i="7"/>
  <c r="K1420" i="7"/>
  <c r="K1421" i="7"/>
  <c r="K1422" i="7"/>
  <c r="K1423" i="7"/>
  <c r="K1424" i="7"/>
  <c r="K1425" i="7"/>
  <c r="K1426" i="7"/>
  <c r="K1427" i="7"/>
  <c r="K1428" i="7"/>
  <c r="K1429" i="7"/>
  <c r="K1430" i="7"/>
  <c r="K1431" i="7"/>
  <c r="K1432" i="7"/>
  <c r="K1433" i="7"/>
  <c r="K1434" i="7"/>
  <c r="K1435" i="7"/>
  <c r="K1436" i="7"/>
  <c r="K1437" i="7"/>
  <c r="K1438" i="7"/>
  <c r="K1439" i="7"/>
  <c r="K1440" i="7"/>
  <c r="K1441" i="7"/>
  <c r="K1442" i="7"/>
  <c r="K1443" i="7"/>
  <c r="K1444" i="7"/>
  <c r="K1445" i="7"/>
  <c r="K1446" i="7"/>
  <c r="K1447" i="7"/>
  <c r="K1448" i="7"/>
  <c r="K1449" i="7"/>
  <c r="K1450" i="7"/>
  <c r="K1451" i="7"/>
  <c r="K1452" i="7"/>
  <c r="K1453" i="7"/>
  <c r="K1454" i="7"/>
  <c r="K1455" i="7"/>
  <c r="K1456" i="7"/>
  <c r="K1457" i="7"/>
  <c r="K1458" i="7"/>
  <c r="K1459" i="7"/>
  <c r="K1460" i="7"/>
  <c r="K1461" i="7"/>
  <c r="K1462" i="7"/>
  <c r="K1463" i="7"/>
  <c r="K1464" i="7"/>
  <c r="K1465" i="7"/>
  <c r="K1466" i="7"/>
  <c r="K1467" i="7"/>
  <c r="K1468" i="7"/>
  <c r="K1469" i="7"/>
  <c r="K1470" i="7"/>
  <c r="K1471" i="7"/>
  <c r="K1472" i="7"/>
  <c r="K1473" i="7"/>
  <c r="K1474" i="7"/>
  <c r="K1475" i="7"/>
  <c r="K1476" i="7"/>
  <c r="K1477" i="7"/>
  <c r="K1478" i="7"/>
  <c r="K1479" i="7"/>
  <c r="K1480" i="7"/>
  <c r="K1481" i="7"/>
  <c r="K1482" i="7"/>
  <c r="K1483" i="7"/>
  <c r="K1484" i="7"/>
  <c r="K1485" i="7"/>
  <c r="K1486" i="7"/>
  <c r="K1487" i="7"/>
  <c r="K1488" i="7"/>
  <c r="K1489" i="7"/>
  <c r="K1490" i="7"/>
  <c r="K1491" i="7"/>
  <c r="K1492" i="7"/>
  <c r="K1493" i="7"/>
  <c r="K1494" i="7"/>
  <c r="K1495" i="7"/>
  <c r="K1496" i="7"/>
  <c r="K1497" i="7"/>
  <c r="K1498" i="7"/>
  <c r="K1499" i="7"/>
  <c r="K1500" i="7"/>
  <c r="K1501" i="7"/>
  <c r="K1502" i="7"/>
  <c r="K1503" i="7"/>
  <c r="K1504" i="7"/>
  <c r="K1505" i="7"/>
  <c r="K1506" i="7"/>
  <c r="K1507" i="7"/>
  <c r="K1508" i="7"/>
  <c r="K1509" i="7"/>
  <c r="K1510" i="7"/>
  <c r="K1511" i="7"/>
  <c r="K1512" i="7"/>
  <c r="K1513" i="7"/>
  <c r="K1514" i="7"/>
  <c r="K1515" i="7"/>
  <c r="K1516" i="7"/>
  <c r="K1517" i="7"/>
  <c r="K1518" i="7"/>
  <c r="K1519" i="7"/>
  <c r="K1520" i="7"/>
  <c r="K1521" i="7"/>
  <c r="K1522" i="7"/>
  <c r="K1523" i="7"/>
  <c r="K1524" i="7"/>
  <c r="K1525" i="7"/>
  <c r="K1526" i="7"/>
  <c r="K1527" i="7"/>
  <c r="K1528" i="7"/>
  <c r="K1529" i="7"/>
  <c r="K1530" i="7"/>
  <c r="K1531" i="7"/>
  <c r="K1532" i="7"/>
  <c r="K1533" i="7"/>
  <c r="K1534" i="7"/>
  <c r="K1535" i="7"/>
  <c r="K1536" i="7"/>
  <c r="K1537" i="7"/>
  <c r="K1538" i="7"/>
  <c r="K1539" i="7"/>
  <c r="K1540" i="7"/>
  <c r="K1541" i="7"/>
  <c r="K1542" i="7"/>
  <c r="K1543" i="7"/>
  <c r="K1544" i="7"/>
  <c r="K1545" i="7"/>
  <c r="K1546" i="7"/>
  <c r="K1547" i="7"/>
  <c r="K1548" i="7"/>
  <c r="K1549" i="7"/>
  <c r="K1550" i="7"/>
  <c r="K1551" i="7"/>
  <c r="K1552" i="7"/>
  <c r="K1553" i="7"/>
  <c r="K1554" i="7"/>
  <c r="K1555" i="7"/>
  <c r="K1556" i="7"/>
  <c r="K1557" i="7"/>
  <c r="K1558" i="7"/>
  <c r="K1559" i="7"/>
  <c r="K1560" i="7"/>
  <c r="K1561" i="7"/>
  <c r="K1562" i="7"/>
  <c r="K1563" i="7"/>
  <c r="K1564" i="7"/>
  <c r="K1565" i="7"/>
  <c r="K1566" i="7"/>
  <c r="K1567" i="7"/>
  <c r="K1568" i="7"/>
  <c r="K1569" i="7"/>
  <c r="K1570" i="7"/>
  <c r="K1571" i="7"/>
  <c r="K1572" i="7"/>
  <c r="K1573" i="7"/>
  <c r="K1574" i="7"/>
  <c r="K1575" i="7"/>
  <c r="K1576" i="7"/>
  <c r="K1577" i="7"/>
  <c r="K1578" i="7"/>
  <c r="K1579" i="7"/>
  <c r="K1580" i="7"/>
  <c r="K1581" i="7"/>
  <c r="K1582" i="7"/>
  <c r="K1583" i="7"/>
  <c r="K1584" i="7"/>
  <c r="K1585" i="7"/>
  <c r="K1586" i="7"/>
  <c r="K1587" i="7"/>
  <c r="K1588" i="7"/>
  <c r="K1589" i="7"/>
  <c r="K1590" i="7"/>
  <c r="K1591" i="7"/>
  <c r="K1592" i="7"/>
  <c r="K1593" i="7"/>
  <c r="K1594" i="7"/>
  <c r="K1595" i="7"/>
  <c r="K1596" i="7"/>
  <c r="K1597" i="7"/>
  <c r="K1598" i="7"/>
  <c r="K1599" i="7"/>
  <c r="K1600" i="7"/>
  <c r="K1601" i="7"/>
  <c r="K1602" i="7"/>
  <c r="K1603" i="7"/>
  <c r="K1604" i="7"/>
  <c r="K1605" i="7"/>
  <c r="K1606" i="7"/>
  <c r="K1607" i="7"/>
  <c r="K1608" i="7"/>
  <c r="K1609" i="7"/>
  <c r="K1610" i="7"/>
  <c r="K1611" i="7"/>
  <c r="K1612" i="7"/>
  <c r="K1613" i="7"/>
  <c r="K1614" i="7"/>
  <c r="K1615" i="7"/>
  <c r="K1616" i="7"/>
  <c r="K1617" i="7"/>
  <c r="K1618" i="7"/>
  <c r="K1619" i="7"/>
  <c r="K1620" i="7"/>
  <c r="K1621" i="7"/>
  <c r="K1622" i="7"/>
  <c r="K1623" i="7"/>
  <c r="K1624" i="7"/>
  <c r="K1625" i="7"/>
  <c r="K1626" i="7"/>
  <c r="K1627" i="7"/>
  <c r="K1628" i="7"/>
  <c r="K1629" i="7"/>
  <c r="K1630" i="7"/>
  <c r="K1631" i="7"/>
  <c r="K1632" i="7"/>
  <c r="K1633" i="7"/>
  <c r="K1634" i="7"/>
  <c r="K1635" i="7"/>
  <c r="K1636" i="7"/>
  <c r="K1637" i="7"/>
  <c r="K1638" i="7"/>
  <c r="K1639" i="7"/>
  <c r="K1640" i="7"/>
  <c r="K1641" i="7"/>
  <c r="K1642" i="7"/>
  <c r="K1643" i="7"/>
  <c r="K1644" i="7"/>
  <c r="K1645" i="7"/>
  <c r="K1646" i="7"/>
  <c r="K1647" i="7"/>
  <c r="K1648" i="7"/>
  <c r="K1649" i="7"/>
  <c r="K1650" i="7"/>
  <c r="K1651" i="7"/>
  <c r="K1652" i="7"/>
  <c r="K1653" i="7"/>
  <c r="K1654" i="7"/>
  <c r="K1655" i="7"/>
  <c r="K1656" i="7"/>
  <c r="K1657" i="7"/>
  <c r="K1658" i="7"/>
  <c r="K1659" i="7"/>
  <c r="K1660" i="7"/>
  <c r="K1661" i="7"/>
  <c r="K1662" i="7"/>
  <c r="K1663" i="7"/>
  <c r="K1664" i="7"/>
  <c r="K1665" i="7"/>
  <c r="K1666" i="7"/>
  <c r="K1667" i="7"/>
  <c r="K1668" i="7"/>
  <c r="K1669" i="7"/>
  <c r="K1670" i="7"/>
  <c r="K1671" i="7"/>
  <c r="K1672" i="7"/>
  <c r="K1673" i="7"/>
  <c r="K1674" i="7"/>
  <c r="K1675" i="7"/>
  <c r="K1676" i="7"/>
  <c r="K1677" i="7"/>
  <c r="K1678" i="7"/>
  <c r="K1679" i="7"/>
  <c r="K1680" i="7"/>
  <c r="K1681" i="7"/>
  <c r="K1682" i="7"/>
  <c r="K1683" i="7"/>
  <c r="K1684" i="7"/>
  <c r="K1685" i="7"/>
  <c r="K1686" i="7"/>
  <c r="K1687" i="7"/>
  <c r="K1688" i="7"/>
  <c r="K1689" i="7"/>
  <c r="K1690" i="7"/>
  <c r="K1691" i="7"/>
  <c r="K1692" i="7"/>
  <c r="K1693" i="7"/>
  <c r="K1694" i="7"/>
  <c r="K1695" i="7"/>
  <c r="K1696" i="7"/>
  <c r="K1697" i="7"/>
  <c r="K1698" i="7"/>
  <c r="K1699" i="7"/>
  <c r="K1700" i="7"/>
  <c r="K1701" i="7"/>
  <c r="K1702" i="7"/>
  <c r="K1703" i="7"/>
  <c r="K1704" i="7"/>
  <c r="K1705" i="7"/>
  <c r="K1706" i="7"/>
  <c r="K1707" i="7"/>
  <c r="K1708" i="7"/>
  <c r="K1709" i="7"/>
  <c r="K1710" i="7"/>
  <c r="K1711" i="7"/>
  <c r="K1712" i="7"/>
  <c r="K1713" i="7"/>
  <c r="K1714" i="7"/>
  <c r="K1715" i="7"/>
  <c r="K1716" i="7"/>
  <c r="K1717" i="7"/>
  <c r="K1718" i="7"/>
  <c r="K1719" i="7"/>
  <c r="K1720" i="7"/>
  <c r="K1721" i="7"/>
  <c r="K1722" i="7"/>
  <c r="K1723" i="7"/>
  <c r="K1724" i="7"/>
  <c r="K1725" i="7"/>
  <c r="K1726" i="7"/>
  <c r="K1727" i="7"/>
  <c r="K1728" i="7"/>
  <c r="K1729" i="7"/>
  <c r="K1730" i="7"/>
  <c r="K1731" i="7"/>
  <c r="K1732" i="7"/>
  <c r="K1733" i="7"/>
  <c r="K1734" i="7"/>
  <c r="K1735" i="7"/>
  <c r="K1736" i="7"/>
  <c r="K1737" i="7"/>
  <c r="K1738" i="7"/>
  <c r="K1739" i="7"/>
  <c r="K1740" i="7"/>
  <c r="K1741" i="7"/>
  <c r="K1742" i="7"/>
  <c r="K1743" i="7"/>
  <c r="K1744" i="7"/>
  <c r="K1745" i="7"/>
  <c r="K1746" i="7"/>
  <c r="K1747" i="7"/>
  <c r="K1748" i="7"/>
  <c r="K1749" i="7"/>
  <c r="K1750" i="7"/>
  <c r="K1751" i="7"/>
  <c r="K1752" i="7"/>
  <c r="K1753" i="7"/>
  <c r="K1754" i="7"/>
  <c r="K1755" i="7"/>
  <c r="K1756" i="7"/>
  <c r="K1757" i="7"/>
  <c r="K1758" i="7"/>
  <c r="K1759" i="7"/>
  <c r="K1760" i="7"/>
  <c r="K1761" i="7"/>
  <c r="K1762" i="7"/>
  <c r="K1763" i="7"/>
  <c r="K1764" i="7"/>
  <c r="K1765" i="7"/>
  <c r="K1766" i="7"/>
  <c r="K1767" i="7"/>
  <c r="K1768" i="7"/>
  <c r="K1769" i="7"/>
  <c r="K1770" i="7"/>
  <c r="K1771" i="7"/>
  <c r="K1772" i="7"/>
  <c r="K1773" i="7"/>
  <c r="K1774" i="7"/>
  <c r="K1775" i="7"/>
  <c r="K1776" i="7"/>
  <c r="K1777" i="7"/>
  <c r="K1778" i="7"/>
  <c r="K1779" i="7"/>
  <c r="K1780" i="7"/>
  <c r="K1781" i="7"/>
  <c r="K1782" i="7"/>
  <c r="K1783" i="7"/>
  <c r="K1784" i="7"/>
  <c r="K1785" i="7"/>
  <c r="K1786" i="7"/>
  <c r="K1787" i="7"/>
  <c r="K1788" i="7"/>
  <c r="K1789" i="7"/>
  <c r="K1790" i="7"/>
  <c r="K1791" i="7"/>
  <c r="K1792" i="7"/>
  <c r="K1793" i="7"/>
  <c r="K1794" i="7"/>
  <c r="K1795" i="7"/>
  <c r="K1796" i="7"/>
  <c r="K1797" i="7"/>
  <c r="K1798" i="7"/>
  <c r="K1799" i="7"/>
  <c r="K1800" i="7"/>
  <c r="K1801" i="7"/>
  <c r="K1802" i="7"/>
  <c r="K1803" i="7"/>
  <c r="K1804" i="7"/>
  <c r="K1805" i="7"/>
  <c r="K1806" i="7"/>
  <c r="K1807" i="7"/>
  <c r="K1808" i="7"/>
  <c r="K1809" i="7"/>
  <c r="K1810" i="7"/>
  <c r="K1811" i="7"/>
  <c r="K1812" i="7"/>
  <c r="K1813" i="7"/>
  <c r="K1814" i="7"/>
  <c r="K1815" i="7"/>
  <c r="K1816" i="7"/>
  <c r="K1817" i="7"/>
  <c r="K1818" i="7"/>
  <c r="K1819" i="7"/>
  <c r="K1820" i="7"/>
  <c r="K1821" i="7"/>
  <c r="K1822" i="7"/>
  <c r="K1823" i="7"/>
  <c r="K1824" i="7"/>
  <c r="K1825" i="7"/>
  <c r="K1826" i="7"/>
  <c r="K1827" i="7"/>
  <c r="K1828" i="7"/>
  <c r="K1829" i="7"/>
  <c r="K1830" i="7"/>
  <c r="K1831" i="7"/>
  <c r="K1832" i="7"/>
  <c r="K1833" i="7"/>
  <c r="K1834" i="7"/>
  <c r="K1835" i="7"/>
  <c r="K1836" i="7"/>
  <c r="K1837" i="7"/>
  <c r="K1838" i="7"/>
  <c r="K1839" i="7"/>
  <c r="K1840" i="7"/>
  <c r="K1841" i="7"/>
  <c r="K1842" i="7"/>
  <c r="K1843" i="7"/>
  <c r="K1844" i="7"/>
  <c r="K1845" i="7"/>
  <c r="K1846" i="7"/>
  <c r="K1847" i="7"/>
  <c r="K1848" i="7"/>
  <c r="K1849" i="7"/>
  <c r="K1850" i="7"/>
  <c r="K1851" i="7"/>
  <c r="K1852" i="7"/>
  <c r="K1853" i="7"/>
  <c r="K1854" i="7"/>
  <c r="K1855" i="7"/>
  <c r="K1856" i="7"/>
  <c r="K1857" i="7"/>
  <c r="K1858" i="7"/>
  <c r="K1859" i="7"/>
  <c r="K1860" i="7"/>
  <c r="K1861" i="7"/>
  <c r="K1862" i="7"/>
  <c r="K1863" i="7"/>
  <c r="K1864" i="7"/>
  <c r="K1865" i="7"/>
  <c r="K1866" i="7"/>
  <c r="K1867" i="7"/>
  <c r="K1868" i="7"/>
  <c r="K1869" i="7"/>
  <c r="K1870" i="7"/>
  <c r="K1871" i="7"/>
  <c r="K1872" i="7"/>
  <c r="K1873" i="7"/>
  <c r="K1874" i="7"/>
  <c r="K1875" i="7"/>
  <c r="K1876" i="7"/>
  <c r="K1877" i="7"/>
  <c r="K1878" i="7"/>
  <c r="K1879" i="7"/>
  <c r="K1880" i="7"/>
  <c r="K1881" i="7"/>
  <c r="K1882" i="7"/>
  <c r="K1883" i="7"/>
  <c r="K1884" i="7"/>
  <c r="K1885" i="7"/>
  <c r="K1886" i="7"/>
  <c r="K1887" i="7"/>
  <c r="K1888" i="7"/>
  <c r="K1889" i="7"/>
  <c r="K1890" i="7"/>
  <c r="K1891" i="7"/>
  <c r="K1892" i="7"/>
  <c r="K1893" i="7"/>
  <c r="K1894" i="7"/>
  <c r="K1895" i="7"/>
  <c r="K1896" i="7"/>
  <c r="K1897" i="7"/>
  <c r="K1898" i="7"/>
  <c r="K1899" i="7"/>
  <c r="K1900" i="7"/>
  <c r="K1901" i="7"/>
  <c r="K1902" i="7"/>
  <c r="K1903" i="7"/>
  <c r="K1904" i="7"/>
  <c r="K1905" i="7"/>
  <c r="K1906" i="7"/>
  <c r="K1907" i="7"/>
  <c r="K1908" i="7"/>
  <c r="K1909" i="7"/>
  <c r="K1910" i="7"/>
  <c r="K1911" i="7"/>
  <c r="K1912" i="7"/>
  <c r="K1913" i="7"/>
  <c r="K1914" i="7"/>
  <c r="K1915" i="7"/>
  <c r="K1916" i="7"/>
  <c r="K1917" i="7"/>
  <c r="K1918" i="7"/>
  <c r="K1919" i="7"/>
  <c r="K1920" i="7"/>
  <c r="K1921" i="7"/>
  <c r="K1922" i="7"/>
  <c r="K1923" i="7"/>
  <c r="K1924" i="7"/>
  <c r="K1925" i="7"/>
  <c r="K1926" i="7"/>
  <c r="K1927" i="7"/>
  <c r="K1928" i="7"/>
  <c r="K1929" i="7"/>
  <c r="K1930" i="7"/>
  <c r="K1931" i="7"/>
  <c r="K1932" i="7"/>
  <c r="K1933" i="7"/>
  <c r="K1934" i="7"/>
  <c r="K1935" i="7"/>
  <c r="K1936" i="7"/>
  <c r="K1937" i="7"/>
  <c r="K1938" i="7"/>
  <c r="K1939" i="7"/>
  <c r="K1940" i="7"/>
  <c r="K1941" i="7"/>
  <c r="K1942" i="7"/>
  <c r="K1943" i="7"/>
  <c r="K1944" i="7"/>
  <c r="K1945" i="7"/>
  <c r="K1946" i="7"/>
  <c r="K1947" i="7"/>
  <c r="K1948" i="7"/>
  <c r="K1949" i="7"/>
  <c r="K1950" i="7"/>
  <c r="K1951" i="7"/>
  <c r="K1952" i="7"/>
  <c r="K1953" i="7"/>
  <c r="K1954" i="7"/>
  <c r="K1955" i="7"/>
  <c r="K1956" i="7"/>
  <c r="K1957" i="7"/>
  <c r="K1958" i="7"/>
  <c r="K1959" i="7"/>
  <c r="K1960" i="7"/>
  <c r="K1961" i="7"/>
  <c r="K1962" i="7"/>
  <c r="K1963" i="7"/>
  <c r="K1964" i="7"/>
  <c r="K1965" i="7"/>
  <c r="K1966" i="7"/>
  <c r="K1967" i="7"/>
  <c r="K1968" i="7"/>
  <c r="K1969" i="7"/>
  <c r="K1970" i="7"/>
  <c r="K1971" i="7"/>
  <c r="K1972" i="7"/>
  <c r="K1973" i="7"/>
  <c r="K1974" i="7"/>
  <c r="K1975" i="7"/>
  <c r="K1976" i="7"/>
  <c r="K1977" i="7"/>
  <c r="K1978" i="7"/>
  <c r="K1979" i="7"/>
  <c r="K1980" i="7"/>
  <c r="K1981" i="7"/>
  <c r="K1982" i="7"/>
  <c r="K1983" i="7"/>
  <c r="K1984" i="7"/>
  <c r="K1985" i="7"/>
  <c r="K1986" i="7"/>
  <c r="K1987" i="7"/>
  <c r="K1988" i="7"/>
  <c r="K1989" i="7"/>
  <c r="K1990" i="7"/>
  <c r="K1991" i="7"/>
  <c r="K1992" i="7"/>
  <c r="K1993" i="7"/>
  <c r="K1994" i="7"/>
  <c r="K1995" i="7"/>
  <c r="K1996" i="7"/>
  <c r="K1997" i="7"/>
  <c r="K1998" i="7"/>
  <c r="K1999" i="7"/>
  <c r="K2000" i="7"/>
  <c r="K2001" i="7"/>
  <c r="K2002" i="7"/>
  <c r="K2003" i="7"/>
  <c r="K2004" i="7"/>
  <c r="K2005" i="7"/>
  <c r="K2006" i="7"/>
  <c r="K2007" i="7"/>
  <c r="K2008" i="7"/>
  <c r="K2010" i="7"/>
  <c r="K2011" i="7"/>
  <c r="K2012" i="7"/>
  <c r="K2013" i="7"/>
  <c r="K2014" i="7"/>
  <c r="K2015" i="7"/>
  <c r="K2016" i="7"/>
  <c r="K2017" i="7"/>
  <c r="K2018" i="7"/>
  <c r="K2019" i="7"/>
  <c r="K2020" i="7"/>
  <c r="K2021" i="7"/>
  <c r="K2022" i="7"/>
  <c r="K2023" i="7"/>
  <c r="K2024" i="7"/>
  <c r="K2025" i="7"/>
  <c r="K2026" i="7"/>
  <c r="K2027" i="7"/>
  <c r="K2028" i="7"/>
  <c r="K2029" i="7"/>
  <c r="K2030" i="7"/>
  <c r="K2031" i="7"/>
  <c r="K2032" i="7"/>
  <c r="K2033" i="7"/>
  <c r="K2034" i="7"/>
  <c r="K2035" i="7"/>
  <c r="K2036" i="7"/>
  <c r="K2037" i="7"/>
  <c r="K2038" i="7"/>
  <c r="K2039" i="7"/>
  <c r="K2040" i="7"/>
  <c r="K2041" i="7"/>
  <c r="K2042" i="7"/>
  <c r="K2043" i="7"/>
  <c r="K2044" i="7"/>
  <c r="K2045" i="7"/>
  <c r="K2046" i="7"/>
  <c r="K2047" i="7"/>
  <c r="K2048" i="7"/>
  <c r="K2049" i="7"/>
  <c r="K2050" i="7"/>
  <c r="K2051" i="7"/>
  <c r="K2052" i="7"/>
  <c r="K2053" i="7"/>
  <c r="K2054" i="7"/>
  <c r="K2055" i="7"/>
  <c r="K2056" i="7"/>
  <c r="K2057" i="7"/>
  <c r="K2058" i="7"/>
  <c r="K2059" i="7"/>
  <c r="K2060" i="7"/>
  <c r="K2061" i="7"/>
  <c r="K2062" i="7"/>
  <c r="K2063" i="7"/>
  <c r="K2064" i="7"/>
  <c r="K2065" i="7"/>
  <c r="K2066" i="7"/>
  <c r="K2067" i="7"/>
  <c r="K2068" i="7"/>
  <c r="K2069" i="7"/>
  <c r="K2070" i="7"/>
  <c r="K2071" i="7"/>
  <c r="K2072" i="7"/>
  <c r="K2073" i="7"/>
  <c r="K2074" i="7"/>
  <c r="K2075" i="7"/>
  <c r="K2076" i="7"/>
  <c r="K2077" i="7"/>
  <c r="K2078" i="7"/>
  <c r="K2079" i="7"/>
  <c r="K2080" i="7"/>
  <c r="K2081" i="7"/>
  <c r="K2082" i="7"/>
  <c r="K2083" i="7"/>
  <c r="K2084" i="7"/>
  <c r="K2085" i="7"/>
  <c r="K2086" i="7"/>
  <c r="K2087" i="7"/>
  <c r="K2088" i="7"/>
  <c r="K2089" i="7"/>
  <c r="K2090" i="7"/>
  <c r="K2091" i="7"/>
  <c r="K2092" i="7"/>
  <c r="K2093" i="7"/>
  <c r="K2094" i="7"/>
  <c r="K2095" i="7"/>
  <c r="K2096" i="7"/>
  <c r="K2097" i="7"/>
  <c r="K2098" i="7"/>
  <c r="K2099" i="7"/>
  <c r="K2100" i="7"/>
  <c r="K2101" i="7"/>
  <c r="K2102" i="7"/>
  <c r="K2103" i="7"/>
  <c r="K2104" i="7"/>
  <c r="K2105" i="7"/>
  <c r="K2106" i="7"/>
  <c r="K2107" i="7"/>
  <c r="K2108" i="7"/>
  <c r="K2109" i="7"/>
  <c r="K2110" i="7"/>
  <c r="K2111" i="7"/>
  <c r="K2112" i="7"/>
  <c r="K2113" i="7"/>
  <c r="K2114" i="7"/>
  <c r="K2115" i="7"/>
  <c r="K2116" i="7"/>
  <c r="K2117" i="7"/>
  <c r="K2118" i="7"/>
  <c r="K2119" i="7"/>
  <c r="K2120" i="7"/>
  <c r="K2121" i="7"/>
  <c r="K2122" i="7"/>
  <c r="K2123" i="7"/>
  <c r="K2124" i="7"/>
  <c r="K2125" i="7"/>
  <c r="K2126" i="7"/>
  <c r="K2127" i="7"/>
  <c r="K2128" i="7"/>
  <c r="K2129" i="7"/>
  <c r="K2130" i="7"/>
  <c r="K2131" i="7"/>
  <c r="K2132" i="7"/>
  <c r="K2133" i="7"/>
  <c r="K2134" i="7"/>
  <c r="K2135" i="7"/>
  <c r="K2136" i="7"/>
  <c r="K2137" i="7"/>
  <c r="K2138" i="7"/>
  <c r="K2139" i="7"/>
  <c r="K2140" i="7"/>
  <c r="K2141" i="7"/>
  <c r="K2142" i="7"/>
  <c r="K2143" i="7"/>
  <c r="K2144" i="7"/>
  <c r="K2145" i="7"/>
  <c r="K2146" i="7"/>
  <c r="K2147" i="7"/>
  <c r="K2148" i="7"/>
  <c r="K2149" i="7"/>
  <c r="K2150" i="7"/>
  <c r="K2151" i="7"/>
  <c r="K2152" i="7"/>
  <c r="K2153" i="7"/>
  <c r="K2154" i="7"/>
  <c r="K2155" i="7"/>
  <c r="K2156" i="7"/>
  <c r="K2157" i="7"/>
  <c r="K2158" i="7"/>
  <c r="K2159" i="7"/>
  <c r="K2160" i="7"/>
  <c r="K2161" i="7"/>
  <c r="K2162" i="7"/>
  <c r="K2163" i="7"/>
  <c r="K2164" i="7"/>
  <c r="K2165" i="7"/>
  <c r="K2166" i="7"/>
  <c r="K2167" i="7"/>
  <c r="K2168" i="7"/>
  <c r="K2169" i="7"/>
  <c r="K2170" i="7"/>
  <c r="K2171" i="7"/>
  <c r="K2172" i="7"/>
  <c r="K2173" i="7"/>
  <c r="K2174" i="7"/>
  <c r="K2175" i="7"/>
  <c r="K2176" i="7"/>
  <c r="K2177" i="7"/>
  <c r="K2178" i="7"/>
  <c r="K2179" i="7"/>
  <c r="K2180" i="7"/>
  <c r="K2181" i="7"/>
  <c r="K2182" i="7"/>
  <c r="K2183" i="7"/>
  <c r="K2184" i="7"/>
  <c r="K2185" i="7"/>
  <c r="K2186" i="7"/>
  <c r="K2187" i="7"/>
  <c r="K2188" i="7"/>
  <c r="K2189" i="7"/>
  <c r="K2190" i="7"/>
  <c r="K2191" i="7"/>
  <c r="K2192" i="7"/>
  <c r="K2193" i="7"/>
  <c r="K2194" i="7"/>
  <c r="K2195" i="7"/>
  <c r="K2196" i="7"/>
  <c r="K2197" i="7"/>
  <c r="K2198" i="7"/>
  <c r="K2199" i="7"/>
  <c r="K2200" i="7"/>
  <c r="K2201" i="7"/>
  <c r="K2202" i="7"/>
  <c r="K2203" i="7"/>
  <c r="K2204" i="7"/>
  <c r="K2205" i="7"/>
  <c r="K2206" i="7"/>
  <c r="K2207" i="7"/>
  <c r="K2208" i="7"/>
  <c r="K2209" i="7"/>
  <c r="K2210" i="7"/>
  <c r="K2211" i="7"/>
  <c r="K2212" i="7"/>
  <c r="K2213" i="7"/>
  <c r="K2214" i="7"/>
  <c r="K2215" i="7"/>
  <c r="K2216" i="7"/>
  <c r="K2217" i="7"/>
  <c r="K2218" i="7"/>
  <c r="K2219" i="7"/>
  <c r="K2220" i="7"/>
  <c r="K2222" i="7"/>
  <c r="K2223" i="7"/>
  <c r="K2224" i="7"/>
  <c r="K2225" i="7"/>
  <c r="K2226" i="7"/>
  <c r="K2227" i="7"/>
  <c r="K2228" i="7"/>
  <c r="K2229" i="7"/>
  <c r="K2230" i="7"/>
  <c r="K2231" i="7"/>
  <c r="K2232" i="7"/>
  <c r="K2233" i="7"/>
  <c r="K2234" i="7"/>
  <c r="K2235" i="7"/>
  <c r="K2236" i="7"/>
  <c r="K2237" i="7"/>
  <c r="K2238" i="7"/>
  <c r="K2239" i="7"/>
  <c r="K2240" i="7"/>
  <c r="K2241" i="7"/>
  <c r="K2242" i="7"/>
  <c r="K2243" i="7"/>
  <c r="K2244" i="7"/>
  <c r="K2245" i="7"/>
  <c r="K2246" i="7"/>
  <c r="K2247" i="7"/>
  <c r="K2248" i="7"/>
  <c r="K2249" i="7"/>
  <c r="K2250" i="7"/>
  <c r="K2251" i="7"/>
  <c r="K2252" i="7"/>
  <c r="K2253" i="7"/>
  <c r="K2254" i="7"/>
  <c r="K2255" i="7"/>
  <c r="K2256" i="7"/>
  <c r="K2257" i="7"/>
  <c r="K2258" i="7"/>
  <c r="K2259" i="7"/>
  <c r="K2260" i="7"/>
  <c r="K2261" i="7"/>
  <c r="K2262" i="7"/>
  <c r="K2263" i="7"/>
  <c r="K2264" i="7"/>
  <c r="K2265" i="7"/>
  <c r="K2266" i="7"/>
  <c r="K2267" i="7"/>
  <c r="K2268" i="7"/>
  <c r="K2269" i="7"/>
  <c r="K2270" i="7"/>
  <c r="K2271" i="7"/>
  <c r="K2272" i="7"/>
  <c r="K2273" i="7"/>
  <c r="K2274" i="7"/>
  <c r="K2275" i="7"/>
  <c r="K2276" i="7"/>
  <c r="K2277" i="7"/>
  <c r="K2278" i="7"/>
  <c r="K2279" i="7"/>
  <c r="K2280" i="7"/>
  <c r="K2281" i="7"/>
  <c r="K2282" i="7"/>
  <c r="K2283" i="7"/>
  <c r="K2284" i="7"/>
  <c r="K2285" i="7"/>
  <c r="K2286" i="7"/>
  <c r="K2287" i="7"/>
  <c r="K2288" i="7"/>
  <c r="K2289" i="7"/>
  <c r="K2290" i="7"/>
  <c r="K2291" i="7"/>
  <c r="K2292" i="7"/>
  <c r="K2293" i="7"/>
  <c r="K2294" i="7"/>
  <c r="K2295" i="7"/>
  <c r="K2296" i="7"/>
  <c r="K2297" i="7"/>
  <c r="K2298" i="7"/>
  <c r="K2299" i="7"/>
  <c r="K2300" i="7"/>
  <c r="K2301" i="7"/>
  <c r="K2302" i="7"/>
  <c r="K2303" i="7"/>
  <c r="K2304" i="7"/>
  <c r="K2306" i="7"/>
  <c r="K2307" i="7"/>
  <c r="K2308" i="7"/>
  <c r="K2309" i="7"/>
  <c r="K2310" i="7"/>
  <c r="K2311" i="7"/>
  <c r="K2312" i="7"/>
  <c r="K2313" i="7"/>
  <c r="K2314" i="7"/>
  <c r="K2315" i="7"/>
  <c r="K2316" i="7"/>
  <c r="K2317" i="7"/>
  <c r="K2318" i="7"/>
  <c r="K2319" i="7"/>
  <c r="K2320" i="7"/>
  <c r="K2321" i="7"/>
  <c r="K2322" i="7"/>
  <c r="K2323" i="7"/>
  <c r="K2324" i="7"/>
  <c r="K2325" i="7"/>
  <c r="K2326" i="7"/>
  <c r="K2327" i="7"/>
  <c r="K2328" i="7"/>
  <c r="K2329" i="7"/>
  <c r="K2330" i="7"/>
  <c r="K2331" i="7"/>
  <c r="K2332" i="7"/>
  <c r="K2333" i="7"/>
  <c r="K2334" i="7"/>
  <c r="K2335" i="7"/>
  <c r="K2336" i="7"/>
  <c r="K2337" i="7"/>
  <c r="K2338" i="7"/>
  <c r="K2339" i="7"/>
  <c r="K2340" i="7"/>
  <c r="K2341" i="7"/>
  <c r="K2342" i="7"/>
  <c r="K2343" i="7"/>
  <c r="K2344" i="7"/>
  <c r="K2345" i="7"/>
  <c r="K2346" i="7"/>
  <c r="K2347" i="7"/>
  <c r="K2348" i="7"/>
  <c r="K2349" i="7"/>
  <c r="K2350" i="7"/>
  <c r="K2351" i="7"/>
  <c r="K2352" i="7"/>
  <c r="K2353" i="7"/>
  <c r="K2354" i="7"/>
  <c r="K2355" i="7"/>
  <c r="K2356" i="7"/>
  <c r="K2357" i="7"/>
  <c r="K2358" i="7"/>
  <c r="K2359" i="7"/>
  <c r="K2360" i="7"/>
  <c r="K2361" i="7"/>
  <c r="K2362" i="7"/>
  <c r="K2363" i="7"/>
  <c r="K2364" i="7"/>
  <c r="K2365" i="7"/>
  <c r="K2366" i="7"/>
  <c r="K2367" i="7"/>
  <c r="K2368" i="7"/>
  <c r="K2369" i="7"/>
  <c r="K2370" i="7"/>
  <c r="K2371" i="7"/>
  <c r="K2372" i="7"/>
  <c r="K2373" i="7"/>
  <c r="K2374" i="7"/>
  <c r="K2375" i="7"/>
  <c r="K2376" i="7"/>
  <c r="K2377" i="7"/>
  <c r="K2378" i="7"/>
  <c r="K2379" i="7"/>
  <c r="K2380" i="7"/>
  <c r="K2381" i="7"/>
  <c r="K2382" i="7"/>
  <c r="K2383" i="7"/>
  <c r="K2384" i="7"/>
  <c r="K2385" i="7"/>
  <c r="K2386" i="7"/>
  <c r="K2387" i="7"/>
  <c r="K2388" i="7"/>
  <c r="K2389" i="7"/>
  <c r="K2390" i="7"/>
  <c r="K2391" i="7"/>
  <c r="K2392" i="7"/>
  <c r="K2393" i="7"/>
  <c r="K2394" i="7"/>
  <c r="K2395" i="7"/>
  <c r="K2396" i="7"/>
  <c r="K2397" i="7"/>
  <c r="K2398" i="7"/>
  <c r="K2399" i="7"/>
  <c r="K2400" i="7"/>
  <c r="K2401" i="7"/>
  <c r="K2403" i="7"/>
  <c r="K2404" i="7"/>
  <c r="K2405" i="7"/>
  <c r="K2406" i="7"/>
  <c r="K2407" i="7"/>
  <c r="K2408" i="7"/>
  <c r="K2409" i="7"/>
  <c r="K2410" i="7"/>
  <c r="K2412" i="7"/>
  <c r="K2413" i="7"/>
  <c r="K2414" i="7"/>
  <c r="K2415" i="7"/>
  <c r="K2416" i="7"/>
  <c r="K2417" i="7"/>
  <c r="K2418" i="7"/>
  <c r="K2419" i="7"/>
  <c r="K2420" i="7"/>
  <c r="K2421" i="7"/>
  <c r="K2422" i="7"/>
  <c r="K2423" i="7"/>
  <c r="K2424" i="7"/>
  <c r="K2425" i="7"/>
  <c r="K2426" i="7"/>
  <c r="K2427" i="7"/>
  <c r="K2428" i="7"/>
  <c r="K2429" i="7"/>
  <c r="K2430" i="7"/>
  <c r="K2431" i="7"/>
  <c r="K2432" i="7"/>
  <c r="K2433" i="7"/>
  <c r="K2434" i="7"/>
  <c r="K2435" i="7"/>
  <c r="K2436" i="7"/>
  <c r="K2437" i="7"/>
  <c r="K2438" i="7"/>
  <c r="K2439" i="7"/>
  <c r="K2440" i="7"/>
  <c r="K2441" i="7"/>
  <c r="K2442" i="7"/>
  <c r="K2443" i="7"/>
  <c r="K2444" i="7"/>
  <c r="K2445" i="7"/>
  <c r="K2446" i="7"/>
  <c r="K2447" i="7"/>
  <c r="K2448" i="7"/>
  <c r="K2449" i="7"/>
  <c r="K2450" i="7"/>
  <c r="K2451" i="7"/>
  <c r="K2452" i="7"/>
  <c r="K2453" i="7"/>
  <c r="K2454" i="7"/>
  <c r="K2455" i="7"/>
  <c r="K2456" i="7"/>
  <c r="K2457" i="7"/>
  <c r="K2458" i="7"/>
  <c r="K2459" i="7"/>
  <c r="K2460" i="7"/>
  <c r="K2461" i="7"/>
  <c r="K2462" i="7"/>
  <c r="K2463" i="7"/>
  <c r="K2464" i="7"/>
  <c r="K2465" i="7"/>
  <c r="K2466" i="7"/>
  <c r="K2467" i="7"/>
  <c r="K2468" i="7"/>
  <c r="K2469" i="7"/>
  <c r="K2470" i="7"/>
  <c r="K2471" i="7"/>
  <c r="K2472" i="7"/>
  <c r="K2473" i="7"/>
  <c r="K2474" i="7"/>
  <c r="K2475" i="7"/>
  <c r="K2476" i="7"/>
  <c r="K2477" i="7"/>
  <c r="K2478" i="7"/>
  <c r="K2479" i="7"/>
  <c r="K2480" i="7"/>
  <c r="K2481" i="7"/>
  <c r="K2482" i="7"/>
  <c r="K2483" i="7"/>
  <c r="K2484" i="7"/>
  <c r="K2485" i="7"/>
  <c r="K2486" i="7"/>
  <c r="K2487" i="7"/>
  <c r="K2488" i="7"/>
  <c r="K2489" i="7"/>
  <c r="K2490" i="7"/>
  <c r="K2491" i="7"/>
  <c r="K2492" i="7"/>
  <c r="K2493" i="7"/>
  <c r="K2494" i="7"/>
  <c r="K2495" i="7"/>
  <c r="K2496" i="7"/>
  <c r="K2497" i="7"/>
  <c r="K2498" i="7"/>
  <c r="K2499" i="7"/>
  <c r="K2500" i="7"/>
  <c r="K2501" i="7"/>
  <c r="K2502" i="7"/>
  <c r="K2503" i="7"/>
  <c r="K2504" i="7"/>
  <c r="K2505" i="7"/>
  <c r="K2506" i="7"/>
  <c r="K2507" i="7"/>
  <c r="K2508" i="7"/>
  <c r="K2509" i="7"/>
  <c r="K2510" i="7"/>
  <c r="K2511" i="7"/>
  <c r="K2512" i="7"/>
  <c r="K2513" i="7"/>
  <c r="K2514" i="7"/>
  <c r="K2515" i="7"/>
  <c r="K2516" i="7"/>
  <c r="K2517" i="7"/>
  <c r="K2518" i="7"/>
  <c r="K2519" i="7"/>
  <c r="K2520" i="7"/>
  <c r="K2521" i="7"/>
  <c r="K2522" i="7"/>
  <c r="K2523" i="7"/>
  <c r="K2524" i="7"/>
  <c r="K2525" i="7"/>
  <c r="K2526" i="7"/>
  <c r="K2527" i="7"/>
  <c r="K2528" i="7"/>
  <c r="K2529" i="7"/>
  <c r="K2530" i="7"/>
  <c r="K2531" i="7"/>
  <c r="K2532" i="7"/>
  <c r="K2533" i="7"/>
  <c r="K2534" i="7"/>
  <c r="K2535" i="7"/>
  <c r="K2536" i="7"/>
  <c r="K2537" i="7"/>
  <c r="K2538" i="7"/>
  <c r="K2539" i="7"/>
  <c r="K2540" i="7"/>
  <c r="K2541" i="7"/>
  <c r="K2542" i="7"/>
  <c r="K2543" i="7"/>
  <c r="K2544" i="7"/>
  <c r="K2545" i="7"/>
  <c r="K2546" i="7"/>
  <c r="K2547" i="7"/>
  <c r="K2548" i="7"/>
  <c r="K2549" i="7"/>
  <c r="K2550" i="7"/>
  <c r="K2551" i="7"/>
  <c r="K2552" i="7"/>
  <c r="K2553" i="7"/>
  <c r="K2554" i="7"/>
  <c r="K2555" i="7"/>
  <c r="K2556" i="7"/>
  <c r="K2557" i="7"/>
  <c r="K2558" i="7"/>
  <c r="K2559" i="7"/>
  <c r="K2560" i="7"/>
  <c r="K2561" i="7"/>
  <c r="K2562" i="7"/>
  <c r="K2563" i="7"/>
  <c r="K2564" i="7"/>
  <c r="K2565" i="7"/>
  <c r="K2566" i="7"/>
  <c r="K2567" i="7"/>
  <c r="K2568" i="7"/>
  <c r="K2569" i="7"/>
  <c r="K2570" i="7"/>
  <c r="K2571" i="7"/>
  <c r="K2572" i="7"/>
  <c r="K2573" i="7"/>
  <c r="K2574" i="7"/>
  <c r="K2575" i="7"/>
  <c r="K2576" i="7"/>
  <c r="K2577" i="7"/>
  <c r="K2578" i="7"/>
  <c r="K2579" i="7"/>
  <c r="K2580" i="7"/>
  <c r="K2581" i="7"/>
  <c r="K2582" i="7"/>
  <c r="K2583" i="7"/>
  <c r="K2584" i="7"/>
  <c r="K2585" i="7"/>
  <c r="K2586" i="7"/>
  <c r="K2587" i="7"/>
  <c r="K2588" i="7"/>
  <c r="K2589" i="7"/>
  <c r="K2590" i="7"/>
  <c r="K2591" i="7"/>
  <c r="K2592" i="7"/>
  <c r="K2593" i="7"/>
  <c r="K2594" i="7"/>
  <c r="K2595" i="7"/>
  <c r="K2596" i="7"/>
  <c r="K2597" i="7"/>
  <c r="J3" i="7"/>
  <c r="J4" i="7"/>
  <c r="J5" i="7"/>
  <c r="J6" i="7"/>
  <c r="J8" i="7"/>
  <c r="J9" i="7"/>
  <c r="J10" i="7"/>
  <c r="J11" i="7"/>
  <c r="J12" i="7"/>
  <c r="J13" i="7"/>
  <c r="J14" i="7"/>
  <c r="J15" i="7"/>
  <c r="J16" i="7"/>
  <c r="J19" i="7"/>
  <c r="J21" i="7"/>
  <c r="J22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6" i="7"/>
  <c r="J137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8" i="7"/>
  <c r="J169" i="7"/>
  <c r="J170" i="7"/>
  <c r="J171" i="7"/>
  <c r="J172" i="7"/>
  <c r="J173" i="7"/>
  <c r="J174" i="7"/>
  <c r="J175" i="7"/>
  <c r="J176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8" i="7"/>
  <c r="J219" i="7"/>
  <c r="J220" i="7"/>
  <c r="J221" i="7"/>
  <c r="J222" i="7"/>
  <c r="J224" i="7"/>
  <c r="J225" i="7"/>
  <c r="J226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8" i="7"/>
  <c r="J359" i="7"/>
  <c r="J360" i="7"/>
  <c r="J361" i="7"/>
  <c r="J362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6" i="7"/>
  <c r="J417" i="7"/>
  <c r="J419" i="7"/>
  <c r="J420" i="7"/>
  <c r="J422" i="7"/>
  <c r="J423" i="7"/>
  <c r="J425" i="7"/>
  <c r="J427" i="7"/>
  <c r="J428" i="7"/>
  <c r="J429" i="7"/>
  <c r="J430" i="7"/>
  <c r="J431" i="7"/>
  <c r="J432" i="7"/>
  <c r="J433" i="7"/>
  <c r="J434" i="7"/>
  <c r="J435" i="7"/>
  <c r="J436" i="7"/>
  <c r="J437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9" i="7"/>
  <c r="J490" i="7"/>
  <c r="J491" i="7"/>
  <c r="J492" i="7"/>
  <c r="J493" i="7"/>
  <c r="J494" i="7"/>
  <c r="J495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4" i="7"/>
  <c r="J515" i="7"/>
  <c r="J516" i="7"/>
  <c r="J517" i="7"/>
  <c r="J518" i="7"/>
  <c r="J519" i="7"/>
  <c r="J520" i="7"/>
  <c r="J521" i="7"/>
  <c r="J522" i="7"/>
  <c r="J524" i="7"/>
  <c r="J525" i="7"/>
  <c r="J526" i="7"/>
  <c r="J527" i="7"/>
  <c r="J528" i="7"/>
  <c r="J529" i="7"/>
  <c r="J530" i="7"/>
  <c r="J532" i="7"/>
  <c r="J533" i="7"/>
  <c r="J534" i="7"/>
  <c r="J535" i="7"/>
  <c r="J536" i="7"/>
  <c r="J537" i="7"/>
  <c r="J538" i="7"/>
  <c r="J540" i="7"/>
  <c r="J541" i="7"/>
  <c r="J542" i="7"/>
  <c r="J543" i="7"/>
  <c r="J544" i="7"/>
  <c r="J545" i="7"/>
  <c r="J546" i="7"/>
  <c r="J547" i="7"/>
  <c r="J548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6" i="7"/>
  <c r="J567" i="7"/>
  <c r="J568" i="7"/>
  <c r="J569" i="7"/>
  <c r="J570" i="7"/>
  <c r="J571" i="7"/>
  <c r="J572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6" i="7"/>
  <c r="J667" i="7"/>
  <c r="J668" i="7"/>
  <c r="J669" i="7"/>
  <c r="J670" i="7"/>
  <c r="J671" i="7"/>
  <c r="J672" i="7"/>
  <c r="J673" i="7"/>
  <c r="J674" i="7"/>
  <c r="J675" i="7"/>
  <c r="J676" i="7"/>
  <c r="J678" i="7"/>
  <c r="J679" i="7"/>
  <c r="J680" i="7"/>
  <c r="J681" i="7"/>
  <c r="J682" i="7"/>
  <c r="J683" i="7"/>
  <c r="J685" i="7"/>
  <c r="J686" i="7"/>
  <c r="J687" i="7"/>
  <c r="J688" i="7"/>
  <c r="J689" i="7"/>
  <c r="J690" i="7"/>
  <c r="J691" i="7"/>
  <c r="J692" i="7"/>
  <c r="J693" i="7"/>
  <c r="J694" i="7"/>
  <c r="J695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40" i="7"/>
  <c r="J741" i="7"/>
  <c r="J742" i="7"/>
  <c r="J743" i="7"/>
  <c r="J744" i="7"/>
  <c r="J745" i="7"/>
  <c r="J746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1" i="7"/>
  <c r="J762" i="7"/>
  <c r="J763" i="7"/>
  <c r="J764" i="7"/>
  <c r="J765" i="7"/>
  <c r="J766" i="7"/>
  <c r="J767" i="7"/>
  <c r="J769" i="7"/>
  <c r="J770" i="7"/>
  <c r="J771" i="7"/>
  <c r="J772" i="7"/>
  <c r="J773" i="7"/>
  <c r="J774" i="7"/>
  <c r="J775" i="7"/>
  <c r="J776" i="7"/>
  <c r="J777" i="7"/>
  <c r="J778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818" i="7"/>
  <c r="J819" i="7"/>
  <c r="J820" i="7"/>
  <c r="J821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2" i="7"/>
  <c r="J853" i="7"/>
  <c r="J854" i="7"/>
  <c r="J855" i="7"/>
  <c r="J856" i="7"/>
  <c r="J857" i="7"/>
  <c r="J858" i="7"/>
  <c r="J859" i="7"/>
  <c r="J860" i="7"/>
  <c r="J861" i="7"/>
  <c r="J862" i="7"/>
  <c r="J863" i="7"/>
  <c r="J864" i="7"/>
  <c r="J865" i="7"/>
  <c r="J866" i="7"/>
  <c r="J868" i="7"/>
  <c r="J869" i="7"/>
  <c r="J870" i="7"/>
  <c r="J871" i="7"/>
  <c r="J872" i="7"/>
  <c r="J873" i="7"/>
  <c r="J874" i="7"/>
  <c r="J875" i="7"/>
  <c r="J877" i="7"/>
  <c r="J878" i="7"/>
  <c r="J879" i="7"/>
  <c r="J880" i="7"/>
  <c r="J881" i="7"/>
  <c r="J882" i="7"/>
  <c r="J883" i="7"/>
  <c r="J884" i="7"/>
  <c r="J885" i="7"/>
  <c r="J886" i="7"/>
  <c r="J887" i="7"/>
  <c r="J888" i="7"/>
  <c r="J889" i="7"/>
  <c r="J890" i="7"/>
  <c r="J891" i="7"/>
  <c r="J892" i="7"/>
  <c r="J893" i="7"/>
  <c r="J894" i="7"/>
  <c r="J895" i="7"/>
  <c r="J896" i="7"/>
  <c r="J897" i="7"/>
  <c r="J898" i="7"/>
  <c r="J899" i="7"/>
  <c r="J900" i="7"/>
  <c r="J901" i="7"/>
  <c r="J902" i="7"/>
  <c r="J903" i="7"/>
  <c r="J905" i="7"/>
  <c r="J906" i="7"/>
  <c r="J907" i="7"/>
  <c r="J908" i="7"/>
  <c r="J909" i="7"/>
  <c r="J910" i="7"/>
  <c r="J911" i="7"/>
  <c r="J912" i="7"/>
  <c r="J913" i="7"/>
  <c r="J914" i="7"/>
  <c r="J915" i="7"/>
  <c r="J916" i="7"/>
  <c r="J917" i="7"/>
  <c r="J918" i="7"/>
  <c r="J919" i="7"/>
  <c r="J921" i="7"/>
  <c r="J922" i="7"/>
  <c r="J923" i="7"/>
  <c r="J924" i="7"/>
  <c r="J925" i="7"/>
  <c r="J926" i="7"/>
  <c r="J927" i="7"/>
  <c r="J928" i="7"/>
  <c r="J929" i="7"/>
  <c r="J930" i="7"/>
  <c r="J931" i="7"/>
  <c r="J932" i="7"/>
  <c r="J933" i="7"/>
  <c r="J934" i="7"/>
  <c r="J935" i="7"/>
  <c r="J936" i="7"/>
  <c r="J937" i="7"/>
  <c r="J938" i="7"/>
  <c r="J939" i="7"/>
  <c r="J940" i="7"/>
  <c r="J941" i="7"/>
  <c r="J942" i="7"/>
  <c r="J943" i="7"/>
  <c r="J944" i="7"/>
  <c r="J946" i="7"/>
  <c r="J947" i="7"/>
  <c r="J948" i="7"/>
  <c r="J949" i="7"/>
  <c r="J950" i="7"/>
  <c r="J951" i="7"/>
  <c r="J952" i="7"/>
  <c r="J953" i="7"/>
  <c r="J954" i="7"/>
  <c r="J955" i="7"/>
  <c r="J956" i="7"/>
  <c r="J957" i="7"/>
  <c r="J958" i="7"/>
  <c r="J959" i="7"/>
  <c r="J960" i="7"/>
  <c r="J962" i="7"/>
  <c r="J963" i="7"/>
  <c r="J964" i="7"/>
  <c r="J965" i="7"/>
  <c r="J966" i="7"/>
  <c r="J967" i="7"/>
  <c r="J968" i="7"/>
  <c r="J969" i="7"/>
  <c r="J970" i="7"/>
  <c r="J971" i="7"/>
  <c r="J972" i="7"/>
  <c r="J974" i="7"/>
  <c r="J975" i="7"/>
  <c r="J976" i="7"/>
  <c r="J977" i="7"/>
  <c r="J978" i="7"/>
  <c r="J979" i="7"/>
  <c r="J980" i="7"/>
  <c r="J981" i="7"/>
  <c r="J982" i="7"/>
  <c r="J983" i="7"/>
  <c r="J984" i="7"/>
  <c r="J985" i="7"/>
  <c r="J986" i="7"/>
  <c r="J987" i="7"/>
  <c r="J988" i="7"/>
  <c r="J989" i="7"/>
  <c r="J990" i="7"/>
  <c r="J991" i="7"/>
  <c r="J992" i="7"/>
  <c r="J993" i="7"/>
  <c r="J994" i="7"/>
  <c r="J995" i="7"/>
  <c r="J996" i="7"/>
  <c r="J997" i="7"/>
  <c r="J998" i="7"/>
  <c r="J999" i="7"/>
  <c r="J1001" i="7"/>
  <c r="J1002" i="7"/>
  <c r="J1003" i="7"/>
  <c r="J1004" i="7"/>
  <c r="J1005" i="7"/>
  <c r="J1006" i="7"/>
  <c r="J1007" i="7"/>
  <c r="J1008" i="7"/>
  <c r="J1009" i="7"/>
  <c r="J1010" i="7"/>
  <c r="J1011" i="7"/>
  <c r="J1012" i="7"/>
  <c r="J1013" i="7"/>
  <c r="J1014" i="7"/>
  <c r="J1016" i="7"/>
  <c r="J1017" i="7"/>
  <c r="J1018" i="7"/>
  <c r="J1019" i="7"/>
  <c r="J1020" i="7"/>
  <c r="J1021" i="7"/>
  <c r="J1022" i="7"/>
  <c r="J1023" i="7"/>
  <c r="J1024" i="7"/>
  <c r="J1025" i="7"/>
  <c r="J1026" i="7"/>
  <c r="J1027" i="7"/>
  <c r="J1028" i="7"/>
  <c r="J1029" i="7"/>
  <c r="J1031" i="7"/>
  <c r="J1032" i="7"/>
  <c r="J1033" i="7"/>
  <c r="J1034" i="7"/>
  <c r="J1035" i="7"/>
  <c r="J1036" i="7"/>
  <c r="J1037" i="7"/>
  <c r="J1038" i="7"/>
  <c r="J1040" i="7"/>
  <c r="J1041" i="7"/>
  <c r="J1042" i="7"/>
  <c r="J1043" i="7"/>
  <c r="J1044" i="7"/>
  <c r="J1045" i="7"/>
  <c r="J1047" i="7"/>
  <c r="J1048" i="7"/>
  <c r="J1049" i="7"/>
  <c r="J1050" i="7"/>
  <c r="J1051" i="7"/>
  <c r="J1052" i="7"/>
  <c r="J1053" i="7"/>
  <c r="J1054" i="7"/>
  <c r="J1055" i="7"/>
  <c r="J1057" i="7"/>
  <c r="J1058" i="7"/>
  <c r="J1059" i="7"/>
  <c r="J1060" i="7"/>
  <c r="J1061" i="7"/>
  <c r="J1062" i="7"/>
  <c r="J1063" i="7"/>
  <c r="J1064" i="7"/>
  <c r="J1065" i="7"/>
  <c r="J1066" i="7"/>
  <c r="J1067" i="7"/>
  <c r="J1068" i="7"/>
  <c r="J1069" i="7"/>
  <c r="J1070" i="7"/>
  <c r="J1071" i="7"/>
  <c r="J1072" i="7"/>
  <c r="J1073" i="7"/>
  <c r="J1074" i="7"/>
  <c r="J1076" i="7"/>
  <c r="J1077" i="7"/>
  <c r="J1078" i="7"/>
  <c r="J1080" i="7"/>
  <c r="J1081" i="7"/>
  <c r="J1083" i="7"/>
  <c r="J1084" i="7"/>
  <c r="J1085" i="7"/>
  <c r="J1086" i="7"/>
  <c r="J1087" i="7"/>
  <c r="J1089" i="7"/>
  <c r="J1090" i="7"/>
  <c r="J1091" i="7"/>
  <c r="J1092" i="7"/>
  <c r="J1093" i="7"/>
  <c r="J1094" i="7"/>
  <c r="J1095" i="7"/>
  <c r="J1096" i="7"/>
  <c r="J1097" i="7"/>
  <c r="J1098" i="7"/>
  <c r="J1099" i="7"/>
  <c r="J1100" i="7"/>
  <c r="J1101" i="7"/>
  <c r="J1102" i="7"/>
  <c r="J1103" i="7"/>
  <c r="J1104" i="7"/>
  <c r="J1105" i="7"/>
  <c r="J1106" i="7"/>
  <c r="J1107" i="7"/>
  <c r="J1108" i="7"/>
  <c r="J1109" i="7"/>
  <c r="J1110" i="7"/>
  <c r="J1111" i="7"/>
  <c r="J1112" i="7"/>
  <c r="J1113" i="7"/>
  <c r="J1114" i="7"/>
  <c r="J1115" i="7"/>
  <c r="J1116" i="7"/>
  <c r="J1117" i="7"/>
  <c r="J1118" i="7"/>
  <c r="J1119" i="7"/>
  <c r="J1120" i="7"/>
  <c r="J1121" i="7"/>
  <c r="J1122" i="7"/>
  <c r="J1123" i="7"/>
  <c r="J1124" i="7"/>
  <c r="J1125" i="7"/>
  <c r="J1126" i="7"/>
  <c r="J1127" i="7"/>
  <c r="J1128" i="7"/>
  <c r="J1129" i="7"/>
  <c r="J1130" i="7"/>
  <c r="J1131" i="7"/>
  <c r="J1132" i="7"/>
  <c r="J1133" i="7"/>
  <c r="J1134" i="7"/>
  <c r="J1136" i="7"/>
  <c r="J1137" i="7"/>
  <c r="J1138" i="7"/>
  <c r="J1139" i="7"/>
  <c r="J1140" i="7"/>
  <c r="J1141" i="7"/>
  <c r="J1142" i="7"/>
  <c r="J1143" i="7"/>
  <c r="J1144" i="7"/>
  <c r="J1145" i="7"/>
  <c r="J1146" i="7"/>
  <c r="J1148" i="7"/>
  <c r="J1149" i="7"/>
  <c r="J1150" i="7"/>
  <c r="J1151" i="7"/>
  <c r="J1152" i="7"/>
  <c r="J1153" i="7"/>
  <c r="J1154" i="7"/>
  <c r="J1155" i="7"/>
  <c r="J1156" i="7"/>
  <c r="J1157" i="7"/>
  <c r="J1158" i="7"/>
  <c r="J1159" i="7"/>
  <c r="J1160" i="7"/>
  <c r="J1161" i="7"/>
  <c r="J1162" i="7"/>
  <c r="J1163" i="7"/>
  <c r="J1164" i="7"/>
  <c r="J1165" i="7"/>
  <c r="J1166" i="7"/>
  <c r="J1167" i="7"/>
  <c r="J1168" i="7"/>
  <c r="J1169" i="7"/>
  <c r="J1170" i="7"/>
  <c r="J1171" i="7"/>
  <c r="J1172" i="7"/>
  <c r="J1174" i="7"/>
  <c r="J1175" i="7"/>
  <c r="J1176" i="7"/>
  <c r="J1177" i="7"/>
  <c r="J1178" i="7"/>
  <c r="J1179" i="7"/>
  <c r="J1180" i="7"/>
  <c r="J1181" i="7"/>
  <c r="J1182" i="7"/>
  <c r="J1183" i="7"/>
  <c r="J1184" i="7"/>
  <c r="J1185" i="7"/>
  <c r="J1186" i="7"/>
  <c r="J1187" i="7"/>
  <c r="J1188" i="7"/>
  <c r="J1189" i="7"/>
  <c r="J1190" i="7"/>
  <c r="J1191" i="7"/>
  <c r="J1192" i="7"/>
  <c r="J1193" i="7"/>
  <c r="J1195" i="7"/>
  <c r="J1196" i="7"/>
  <c r="J1197" i="7"/>
  <c r="J1198" i="7"/>
  <c r="J1199" i="7"/>
  <c r="J1200" i="7"/>
  <c r="J1201" i="7"/>
  <c r="J1202" i="7"/>
  <c r="J1203" i="7"/>
  <c r="J1204" i="7"/>
  <c r="J1205" i="7"/>
  <c r="J1206" i="7"/>
  <c r="J1207" i="7"/>
  <c r="J1208" i="7"/>
  <c r="J1209" i="7"/>
  <c r="J1210" i="7"/>
  <c r="J1211" i="7"/>
  <c r="J1212" i="7"/>
  <c r="J1213" i="7"/>
  <c r="J1214" i="7"/>
  <c r="J1215" i="7"/>
  <c r="J1216" i="7"/>
  <c r="J1217" i="7"/>
  <c r="J1218" i="7"/>
  <c r="J1219" i="7"/>
  <c r="J1220" i="7"/>
  <c r="J1221" i="7"/>
  <c r="J1222" i="7"/>
  <c r="J1223" i="7"/>
  <c r="J1224" i="7"/>
  <c r="J1225" i="7"/>
  <c r="J1226" i="7"/>
  <c r="J1227" i="7"/>
  <c r="J1228" i="7"/>
  <c r="J1229" i="7"/>
  <c r="J1230" i="7"/>
  <c r="J1231" i="7"/>
  <c r="J1232" i="7"/>
  <c r="J1233" i="7"/>
  <c r="J1234" i="7"/>
  <c r="J1235" i="7"/>
  <c r="J1236" i="7"/>
  <c r="J1237" i="7"/>
  <c r="J1238" i="7"/>
  <c r="J1239" i="7"/>
  <c r="J1240" i="7"/>
  <c r="J1241" i="7"/>
  <c r="J1242" i="7"/>
  <c r="J1243" i="7"/>
  <c r="J1244" i="7"/>
  <c r="J1245" i="7"/>
  <c r="J1246" i="7"/>
  <c r="J1247" i="7"/>
  <c r="J1248" i="7"/>
  <c r="J1249" i="7"/>
  <c r="J1250" i="7"/>
  <c r="J1251" i="7"/>
  <c r="J1252" i="7"/>
  <c r="J1253" i="7"/>
  <c r="J1254" i="7"/>
  <c r="J1255" i="7"/>
  <c r="J1256" i="7"/>
  <c r="J1257" i="7"/>
  <c r="J1258" i="7"/>
  <c r="J1259" i="7"/>
  <c r="J1260" i="7"/>
  <c r="J1261" i="7"/>
  <c r="J1262" i="7"/>
  <c r="J1263" i="7"/>
  <c r="J1264" i="7"/>
  <c r="J1265" i="7"/>
  <c r="J1266" i="7"/>
  <c r="J1267" i="7"/>
  <c r="J1269" i="7"/>
  <c r="J1270" i="7"/>
  <c r="J1271" i="7"/>
  <c r="J1272" i="7"/>
  <c r="J1273" i="7"/>
  <c r="J1274" i="7"/>
  <c r="J1275" i="7"/>
  <c r="J1276" i="7"/>
  <c r="J1277" i="7"/>
  <c r="J1278" i="7"/>
  <c r="J1279" i="7"/>
  <c r="J1281" i="7"/>
  <c r="J1282" i="7"/>
  <c r="J1283" i="7"/>
  <c r="J1284" i="7"/>
  <c r="J1285" i="7"/>
  <c r="J1286" i="7"/>
  <c r="J1288" i="7"/>
  <c r="J1289" i="7"/>
  <c r="J1290" i="7"/>
  <c r="J1291" i="7"/>
  <c r="J1292" i="7"/>
  <c r="J1293" i="7"/>
  <c r="J1294" i="7"/>
  <c r="J1295" i="7"/>
  <c r="J1296" i="7"/>
  <c r="J1297" i="7"/>
  <c r="J1298" i="7"/>
  <c r="J1299" i="7"/>
  <c r="J1300" i="7"/>
  <c r="J1301" i="7"/>
  <c r="J1302" i="7"/>
  <c r="J1303" i="7"/>
  <c r="J1304" i="7"/>
  <c r="J1305" i="7"/>
  <c r="J1306" i="7"/>
  <c r="J1307" i="7"/>
  <c r="J1308" i="7"/>
  <c r="J1309" i="7"/>
  <c r="J1310" i="7"/>
  <c r="J1312" i="7"/>
  <c r="J1313" i="7"/>
  <c r="J1314" i="7"/>
  <c r="J1315" i="7"/>
  <c r="J1316" i="7"/>
  <c r="J1317" i="7"/>
  <c r="J1318" i="7"/>
  <c r="J1319" i="7"/>
  <c r="J1320" i="7"/>
  <c r="J1321" i="7"/>
  <c r="J1322" i="7"/>
  <c r="J1324" i="7"/>
  <c r="J1325" i="7"/>
  <c r="J1326" i="7"/>
  <c r="J1327" i="7"/>
  <c r="J1328" i="7"/>
  <c r="J1329" i="7"/>
  <c r="J1330" i="7"/>
  <c r="J1331" i="7"/>
  <c r="J1332" i="7"/>
  <c r="J1333" i="7"/>
  <c r="J1335" i="7"/>
  <c r="J1336" i="7"/>
  <c r="J1337" i="7"/>
  <c r="J1338" i="7"/>
  <c r="J1339" i="7"/>
  <c r="J1340" i="7"/>
  <c r="J1341" i="7"/>
  <c r="J1342" i="7"/>
  <c r="J1343" i="7"/>
  <c r="J1344" i="7"/>
  <c r="J1345" i="7"/>
  <c r="J1346" i="7"/>
  <c r="J1348" i="7"/>
  <c r="J1349" i="7"/>
  <c r="J1350" i="7"/>
  <c r="J1351" i="7"/>
  <c r="J1352" i="7"/>
  <c r="J1353" i="7"/>
  <c r="J1354" i="7"/>
  <c r="J1355" i="7"/>
  <c r="J1356" i="7"/>
  <c r="J1357" i="7"/>
  <c r="J1359" i="7"/>
  <c r="J1360" i="7"/>
  <c r="J1361" i="7"/>
  <c r="J1362" i="7"/>
  <c r="J1363" i="7"/>
  <c r="J1364" i="7"/>
  <c r="J1365" i="7"/>
  <c r="J1366" i="7"/>
  <c r="J1367" i="7"/>
  <c r="J1368" i="7"/>
  <c r="J1369" i="7"/>
  <c r="J1370" i="7"/>
  <c r="J1372" i="7"/>
  <c r="J1373" i="7"/>
  <c r="J1374" i="7"/>
  <c r="J1375" i="7"/>
  <c r="J1376" i="7"/>
  <c r="J1377" i="7"/>
  <c r="J1378" i="7"/>
  <c r="J1379" i="7"/>
  <c r="J1380" i="7"/>
  <c r="J1381" i="7"/>
  <c r="J1382" i="7"/>
  <c r="J1383" i="7"/>
  <c r="J1384" i="7"/>
  <c r="J1386" i="7"/>
  <c r="J1387" i="7"/>
  <c r="J1388" i="7"/>
  <c r="J1389" i="7"/>
  <c r="J1390" i="7"/>
  <c r="J1391" i="7"/>
  <c r="J1393" i="7"/>
  <c r="J1394" i="7"/>
  <c r="J1395" i="7"/>
  <c r="J1396" i="7"/>
  <c r="J1397" i="7"/>
  <c r="J1398" i="7"/>
  <c r="J1399" i="7"/>
  <c r="J1400" i="7"/>
  <c r="J1401" i="7"/>
  <c r="J1402" i="7"/>
  <c r="J1403" i="7"/>
  <c r="J1404" i="7"/>
  <c r="J1406" i="7"/>
  <c r="J1408" i="7"/>
  <c r="J1410" i="7"/>
  <c r="J1411" i="7"/>
  <c r="J1412" i="7"/>
  <c r="J1413" i="7"/>
  <c r="J1414" i="7"/>
  <c r="J1415" i="7"/>
  <c r="J1416" i="7"/>
  <c r="J1417" i="7"/>
  <c r="J1418" i="7"/>
  <c r="J1419" i="7"/>
  <c r="J1420" i="7"/>
  <c r="J1422" i="7"/>
  <c r="J1423" i="7"/>
  <c r="J1424" i="7"/>
  <c r="J1425" i="7"/>
  <c r="J1426" i="7"/>
  <c r="J1427" i="7"/>
  <c r="J1428" i="7"/>
  <c r="J1429" i="7"/>
  <c r="J1430" i="7"/>
  <c r="J1431" i="7"/>
  <c r="J1432" i="7"/>
  <c r="J1433" i="7"/>
  <c r="J1435" i="7"/>
  <c r="J1436" i="7"/>
  <c r="J1437" i="7"/>
  <c r="J1438" i="7"/>
  <c r="J1439" i="7"/>
  <c r="J1440" i="7"/>
  <c r="J1441" i="7"/>
  <c r="J1442" i="7"/>
  <c r="J1443" i="7"/>
  <c r="J1444" i="7"/>
  <c r="J1445" i="7"/>
  <c r="J1446" i="7"/>
  <c r="J1447" i="7"/>
  <c r="J1448" i="7"/>
  <c r="J1449" i="7"/>
  <c r="J1450" i="7"/>
  <c r="J1451" i="7"/>
  <c r="J1452" i="7"/>
  <c r="J1453" i="7"/>
  <c r="J1454" i="7"/>
  <c r="J1455" i="7"/>
  <c r="J1456" i="7"/>
  <c r="J1458" i="7"/>
  <c r="J1459" i="7"/>
  <c r="J1460" i="7"/>
  <c r="J1461" i="7"/>
  <c r="J1462" i="7"/>
  <c r="J1463" i="7"/>
  <c r="J1464" i="7"/>
  <c r="J1465" i="7"/>
  <c r="J1466" i="7"/>
  <c r="J1467" i="7"/>
  <c r="J1468" i="7"/>
  <c r="J1469" i="7"/>
  <c r="J1470" i="7"/>
  <c r="J1471" i="7"/>
  <c r="J1472" i="7"/>
  <c r="J1473" i="7"/>
  <c r="J1474" i="7"/>
  <c r="J1476" i="7"/>
  <c r="J1477" i="7"/>
  <c r="J1478" i="7"/>
  <c r="J1479" i="7"/>
  <c r="J1480" i="7"/>
  <c r="J1481" i="7"/>
  <c r="J1482" i="7"/>
  <c r="J1483" i="7"/>
  <c r="J1484" i="7"/>
  <c r="J1485" i="7"/>
  <c r="J1486" i="7"/>
  <c r="J1487" i="7"/>
  <c r="J1488" i="7"/>
  <c r="J1489" i="7"/>
  <c r="J1490" i="7"/>
  <c r="J1491" i="7"/>
  <c r="J1493" i="7"/>
  <c r="J1494" i="7"/>
  <c r="J1496" i="7"/>
  <c r="J1497" i="7"/>
  <c r="J1498" i="7"/>
  <c r="J1499" i="7"/>
  <c r="J1500" i="7"/>
  <c r="J1501" i="7"/>
  <c r="J1503" i="7"/>
  <c r="J1504" i="7"/>
  <c r="J1505" i="7"/>
  <c r="J1506" i="7"/>
  <c r="J1507" i="7"/>
  <c r="J1508" i="7"/>
  <c r="J1509" i="7"/>
  <c r="J1510" i="7"/>
  <c r="J1511" i="7"/>
  <c r="J1512" i="7"/>
  <c r="J1513" i="7"/>
  <c r="J1515" i="7"/>
  <c r="J1516" i="7"/>
  <c r="J1517" i="7"/>
  <c r="J1519" i="7"/>
  <c r="J1520" i="7"/>
  <c r="J1521" i="7"/>
  <c r="J1523" i="7"/>
  <c r="J1524" i="7"/>
  <c r="J1525" i="7"/>
  <c r="J1526" i="7"/>
  <c r="J1527" i="7"/>
  <c r="J1528" i="7"/>
  <c r="J1529" i="7"/>
  <c r="J1531" i="7"/>
  <c r="J1532" i="7"/>
  <c r="J1533" i="7"/>
  <c r="J1534" i="7"/>
  <c r="J1535" i="7"/>
  <c r="J1536" i="7"/>
  <c r="J1537" i="7"/>
  <c r="J1538" i="7"/>
  <c r="J1539" i="7"/>
  <c r="J1540" i="7"/>
  <c r="J1541" i="7"/>
  <c r="J1542" i="7"/>
  <c r="J1543" i="7"/>
  <c r="J1545" i="7"/>
  <c r="J1546" i="7"/>
  <c r="J1547" i="7"/>
  <c r="J1548" i="7"/>
  <c r="J1549" i="7"/>
  <c r="J1550" i="7"/>
  <c r="J1551" i="7"/>
  <c r="J1552" i="7"/>
  <c r="J1553" i="7"/>
  <c r="J1554" i="7"/>
  <c r="J1555" i="7"/>
  <c r="J1556" i="7"/>
  <c r="J1557" i="7"/>
  <c r="J1558" i="7"/>
  <c r="J1559" i="7"/>
  <c r="J1560" i="7"/>
  <c r="J1561" i="7"/>
  <c r="J1562" i="7"/>
  <c r="J1563" i="7"/>
  <c r="J1564" i="7"/>
  <c r="J1565" i="7"/>
  <c r="J1566" i="7"/>
  <c r="J1567" i="7"/>
  <c r="J1568" i="7"/>
  <c r="J1569" i="7"/>
  <c r="J1570" i="7"/>
  <c r="J1571" i="7"/>
  <c r="J1572" i="7"/>
  <c r="J1573" i="7"/>
  <c r="J1574" i="7"/>
  <c r="J1575" i="7"/>
  <c r="J1576" i="7"/>
  <c r="J1577" i="7"/>
  <c r="J1579" i="7"/>
  <c r="J1580" i="7"/>
  <c r="J1581" i="7"/>
  <c r="J1582" i="7"/>
  <c r="J1583" i="7"/>
  <c r="J1584" i="7"/>
  <c r="J1585" i="7"/>
  <c r="J1586" i="7"/>
  <c r="J1587" i="7"/>
  <c r="J1588" i="7"/>
  <c r="J1589" i="7"/>
  <c r="J1591" i="7"/>
  <c r="J1592" i="7"/>
  <c r="J1593" i="7"/>
  <c r="J1594" i="7"/>
  <c r="J1595" i="7"/>
  <c r="J1596" i="7"/>
  <c r="J1597" i="7"/>
  <c r="J1598" i="7"/>
  <c r="J1599" i="7"/>
  <c r="J1600" i="7"/>
  <c r="J1601" i="7"/>
  <c r="J1602" i="7"/>
  <c r="J1603" i="7"/>
  <c r="J1604" i="7"/>
  <c r="J1605" i="7"/>
  <c r="J1607" i="7"/>
  <c r="J1608" i="7"/>
  <c r="J1609" i="7"/>
  <c r="J1610" i="7"/>
  <c r="J1611" i="7"/>
  <c r="J1612" i="7"/>
  <c r="J1613" i="7"/>
  <c r="J1614" i="7"/>
  <c r="J1615" i="7"/>
  <c r="J1616" i="7"/>
  <c r="J1617" i="7"/>
  <c r="J1618" i="7"/>
  <c r="J1619" i="7"/>
  <c r="J1620" i="7"/>
  <c r="J1621" i="7"/>
  <c r="J1622" i="7"/>
  <c r="J1623" i="7"/>
  <c r="J1624" i="7"/>
  <c r="J1625" i="7"/>
  <c r="J1627" i="7"/>
  <c r="J1628" i="7"/>
  <c r="J1629" i="7"/>
  <c r="J1630" i="7"/>
  <c r="J1631" i="7"/>
  <c r="J1632" i="7"/>
  <c r="J1633" i="7"/>
  <c r="J1634" i="7"/>
  <c r="J1635" i="7"/>
  <c r="J1636" i="7"/>
  <c r="J1637" i="7"/>
  <c r="J1638" i="7"/>
  <c r="J1639" i="7"/>
  <c r="J1640" i="7"/>
  <c r="J1641" i="7"/>
  <c r="J1642" i="7"/>
  <c r="J1643" i="7"/>
  <c r="J1645" i="7"/>
  <c r="J1646" i="7"/>
  <c r="J1647" i="7"/>
  <c r="J1648" i="7"/>
  <c r="J1649" i="7"/>
  <c r="J1650" i="7"/>
  <c r="J1651" i="7"/>
  <c r="J1652" i="7"/>
  <c r="J1653" i="7"/>
  <c r="J1654" i="7"/>
  <c r="J1655" i="7"/>
  <c r="J1656" i="7"/>
  <c r="J1657" i="7"/>
  <c r="J1658" i="7"/>
  <c r="J1659" i="7"/>
  <c r="J1661" i="7"/>
  <c r="J1662" i="7"/>
  <c r="J1663" i="7"/>
  <c r="J1664" i="7"/>
  <c r="J1665" i="7"/>
  <c r="J1666" i="7"/>
  <c r="J1667" i="7"/>
  <c r="J1668" i="7"/>
  <c r="J1669" i="7"/>
  <c r="J1670" i="7"/>
  <c r="J1671" i="7"/>
  <c r="J1672" i="7"/>
  <c r="J1673" i="7"/>
  <c r="J1674" i="7"/>
  <c r="J1675" i="7"/>
  <c r="J1676" i="7"/>
  <c r="J1678" i="7"/>
  <c r="J1679" i="7"/>
  <c r="J1680" i="7"/>
  <c r="J1682" i="7"/>
  <c r="J1683" i="7"/>
  <c r="J1684" i="7"/>
  <c r="J1685" i="7"/>
  <c r="J1686" i="7"/>
  <c r="J1687" i="7"/>
  <c r="J1688" i="7"/>
  <c r="J1689" i="7"/>
  <c r="J1690" i="7"/>
  <c r="J1691" i="7"/>
  <c r="J1692" i="7"/>
  <c r="J1693" i="7"/>
  <c r="J1694" i="7"/>
  <c r="J1695" i="7"/>
  <c r="J1696" i="7"/>
  <c r="J1697" i="7"/>
  <c r="J1698" i="7"/>
  <c r="J1699" i="7"/>
  <c r="J1700" i="7"/>
  <c r="J1701" i="7"/>
  <c r="J1702" i="7"/>
  <c r="J1703" i="7"/>
  <c r="J1704" i="7"/>
  <c r="J1706" i="7"/>
  <c r="J1707" i="7"/>
  <c r="J1708" i="7"/>
  <c r="J1709" i="7"/>
  <c r="J1710" i="7"/>
  <c r="J1711" i="7"/>
  <c r="J1712" i="7"/>
  <c r="J1713" i="7"/>
  <c r="J1714" i="7"/>
  <c r="J1715" i="7"/>
  <c r="J1716" i="7"/>
  <c r="J1717" i="7"/>
  <c r="J1718" i="7"/>
  <c r="J1719" i="7"/>
  <c r="J1720" i="7"/>
  <c r="J1722" i="7"/>
  <c r="J1723" i="7"/>
  <c r="J1724" i="7"/>
  <c r="J1725" i="7"/>
  <c r="J1726" i="7"/>
  <c r="J1727" i="7"/>
  <c r="J1728" i="7"/>
  <c r="J1729" i="7"/>
  <c r="J1730" i="7"/>
  <c r="J1731" i="7"/>
  <c r="J1732" i="7"/>
  <c r="J1733" i="7"/>
  <c r="J1734" i="7"/>
  <c r="J1735" i="7"/>
  <c r="J1736" i="7"/>
  <c r="J1737" i="7"/>
  <c r="J1738" i="7"/>
  <c r="J1739" i="7"/>
  <c r="J1740" i="7"/>
  <c r="J1741" i="7"/>
  <c r="J1742" i="7"/>
  <c r="J1743" i="7"/>
  <c r="J1744" i="7"/>
  <c r="J1746" i="7"/>
  <c r="J1747" i="7"/>
  <c r="J1748" i="7"/>
  <c r="J1749" i="7"/>
  <c r="J1750" i="7"/>
  <c r="J1751" i="7"/>
  <c r="J1752" i="7"/>
  <c r="J1753" i="7"/>
  <c r="J1754" i="7"/>
  <c r="J1755" i="7"/>
  <c r="J1756" i="7"/>
  <c r="J1757" i="7"/>
  <c r="J1758" i="7"/>
  <c r="J1759" i="7"/>
  <c r="J1761" i="7"/>
  <c r="J1762" i="7"/>
  <c r="J1763" i="7"/>
  <c r="J1764" i="7"/>
  <c r="J1765" i="7"/>
  <c r="J1766" i="7"/>
  <c r="J1767" i="7"/>
  <c r="J1768" i="7"/>
  <c r="J1769" i="7"/>
  <c r="J1770" i="7"/>
  <c r="J1771" i="7"/>
  <c r="J1772" i="7"/>
  <c r="J1773" i="7"/>
  <c r="J1775" i="7"/>
  <c r="J1776" i="7"/>
  <c r="J1777" i="7"/>
  <c r="J1778" i="7"/>
  <c r="J1779" i="7"/>
  <c r="J1780" i="7"/>
  <c r="J1781" i="7"/>
  <c r="J1782" i="7"/>
  <c r="J1783" i="7"/>
  <c r="J1784" i="7"/>
  <c r="J1785" i="7"/>
  <c r="J1786" i="7"/>
  <c r="J1787" i="7"/>
  <c r="J1788" i="7"/>
  <c r="J1789" i="7"/>
  <c r="J1791" i="7"/>
  <c r="J1792" i="7"/>
  <c r="J1793" i="7"/>
  <c r="J1794" i="7"/>
  <c r="J1795" i="7"/>
  <c r="J1796" i="7"/>
  <c r="J1797" i="7"/>
  <c r="J1798" i="7"/>
  <c r="J1799" i="7"/>
  <c r="J1800" i="7"/>
  <c r="J1801" i="7"/>
  <c r="J1802" i="7"/>
  <c r="J1803" i="7"/>
  <c r="J1805" i="7"/>
  <c r="J1806" i="7"/>
  <c r="J1807" i="7"/>
  <c r="J1808" i="7"/>
  <c r="J1809" i="7"/>
  <c r="J1810" i="7"/>
  <c r="J1811" i="7"/>
  <c r="J1812" i="7"/>
  <c r="J1813" i="7"/>
  <c r="J1814" i="7"/>
  <c r="J1815" i="7"/>
  <c r="J1816" i="7"/>
  <c r="J1817" i="7"/>
  <c r="J1819" i="7"/>
  <c r="J1820" i="7"/>
  <c r="J1821" i="7"/>
  <c r="J1822" i="7"/>
  <c r="J1823" i="7"/>
  <c r="J1824" i="7"/>
  <c r="J1825" i="7"/>
  <c r="J1826" i="7"/>
  <c r="J1827" i="7"/>
  <c r="J1828" i="7"/>
  <c r="J1829" i="7"/>
  <c r="J1830" i="7"/>
  <c r="J1831" i="7"/>
  <c r="J1832" i="7"/>
  <c r="J1833" i="7"/>
  <c r="J1834" i="7"/>
  <c r="J1835" i="7"/>
  <c r="J1836" i="7"/>
  <c r="J1837" i="7"/>
  <c r="J1838" i="7"/>
  <c r="J1839" i="7"/>
  <c r="J1840" i="7"/>
  <c r="J1842" i="7"/>
  <c r="J1843" i="7"/>
  <c r="J1844" i="7"/>
  <c r="J1845" i="7"/>
  <c r="J1847" i="7"/>
  <c r="J1848" i="7"/>
  <c r="J1849" i="7"/>
  <c r="J1850" i="7"/>
  <c r="J1851" i="7"/>
  <c r="J1852" i="7"/>
  <c r="J1853" i="7"/>
  <c r="J1854" i="7"/>
  <c r="J1855" i="7"/>
  <c r="J1857" i="7"/>
  <c r="J1858" i="7"/>
  <c r="J1859" i="7"/>
  <c r="J1860" i="7"/>
  <c r="J1862" i="7"/>
  <c r="J1863" i="7"/>
  <c r="J1864" i="7"/>
  <c r="J1865" i="7"/>
  <c r="J1866" i="7"/>
  <c r="J1867" i="7"/>
  <c r="J1868" i="7"/>
  <c r="J1869" i="7"/>
  <c r="J1870" i="7"/>
  <c r="J1871" i="7"/>
  <c r="J1872" i="7"/>
  <c r="J1873" i="7"/>
  <c r="J1874" i="7"/>
  <c r="J1875" i="7"/>
  <c r="J1876" i="7"/>
  <c r="J1877" i="7"/>
  <c r="J1878" i="7"/>
  <c r="J1879" i="7"/>
  <c r="J1881" i="7"/>
  <c r="J1882" i="7"/>
  <c r="J1883" i="7"/>
  <c r="J1884" i="7"/>
  <c r="J1885" i="7"/>
  <c r="J1886" i="7"/>
  <c r="J1887" i="7"/>
  <c r="J1888" i="7"/>
  <c r="J1889" i="7"/>
  <c r="J1890" i="7"/>
  <c r="J1891" i="7"/>
  <c r="J1892" i="7"/>
  <c r="J1893" i="7"/>
  <c r="J1895" i="7"/>
  <c r="J1896" i="7"/>
  <c r="J1897" i="7"/>
  <c r="J1898" i="7"/>
  <c r="J1899" i="7"/>
  <c r="J1900" i="7"/>
  <c r="J1901" i="7"/>
  <c r="J1902" i="7"/>
  <c r="J1903" i="7"/>
  <c r="J1904" i="7"/>
  <c r="J1905" i="7"/>
  <c r="J1906" i="7"/>
  <c r="J1908" i="7"/>
  <c r="J1909" i="7"/>
  <c r="J1910" i="7"/>
  <c r="J1911" i="7"/>
  <c r="J1913" i="7"/>
  <c r="J1914" i="7"/>
  <c r="J1915" i="7"/>
  <c r="J1916" i="7"/>
  <c r="J1917" i="7"/>
  <c r="J1918" i="7"/>
  <c r="J1919" i="7"/>
  <c r="J1920" i="7"/>
  <c r="J1921" i="7"/>
  <c r="J1922" i="7"/>
  <c r="J1923" i="7"/>
  <c r="J1924" i="7"/>
  <c r="J1925" i="7"/>
  <c r="J1926" i="7"/>
  <c r="J1927" i="7"/>
  <c r="J1928" i="7"/>
  <c r="J1929" i="7"/>
  <c r="J1930" i="7"/>
  <c r="J1931" i="7"/>
  <c r="J1932" i="7"/>
  <c r="J1933" i="7"/>
  <c r="J1934" i="7"/>
  <c r="J1935" i="7"/>
  <c r="J1936" i="7"/>
  <c r="J1937" i="7"/>
  <c r="J1938" i="7"/>
  <c r="J1939" i="7"/>
  <c r="J1940" i="7"/>
  <c r="J1941" i="7"/>
  <c r="J1942" i="7"/>
  <c r="J1943" i="7"/>
  <c r="J1944" i="7"/>
  <c r="J1945" i="7"/>
  <c r="J1947" i="7"/>
  <c r="J1948" i="7"/>
  <c r="J1949" i="7"/>
  <c r="J1950" i="7"/>
  <c r="J1951" i="7"/>
  <c r="J1952" i="7"/>
  <c r="J1953" i="7"/>
  <c r="J1954" i="7"/>
  <c r="J1955" i="7"/>
  <c r="J1956" i="7"/>
  <c r="J1957" i="7"/>
  <c r="J1959" i="7"/>
  <c r="J1960" i="7"/>
  <c r="J1961" i="7"/>
  <c r="J1962" i="7"/>
  <c r="J1963" i="7"/>
  <c r="J1964" i="7"/>
  <c r="J1965" i="7"/>
  <c r="J1966" i="7"/>
  <c r="J1967" i="7"/>
  <c r="J1968" i="7"/>
  <c r="J1969" i="7"/>
  <c r="J1970" i="7"/>
  <c r="J1971" i="7"/>
  <c r="J1972" i="7"/>
  <c r="J1973" i="7"/>
  <c r="J1974" i="7"/>
  <c r="J1976" i="7"/>
  <c r="J1977" i="7"/>
  <c r="J1978" i="7"/>
  <c r="J1979" i="7"/>
  <c r="J1980" i="7"/>
  <c r="J1981" i="7"/>
  <c r="J1982" i="7"/>
  <c r="J1983" i="7"/>
  <c r="J1985" i="7"/>
  <c r="J1986" i="7"/>
  <c r="J1987" i="7"/>
  <c r="J1988" i="7"/>
  <c r="J1989" i="7"/>
  <c r="J1990" i="7"/>
  <c r="J1991" i="7"/>
  <c r="J1992" i="7"/>
  <c r="J1993" i="7"/>
  <c r="J1994" i="7"/>
  <c r="J1995" i="7"/>
  <c r="J1996" i="7"/>
  <c r="J1997" i="7"/>
  <c r="J1998" i="7"/>
  <c r="J1999" i="7"/>
  <c r="J2000" i="7"/>
  <c r="J2001" i="7"/>
  <c r="J2002" i="7"/>
  <c r="J2003" i="7"/>
  <c r="J2004" i="7"/>
  <c r="J2005" i="7"/>
  <c r="J2006" i="7"/>
  <c r="J2007" i="7"/>
  <c r="J2008" i="7"/>
  <c r="J2009" i="7"/>
  <c r="J2010" i="7"/>
  <c r="J2011" i="7"/>
  <c r="J2012" i="7"/>
  <c r="J2013" i="7"/>
  <c r="J2014" i="7"/>
  <c r="J2015" i="7"/>
  <c r="J2016" i="7"/>
  <c r="J2018" i="7"/>
  <c r="J2019" i="7"/>
  <c r="J2020" i="7"/>
  <c r="J2021" i="7"/>
  <c r="J2023" i="7"/>
  <c r="J2024" i="7"/>
  <c r="J2025" i="7"/>
  <c r="J2027" i="7"/>
  <c r="J2028" i="7"/>
  <c r="J2029" i="7"/>
  <c r="J2030" i="7"/>
  <c r="J2031" i="7"/>
  <c r="J2032" i="7"/>
  <c r="J2033" i="7"/>
  <c r="J2034" i="7"/>
  <c r="J2035" i="7"/>
  <c r="J2036" i="7"/>
  <c r="J2037" i="7"/>
  <c r="J2038" i="7"/>
  <c r="J2039" i="7"/>
  <c r="J2040" i="7"/>
  <c r="J2041" i="7"/>
  <c r="J2042" i="7"/>
  <c r="J2043" i="7"/>
  <c r="J2044" i="7"/>
  <c r="J2045" i="7"/>
  <c r="J2046" i="7"/>
  <c r="J2047" i="7"/>
  <c r="J2048" i="7"/>
  <c r="J2049" i="7"/>
  <c r="J2050" i="7"/>
  <c r="J2051" i="7"/>
  <c r="J2052" i="7"/>
  <c r="J2053" i="7"/>
  <c r="J2054" i="7"/>
  <c r="J2055" i="7"/>
  <c r="J2056" i="7"/>
  <c r="J2057" i="7"/>
  <c r="J2058" i="7"/>
  <c r="J2059" i="7"/>
  <c r="J2060" i="7"/>
  <c r="J2061" i="7"/>
  <c r="J2062" i="7"/>
  <c r="J2063" i="7"/>
  <c r="J2064" i="7"/>
  <c r="J2066" i="7"/>
  <c r="J2067" i="7"/>
  <c r="J2068" i="7"/>
  <c r="J2069" i="7"/>
  <c r="J2070" i="7"/>
  <c r="J2071" i="7"/>
  <c r="J2072" i="7"/>
  <c r="J2073" i="7"/>
  <c r="J2074" i="7"/>
  <c r="J2075" i="7"/>
  <c r="J2076" i="7"/>
  <c r="J2077" i="7"/>
  <c r="J2078" i="7"/>
  <c r="J2079" i="7"/>
  <c r="J2081" i="7"/>
  <c r="J2082" i="7"/>
  <c r="J2083" i="7"/>
  <c r="J2084" i="7"/>
  <c r="J2085" i="7"/>
  <c r="J2086" i="7"/>
  <c r="J2087" i="7"/>
  <c r="J2088" i="7"/>
  <c r="J2089" i="7"/>
  <c r="J2090" i="7"/>
  <c r="J2091" i="7"/>
  <c r="J2092" i="7"/>
  <c r="J2093" i="7"/>
  <c r="J2095" i="7"/>
  <c r="J2096" i="7"/>
  <c r="J2097" i="7"/>
  <c r="J2098" i="7"/>
  <c r="J2099" i="7"/>
  <c r="J2100" i="7"/>
  <c r="J2101" i="7"/>
  <c r="J2102" i="7"/>
  <c r="J2103" i="7"/>
  <c r="J2104" i="7"/>
  <c r="J2105" i="7"/>
  <c r="J2106" i="7"/>
  <c r="J2107" i="7"/>
  <c r="J2109" i="7"/>
  <c r="J2110" i="7"/>
  <c r="J2111" i="7"/>
  <c r="J2112" i="7"/>
  <c r="J2113" i="7"/>
  <c r="J2114" i="7"/>
  <c r="J2115" i="7"/>
  <c r="J2116" i="7"/>
  <c r="J2117" i="7"/>
  <c r="J2118" i="7"/>
  <c r="J2119" i="7"/>
  <c r="J2120" i="7"/>
  <c r="J2121" i="7"/>
  <c r="J2123" i="7"/>
  <c r="J2124" i="7"/>
  <c r="J2125" i="7"/>
  <c r="J2126" i="7"/>
  <c r="J2127" i="7"/>
  <c r="J2128" i="7"/>
  <c r="J2129" i="7"/>
  <c r="J2130" i="7"/>
  <c r="J2131" i="7"/>
  <c r="J2132" i="7"/>
  <c r="J2133" i="7"/>
  <c r="J2134" i="7"/>
  <c r="J2135" i="7"/>
  <c r="J2137" i="7"/>
  <c r="J2138" i="7"/>
  <c r="J2139" i="7"/>
  <c r="J2140" i="7"/>
  <c r="J2142" i="7"/>
  <c r="J2143" i="7"/>
  <c r="J2144" i="7"/>
  <c r="J2145" i="7"/>
  <c r="J2146" i="7"/>
  <c r="J2147" i="7"/>
  <c r="J2148" i="7"/>
  <c r="J2149" i="7"/>
  <c r="J2150" i="7"/>
  <c r="J2151" i="7"/>
  <c r="J2152" i="7"/>
  <c r="J2153" i="7"/>
  <c r="J2155" i="7"/>
  <c r="J2156" i="7"/>
  <c r="J2157" i="7"/>
  <c r="J2158" i="7"/>
  <c r="J2159" i="7"/>
  <c r="J2160" i="7"/>
  <c r="J2161" i="7"/>
  <c r="J2162" i="7"/>
  <c r="J2163" i="7"/>
  <c r="J2164" i="7"/>
  <c r="J2165" i="7"/>
  <c r="J2166" i="7"/>
  <c r="J2167" i="7"/>
  <c r="J2168" i="7"/>
  <c r="J2169" i="7"/>
  <c r="J2170" i="7"/>
  <c r="J2171" i="7"/>
  <c r="J2172" i="7"/>
  <c r="J2173" i="7"/>
  <c r="J2174" i="7"/>
  <c r="J2175" i="7"/>
  <c r="J2176" i="7"/>
  <c r="J2177" i="7"/>
  <c r="J2178" i="7"/>
  <c r="J2179" i="7"/>
  <c r="J2180" i="7"/>
  <c r="J2181" i="7"/>
  <c r="J2182" i="7"/>
  <c r="J2183" i="7"/>
  <c r="J2184" i="7"/>
  <c r="J2185" i="7"/>
  <c r="J2186" i="7"/>
  <c r="J2187" i="7"/>
  <c r="J2188" i="7"/>
  <c r="J2189" i="7"/>
  <c r="J2190" i="7"/>
  <c r="J2191" i="7"/>
  <c r="J2192" i="7"/>
  <c r="J2193" i="7"/>
  <c r="J2194" i="7"/>
  <c r="J2195" i="7"/>
  <c r="J2196" i="7"/>
  <c r="J2197" i="7"/>
  <c r="J2198" i="7"/>
  <c r="J2199" i="7"/>
  <c r="J2200" i="7"/>
  <c r="J2201" i="7"/>
  <c r="J2202" i="7"/>
  <c r="J2203" i="7"/>
  <c r="J2204" i="7"/>
  <c r="J2205" i="7"/>
  <c r="J2206" i="7"/>
  <c r="J2208" i="7"/>
  <c r="J2209" i="7"/>
  <c r="J2210" i="7"/>
  <c r="J2211" i="7"/>
  <c r="J2212" i="7"/>
  <c r="J2213" i="7"/>
  <c r="J2214" i="7"/>
  <c r="J2215" i="7"/>
  <c r="J2216" i="7"/>
  <c r="J2217" i="7"/>
  <c r="J2218" i="7"/>
  <c r="J2219" i="7"/>
  <c r="J2220" i="7"/>
  <c r="J2221" i="7"/>
  <c r="J2222" i="7"/>
  <c r="J2223" i="7"/>
  <c r="J2224" i="7"/>
  <c r="J2225" i="7"/>
  <c r="J2226" i="7"/>
  <c r="J2227" i="7"/>
  <c r="J2228" i="7"/>
  <c r="J2229" i="7"/>
  <c r="J2230" i="7"/>
  <c r="J2231" i="7"/>
  <c r="J2232" i="7"/>
  <c r="J2234" i="7"/>
  <c r="J2235" i="7"/>
  <c r="J2236" i="7"/>
  <c r="J2237" i="7"/>
  <c r="J2238" i="7"/>
  <c r="J2239" i="7"/>
  <c r="J2240" i="7"/>
  <c r="J2241" i="7"/>
  <c r="J2242" i="7"/>
  <c r="J2243" i="7"/>
  <c r="J2244" i="7"/>
  <c r="J2245" i="7"/>
  <c r="J2246" i="7"/>
  <c r="J2247" i="7"/>
  <c r="J2248" i="7"/>
  <c r="J2249" i="7"/>
  <c r="J2250" i="7"/>
  <c r="J2251" i="7"/>
  <c r="J2252" i="7"/>
  <c r="J2253" i="7"/>
  <c r="J2254" i="7"/>
  <c r="J2255" i="7"/>
  <c r="J2256" i="7"/>
  <c r="J2258" i="7"/>
  <c r="J2259" i="7"/>
  <c r="J2260" i="7"/>
  <c r="J2261" i="7"/>
  <c r="J2262" i="7"/>
  <c r="J2264" i="7"/>
  <c r="J2265" i="7"/>
  <c r="J2266" i="7"/>
  <c r="J2267" i="7"/>
  <c r="J2268" i="7"/>
  <c r="J2269" i="7"/>
  <c r="J2270" i="7"/>
  <c r="J2271" i="7"/>
  <c r="J2272" i="7"/>
  <c r="J2274" i="7"/>
  <c r="J2275" i="7"/>
  <c r="J2276" i="7"/>
  <c r="J2277" i="7"/>
  <c r="J2278" i="7"/>
  <c r="J2279" i="7"/>
  <c r="J2280" i="7"/>
  <c r="J2281" i="7"/>
  <c r="J2282" i="7"/>
  <c r="J2283" i="7"/>
  <c r="J2284" i="7"/>
  <c r="J2285" i="7"/>
  <c r="J2286" i="7"/>
  <c r="J2287" i="7"/>
  <c r="J2288" i="7"/>
  <c r="J2289" i="7"/>
  <c r="J2290" i="7"/>
  <c r="J2292" i="7"/>
  <c r="J2293" i="7"/>
  <c r="J2294" i="7"/>
  <c r="J2295" i="7"/>
  <c r="J2296" i="7"/>
  <c r="J2297" i="7"/>
  <c r="J2298" i="7"/>
  <c r="J2299" i="7"/>
  <c r="J2300" i="7"/>
  <c r="J2301" i="7"/>
  <c r="J2302" i="7"/>
  <c r="J2303" i="7"/>
  <c r="J2304" i="7"/>
  <c r="J2305" i="7"/>
  <c r="J2306" i="7"/>
  <c r="J2307" i="7"/>
  <c r="J2308" i="7"/>
  <c r="J2309" i="7"/>
  <c r="J2310" i="7"/>
  <c r="J2311" i="7"/>
  <c r="J2312" i="7"/>
  <c r="J2313" i="7"/>
  <c r="J2314" i="7"/>
  <c r="J2315" i="7"/>
  <c r="J2317" i="7"/>
  <c r="J2318" i="7"/>
  <c r="J2319" i="7"/>
  <c r="J2320" i="7"/>
  <c r="J2321" i="7"/>
  <c r="J2322" i="7"/>
  <c r="J2323" i="7"/>
  <c r="J2324" i="7"/>
  <c r="J2325" i="7"/>
  <c r="J2326" i="7"/>
  <c r="J2327" i="7"/>
  <c r="J2328" i="7"/>
  <c r="J2329" i="7"/>
  <c r="J2330" i="7"/>
  <c r="J2331" i="7"/>
  <c r="J2332" i="7"/>
  <c r="J2333" i="7"/>
  <c r="J2334" i="7"/>
  <c r="J2336" i="7"/>
  <c r="J2337" i="7"/>
  <c r="J2338" i="7"/>
  <c r="J2339" i="7"/>
  <c r="J2340" i="7"/>
  <c r="J2341" i="7"/>
  <c r="J2342" i="7"/>
  <c r="J2343" i="7"/>
  <c r="J2344" i="7"/>
  <c r="J2346" i="7"/>
  <c r="J2347" i="7"/>
  <c r="J2349" i="7"/>
  <c r="J2350" i="7"/>
  <c r="J2351" i="7"/>
  <c r="J2352" i="7"/>
  <c r="J2353" i="7"/>
  <c r="J2354" i="7"/>
  <c r="J2355" i="7"/>
  <c r="J2356" i="7"/>
  <c r="J2357" i="7"/>
  <c r="J2358" i="7"/>
  <c r="J2359" i="7"/>
  <c r="J2360" i="7"/>
  <c r="J2361" i="7"/>
  <c r="J2363" i="7"/>
  <c r="J2364" i="7"/>
  <c r="J2365" i="7"/>
  <c r="J2366" i="7"/>
  <c r="J2367" i="7"/>
  <c r="J2368" i="7"/>
  <c r="J2369" i="7"/>
  <c r="J2370" i="7"/>
  <c r="J2371" i="7"/>
  <c r="J2372" i="7"/>
  <c r="J2373" i="7"/>
  <c r="J2374" i="7"/>
  <c r="J2375" i="7"/>
  <c r="J2376" i="7"/>
  <c r="J2377" i="7"/>
  <c r="J2378" i="7"/>
  <c r="J2379" i="7"/>
  <c r="J2380" i="7"/>
  <c r="J2381" i="7"/>
  <c r="J2382" i="7"/>
  <c r="J2383" i="7"/>
  <c r="J2384" i="7"/>
  <c r="J2385" i="7"/>
  <c r="J2386" i="7"/>
  <c r="J2387" i="7"/>
  <c r="J2388" i="7"/>
  <c r="J2389" i="7"/>
  <c r="J2391" i="7"/>
  <c r="J2392" i="7"/>
  <c r="J2393" i="7"/>
  <c r="J2394" i="7"/>
  <c r="J2395" i="7"/>
  <c r="J2396" i="7"/>
  <c r="J2397" i="7"/>
  <c r="J2399" i="7"/>
  <c r="J2400" i="7"/>
  <c r="J2401" i="7"/>
  <c r="J2402" i="7"/>
  <c r="J2403" i="7"/>
  <c r="J2404" i="7"/>
  <c r="J2406" i="7"/>
  <c r="J2407" i="7"/>
  <c r="J2408" i="7"/>
  <c r="J2409" i="7"/>
  <c r="J2410" i="7"/>
  <c r="J2411" i="7"/>
  <c r="J2412" i="7"/>
  <c r="J2413" i="7"/>
  <c r="J2414" i="7"/>
  <c r="J2416" i="7"/>
  <c r="J2417" i="7"/>
  <c r="J2418" i="7"/>
  <c r="J2419" i="7"/>
  <c r="J2420" i="7"/>
  <c r="J2421" i="7"/>
  <c r="J2422" i="7"/>
  <c r="J2423" i="7"/>
  <c r="J2424" i="7"/>
  <c r="J2425" i="7"/>
  <c r="J2426" i="7"/>
  <c r="J2427" i="7"/>
  <c r="J2428" i="7"/>
  <c r="J2429" i="7"/>
  <c r="J2430" i="7"/>
  <c r="J2432" i="7"/>
  <c r="J2433" i="7"/>
  <c r="J2434" i="7"/>
  <c r="J2435" i="7"/>
  <c r="J2436" i="7"/>
  <c r="J2437" i="7"/>
  <c r="J2438" i="7"/>
  <c r="J2439" i="7"/>
  <c r="J2440" i="7"/>
  <c r="J2441" i="7"/>
  <c r="J2442" i="7"/>
  <c r="J2443" i="7"/>
  <c r="J2444" i="7"/>
  <c r="J2445" i="7"/>
  <c r="J2446" i="7"/>
  <c r="J2447" i="7"/>
  <c r="J2448" i="7"/>
  <c r="J2449" i="7"/>
  <c r="J2450" i="7"/>
  <c r="J2451" i="7"/>
  <c r="J2452" i="7"/>
  <c r="J2453" i="7"/>
  <c r="J2454" i="7"/>
  <c r="J2455" i="7"/>
  <c r="J2456" i="7"/>
  <c r="J2457" i="7"/>
  <c r="J2458" i="7"/>
  <c r="J2459" i="7"/>
  <c r="J2460" i="7"/>
  <c r="J2461" i="7"/>
  <c r="J2462" i="7"/>
  <c r="J2463" i="7"/>
  <c r="J2464" i="7"/>
  <c r="J2465" i="7"/>
  <c r="J2466" i="7"/>
  <c r="J2467" i="7"/>
  <c r="J2468" i="7"/>
  <c r="J2469" i="7"/>
  <c r="J2470" i="7"/>
  <c r="J2471" i="7"/>
  <c r="J2472" i="7"/>
  <c r="J2473" i="7"/>
  <c r="J2474" i="7"/>
  <c r="J2475" i="7"/>
  <c r="J2476" i="7"/>
  <c r="J2477" i="7"/>
  <c r="J2478" i="7"/>
  <c r="J2479" i="7"/>
  <c r="J2480" i="7"/>
  <c r="J2481" i="7"/>
  <c r="J2482" i="7"/>
  <c r="J2483" i="7"/>
  <c r="J2484" i="7"/>
  <c r="J2485" i="7"/>
  <c r="J2486" i="7"/>
  <c r="J2487" i="7"/>
  <c r="J2488" i="7"/>
  <c r="J2489" i="7"/>
  <c r="J2490" i="7"/>
  <c r="J2491" i="7"/>
  <c r="J2492" i="7"/>
  <c r="J2493" i="7"/>
  <c r="J2494" i="7"/>
  <c r="J2495" i="7"/>
  <c r="J2496" i="7"/>
  <c r="J2497" i="7"/>
  <c r="J2498" i="7"/>
  <c r="J2499" i="7"/>
  <c r="J2500" i="7"/>
  <c r="J2501" i="7"/>
  <c r="J2502" i="7"/>
  <c r="J2503" i="7"/>
  <c r="J2504" i="7"/>
  <c r="J2505" i="7"/>
  <c r="J2506" i="7"/>
  <c r="J2507" i="7"/>
  <c r="J2508" i="7"/>
  <c r="J2509" i="7"/>
  <c r="J2510" i="7"/>
  <c r="J2511" i="7"/>
  <c r="J2512" i="7"/>
  <c r="J2513" i="7"/>
  <c r="J2514" i="7"/>
  <c r="J2515" i="7"/>
  <c r="J2516" i="7"/>
  <c r="J2517" i="7"/>
  <c r="J2519" i="7"/>
  <c r="J2520" i="7"/>
  <c r="J2521" i="7"/>
  <c r="J2522" i="7"/>
  <c r="J2523" i="7"/>
  <c r="J2524" i="7"/>
  <c r="J2525" i="7"/>
  <c r="J2526" i="7"/>
  <c r="J2527" i="7"/>
  <c r="J2528" i="7"/>
  <c r="J2529" i="7"/>
  <c r="J2531" i="7"/>
  <c r="J2532" i="7"/>
  <c r="J2533" i="7"/>
  <c r="J2534" i="7"/>
  <c r="J2535" i="7"/>
  <c r="J2536" i="7"/>
  <c r="J2538" i="7"/>
  <c r="J2539" i="7"/>
  <c r="J2540" i="7"/>
  <c r="J2541" i="7"/>
  <c r="J2543" i="7"/>
  <c r="J2544" i="7"/>
  <c r="J2545" i="7"/>
  <c r="J2546" i="7"/>
  <c r="J2547" i="7"/>
  <c r="J2548" i="7"/>
  <c r="J2549" i="7"/>
  <c r="J2550" i="7"/>
  <c r="J2551" i="7"/>
  <c r="J2553" i="7"/>
  <c r="J2554" i="7"/>
  <c r="J2555" i="7"/>
  <c r="J2556" i="7"/>
  <c r="J2557" i="7"/>
  <c r="J2558" i="7"/>
  <c r="J2559" i="7"/>
  <c r="J2560" i="7"/>
  <c r="J2561" i="7"/>
  <c r="J2562" i="7"/>
  <c r="J2563" i="7"/>
  <c r="J2564" i="7"/>
  <c r="J2565" i="7"/>
  <c r="J2566" i="7"/>
  <c r="J2567" i="7"/>
  <c r="J2569" i="7"/>
  <c r="J2570" i="7"/>
  <c r="J2571" i="7"/>
  <c r="J2572" i="7"/>
  <c r="J2573" i="7"/>
  <c r="J2574" i="7"/>
  <c r="J2576" i="7"/>
  <c r="J2577" i="7"/>
  <c r="J2578" i="7"/>
  <c r="J2579" i="7"/>
  <c r="J2580" i="7"/>
  <c r="J2581" i="7"/>
  <c r="J2582" i="7"/>
  <c r="J2583" i="7"/>
  <c r="J2584" i="7"/>
  <c r="J2585" i="7"/>
  <c r="J2586" i="7"/>
  <c r="J2587" i="7"/>
  <c r="J2588" i="7"/>
  <c r="J2589" i="7"/>
  <c r="J2590" i="7"/>
  <c r="J2591" i="7"/>
  <c r="I38" i="7"/>
  <c r="I36" i="7"/>
  <c r="I17" i="7"/>
  <c r="I19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40" i="7"/>
  <c r="I42" i="7"/>
  <c r="I44" i="7"/>
  <c r="I46" i="7"/>
  <c r="I48" i="7"/>
  <c r="I50" i="7"/>
  <c r="I52" i="7"/>
  <c r="I54" i="7"/>
  <c r="I56" i="7"/>
  <c r="I58" i="7"/>
  <c r="I60" i="7"/>
  <c r="I62" i="7"/>
  <c r="I65" i="7"/>
  <c r="I67" i="7"/>
  <c r="I69" i="7"/>
  <c r="I71" i="7"/>
  <c r="I73" i="7"/>
  <c r="I75" i="7"/>
  <c r="I77" i="7"/>
  <c r="I79" i="7"/>
  <c r="I81" i="7"/>
  <c r="I83" i="7"/>
  <c r="I85" i="7"/>
  <c r="I87" i="7"/>
  <c r="I89" i="7"/>
  <c r="I91" i="7"/>
  <c r="I93" i="7"/>
  <c r="I95" i="7"/>
  <c r="I97" i="7"/>
  <c r="I99" i="7"/>
  <c r="I101" i="7"/>
  <c r="I104" i="7"/>
  <c r="I108" i="7"/>
  <c r="I110" i="7"/>
  <c r="I111" i="7"/>
  <c r="I112" i="7"/>
  <c r="I113" i="7"/>
  <c r="I114" i="7"/>
  <c r="I115" i="7"/>
  <c r="I116" i="7"/>
  <c r="I118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4" i="7"/>
  <c r="I136" i="7"/>
  <c r="I137" i="7"/>
  <c r="I139" i="7"/>
  <c r="I140" i="7"/>
  <c r="I141" i="7"/>
  <c r="I142" i="7"/>
  <c r="I143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60" i="7"/>
  <c r="I161" i="7"/>
  <c r="I163" i="7"/>
  <c r="I164" i="7"/>
  <c r="I166" i="7"/>
  <c r="I167" i="7"/>
  <c r="I168" i="7"/>
  <c r="I169" i="7"/>
  <c r="I171" i="7"/>
  <c r="I173" i="7"/>
  <c r="I175" i="7"/>
  <c r="I176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10" i="7"/>
  <c r="I211" i="7"/>
  <c r="I213" i="7"/>
  <c r="I214" i="7"/>
  <c r="I215" i="7"/>
  <c r="I216" i="7"/>
  <c r="I218" i="7"/>
  <c r="I219" i="7"/>
  <c r="I220" i="7"/>
  <c r="I221" i="7"/>
  <c r="I224" i="7"/>
  <c r="I225" i="7"/>
  <c r="I226" i="7"/>
  <c r="I228" i="7"/>
  <c r="I229" i="7"/>
  <c r="I230" i="7"/>
  <c r="I231" i="7"/>
  <c r="I232" i="7"/>
  <c r="I233" i="7"/>
  <c r="I234" i="7"/>
  <c r="I235" i="7"/>
  <c r="I237" i="7"/>
  <c r="I238" i="7"/>
  <c r="I239" i="7"/>
  <c r="I241" i="7"/>
  <c r="I242" i="7"/>
  <c r="I243" i="7"/>
  <c r="I245" i="7"/>
  <c r="I246" i="7"/>
  <c r="I247" i="7"/>
  <c r="I249" i="7"/>
  <c r="I250" i="7"/>
  <c r="I251" i="7"/>
  <c r="I253" i="7"/>
  <c r="I255" i="7"/>
  <c r="I259" i="7"/>
  <c r="I260" i="7"/>
  <c r="I261" i="7"/>
  <c r="I262" i="7"/>
  <c r="I263" i="7"/>
  <c r="I264" i="7"/>
  <c r="I265" i="7"/>
  <c r="I266" i="7"/>
  <c r="I267" i="7"/>
  <c r="I268" i="7"/>
  <c r="I269" i="7"/>
  <c r="I271" i="7"/>
  <c r="I272" i="7"/>
  <c r="I273" i="7"/>
  <c r="I274" i="7"/>
  <c r="I276" i="7"/>
  <c r="I277" i="7"/>
  <c r="I278" i="7"/>
  <c r="I279" i="7"/>
  <c r="I281" i="7"/>
  <c r="I282" i="7"/>
  <c r="I284" i="7"/>
  <c r="I285" i="7"/>
  <c r="I286" i="7"/>
  <c r="I287" i="7"/>
  <c r="I288" i="7"/>
  <c r="I289" i="7"/>
  <c r="I291" i="7"/>
  <c r="I292" i="7"/>
  <c r="I293" i="7"/>
  <c r="I294" i="7"/>
  <c r="I295" i="7"/>
  <c r="I297" i="7"/>
  <c r="I298" i="7"/>
  <c r="I299" i="7"/>
  <c r="I300" i="7"/>
  <c r="I302" i="7"/>
  <c r="I303" i="7"/>
  <c r="I304" i="7"/>
  <c r="I305" i="7"/>
  <c r="I307" i="7"/>
  <c r="I308" i="7"/>
  <c r="I309" i="7"/>
  <c r="I310" i="7"/>
  <c r="I311" i="7"/>
  <c r="I313" i="7"/>
  <c r="I314" i="7"/>
  <c r="I315" i="7"/>
  <c r="I316" i="7"/>
  <c r="I317" i="7"/>
  <c r="I319" i="7"/>
  <c r="I320" i="7"/>
  <c r="I323" i="7"/>
  <c r="I324" i="7"/>
  <c r="I326" i="7"/>
  <c r="I327" i="7"/>
  <c r="I328" i="7"/>
  <c r="I331" i="7"/>
  <c r="I332" i="7"/>
  <c r="I333" i="7"/>
  <c r="I334" i="7"/>
  <c r="I335" i="7"/>
  <c r="I337" i="7"/>
  <c r="I338" i="7"/>
  <c r="I339" i="7"/>
  <c r="I340" i="7"/>
  <c r="I341" i="7"/>
  <c r="I342" i="7"/>
  <c r="I344" i="7"/>
  <c r="I345" i="7"/>
  <c r="I346" i="7"/>
  <c r="I347" i="7"/>
  <c r="I348" i="7"/>
  <c r="I349" i="7"/>
  <c r="I350" i="7"/>
  <c r="I351" i="7"/>
  <c r="I352" i="7"/>
  <c r="I353" i="7"/>
  <c r="I354" i="7"/>
  <c r="I356" i="7"/>
  <c r="I358" i="7"/>
  <c r="I359" i="7"/>
  <c r="I360" i="7"/>
  <c r="I361" i="7"/>
  <c r="I362" i="7"/>
  <c r="I364" i="7"/>
  <c r="I365" i="7"/>
  <c r="I368" i="7"/>
  <c r="I370" i="7"/>
  <c r="I372" i="7"/>
  <c r="I373" i="7"/>
  <c r="I374" i="7"/>
  <c r="I375" i="7"/>
  <c r="I376" i="7"/>
  <c r="I377" i="7"/>
  <c r="I379" i="7"/>
  <c r="I380" i="7"/>
  <c r="I381" i="7"/>
  <c r="I382" i="7"/>
  <c r="I383" i="7"/>
  <c r="I384" i="7"/>
  <c r="I385" i="7"/>
  <c r="I386" i="7"/>
  <c r="I387" i="7"/>
  <c r="I388" i="7"/>
  <c r="I390" i="7"/>
  <c r="I391" i="7"/>
  <c r="I393" i="7"/>
  <c r="I394" i="7"/>
  <c r="I396" i="7"/>
  <c r="I397" i="7"/>
  <c r="I399" i="7"/>
  <c r="I401" i="7"/>
  <c r="I403" i="7"/>
  <c r="I405" i="7"/>
  <c r="I406" i="7"/>
  <c r="I407" i="7"/>
  <c r="I408" i="7"/>
  <c r="I411" i="7"/>
  <c r="I412" i="7"/>
  <c r="I414" i="7"/>
  <c r="I416" i="7"/>
  <c r="I417" i="7"/>
  <c r="I419" i="7"/>
  <c r="I420" i="7"/>
  <c r="I422" i="7"/>
  <c r="I423" i="7"/>
  <c r="I425" i="7"/>
  <c r="I427" i="7"/>
  <c r="I428" i="7"/>
  <c r="I429" i="7"/>
  <c r="I430" i="7"/>
  <c r="I431" i="7"/>
  <c r="I432" i="7"/>
  <c r="I433" i="7"/>
  <c r="I434" i="7"/>
  <c r="I435" i="7"/>
  <c r="I437" i="7"/>
  <c r="I439" i="7"/>
  <c r="I440" i="7"/>
  <c r="I441" i="7"/>
  <c r="I442" i="7"/>
  <c r="I443" i="7"/>
  <c r="I444" i="7"/>
  <c r="I445" i="7"/>
  <c r="I447" i="7"/>
  <c r="I448" i="7"/>
  <c r="I450" i="7"/>
  <c r="I452" i="7"/>
  <c r="I453" i="7"/>
  <c r="I454" i="7"/>
  <c r="I455" i="7"/>
  <c r="I456" i="7"/>
  <c r="I457" i="7"/>
  <c r="I458" i="7"/>
  <c r="I460" i="7"/>
  <c r="I461" i="7"/>
  <c r="I463" i="7"/>
  <c r="I464" i="7"/>
  <c r="I465" i="7"/>
  <c r="I467" i="7"/>
  <c r="I469" i="7"/>
  <c r="I470" i="7"/>
  <c r="I471" i="7"/>
  <c r="I472" i="7"/>
  <c r="I473" i="7"/>
  <c r="I474" i="7"/>
  <c r="I475" i="7"/>
  <c r="I476" i="7"/>
  <c r="I478" i="7"/>
  <c r="I479" i="7"/>
  <c r="I482" i="7"/>
  <c r="I483" i="7"/>
  <c r="I484" i="7"/>
  <c r="I485" i="7"/>
  <c r="I486" i="7"/>
  <c r="I487" i="7"/>
  <c r="I489" i="7"/>
  <c r="I490" i="7"/>
  <c r="I491" i="7"/>
  <c r="I492" i="7"/>
  <c r="I493" i="7"/>
  <c r="I494" i="7"/>
  <c r="I495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10" i="7"/>
  <c r="I512" i="7"/>
  <c r="I514" i="7"/>
  <c r="I515" i="7"/>
  <c r="I516" i="7"/>
  <c r="I517" i="7"/>
  <c r="I520" i="7"/>
  <c r="I521" i="7"/>
  <c r="I522" i="7"/>
  <c r="I524" i="7"/>
  <c r="I525" i="7"/>
  <c r="I526" i="7"/>
  <c r="I527" i="7"/>
  <c r="I528" i="7"/>
  <c r="I529" i="7"/>
  <c r="I530" i="7"/>
  <c r="I532" i="7"/>
  <c r="I533" i="7"/>
  <c r="I534" i="7"/>
  <c r="I535" i="7"/>
  <c r="I536" i="7"/>
  <c r="I537" i="7"/>
  <c r="I538" i="7"/>
  <c r="I540" i="7"/>
  <c r="I541" i="7"/>
  <c r="I542" i="7"/>
  <c r="I543" i="7"/>
  <c r="I544" i="7"/>
  <c r="I546" i="7"/>
  <c r="I547" i="7"/>
  <c r="I548" i="7"/>
  <c r="I550" i="7"/>
  <c r="I551" i="7"/>
  <c r="I552" i="7"/>
  <c r="I553" i="7"/>
  <c r="I554" i="7"/>
  <c r="I556" i="7"/>
  <c r="I558" i="7"/>
  <c r="I560" i="7"/>
  <c r="I561" i="7"/>
  <c r="I562" i="7"/>
  <c r="I564" i="7"/>
  <c r="I566" i="7"/>
  <c r="I567" i="7"/>
  <c r="I568" i="7"/>
  <c r="I569" i="7"/>
  <c r="I570" i="7"/>
  <c r="I571" i="7"/>
  <c r="I572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8" i="7"/>
  <c r="I589" i="7"/>
  <c r="I590" i="7"/>
  <c r="I591" i="7"/>
  <c r="I592" i="7"/>
  <c r="I593" i="7"/>
  <c r="I594" i="7"/>
  <c r="I595" i="7"/>
  <c r="I596" i="7"/>
  <c r="I598" i="7"/>
  <c r="I599" i="7"/>
  <c r="I600" i="7"/>
  <c r="I601" i="7"/>
  <c r="I602" i="7"/>
  <c r="I603" i="7"/>
  <c r="I604" i="7"/>
  <c r="I606" i="7"/>
  <c r="I607" i="7"/>
  <c r="I608" i="7"/>
  <c r="I609" i="7"/>
  <c r="I610" i="7"/>
  <c r="I611" i="7"/>
  <c r="I612" i="7"/>
  <c r="I613" i="7"/>
  <c r="I614" i="7"/>
  <c r="I615" i="7"/>
  <c r="I616" i="7"/>
  <c r="I619" i="7"/>
  <c r="I620" i="7"/>
  <c r="I621" i="7"/>
  <c r="I622" i="7"/>
  <c r="I623" i="7"/>
  <c r="I624" i="7"/>
  <c r="I625" i="7"/>
  <c r="I626" i="7"/>
  <c r="I627" i="7"/>
  <c r="I628" i="7"/>
  <c r="I630" i="7"/>
  <c r="I631" i="7"/>
  <c r="I632" i="7"/>
  <c r="I633" i="7"/>
  <c r="I634" i="7"/>
  <c r="I635" i="7"/>
  <c r="I637" i="7"/>
  <c r="I638" i="7"/>
  <c r="I647" i="7"/>
  <c r="I648" i="7"/>
  <c r="I649" i="7"/>
  <c r="I650" i="7"/>
  <c r="I651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6" i="7"/>
  <c r="I667" i="7"/>
  <c r="I668" i="7"/>
  <c r="I669" i="7"/>
  <c r="I670" i="7"/>
  <c r="I671" i="7"/>
  <c r="I672" i="7"/>
  <c r="I673" i="7"/>
  <c r="I674" i="7"/>
  <c r="I675" i="7"/>
  <c r="I676" i="7"/>
  <c r="I678" i="7"/>
  <c r="I679" i="7"/>
  <c r="I680" i="7"/>
  <c r="I681" i="7"/>
  <c r="I682" i="7"/>
  <c r="I685" i="7"/>
  <c r="I686" i="7"/>
  <c r="I687" i="7"/>
  <c r="I688" i="7"/>
  <c r="I689" i="7"/>
  <c r="I690" i="7"/>
  <c r="I691" i="7"/>
  <c r="I692" i="7"/>
  <c r="I693" i="7"/>
  <c r="I694" i="7"/>
  <c r="I695" i="7"/>
  <c r="I697" i="7"/>
  <c r="I698" i="7"/>
  <c r="I699" i="7"/>
  <c r="I700" i="7"/>
  <c r="I701" i="7"/>
  <c r="I702" i="7"/>
  <c r="I703" i="7"/>
  <c r="I704" i="7"/>
  <c r="I706" i="7"/>
  <c r="I707" i="7"/>
  <c r="I708" i="7"/>
  <c r="I710" i="7"/>
  <c r="I711" i="7"/>
  <c r="I712" i="7"/>
  <c r="I714" i="7"/>
  <c r="I715" i="7"/>
  <c r="I716" i="7"/>
  <c r="I717" i="7"/>
  <c r="I718" i="7"/>
  <c r="I719" i="7"/>
  <c r="I720" i="7"/>
  <c r="I722" i="7"/>
  <c r="I723" i="7"/>
  <c r="I724" i="7"/>
  <c r="I725" i="7"/>
  <c r="I726" i="7"/>
  <c r="I727" i="7"/>
  <c r="I728" i="7"/>
  <c r="I730" i="7"/>
  <c r="I731" i="7"/>
  <c r="I732" i="7"/>
  <c r="I733" i="7"/>
  <c r="I734" i="7"/>
  <c r="I735" i="7"/>
  <c r="I736" i="7"/>
  <c r="I737" i="7"/>
  <c r="I738" i="7"/>
  <c r="I740" i="7"/>
  <c r="I741" i="7"/>
  <c r="I742" i="7"/>
  <c r="I743" i="7"/>
  <c r="I744" i="7"/>
  <c r="I745" i="7"/>
  <c r="I746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1" i="7"/>
  <c r="I762" i="7"/>
  <c r="I763" i="7"/>
  <c r="I764" i="7"/>
  <c r="I766" i="7"/>
  <c r="I769" i="7"/>
  <c r="I770" i="7"/>
  <c r="I771" i="7"/>
  <c r="I772" i="7"/>
  <c r="I773" i="7"/>
  <c r="I774" i="7"/>
  <c r="I775" i="7"/>
  <c r="I776" i="7"/>
  <c r="I777" i="7"/>
  <c r="I778" i="7"/>
  <c r="I780" i="7"/>
  <c r="I781" i="7"/>
  <c r="I782" i="7"/>
  <c r="I783" i="7"/>
  <c r="I784" i="7"/>
  <c r="I786" i="7"/>
  <c r="I787" i="7"/>
  <c r="I788" i="7"/>
  <c r="I790" i="7"/>
  <c r="I791" i="7"/>
  <c r="I792" i="7"/>
  <c r="I793" i="7"/>
  <c r="I794" i="7"/>
  <c r="I796" i="7"/>
  <c r="I797" i="7"/>
  <c r="I798" i="7"/>
  <c r="I799" i="7"/>
  <c r="I800" i="7"/>
  <c r="I801" i="7"/>
  <c r="I802" i="7"/>
  <c r="I803" i="7"/>
  <c r="I804" i="7"/>
  <c r="I806" i="7"/>
  <c r="I807" i="7"/>
  <c r="I808" i="7"/>
  <c r="I809" i="7"/>
  <c r="I810" i="7"/>
  <c r="I811" i="7"/>
  <c r="I812" i="7"/>
  <c r="I813" i="7"/>
  <c r="I814" i="7"/>
  <c r="I815" i="7"/>
  <c r="I816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3" i="7"/>
  <c r="I834" i="7"/>
  <c r="I835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8" i="7"/>
  <c r="I869" i="7"/>
  <c r="I870" i="7"/>
  <c r="I871" i="7"/>
  <c r="I872" i="7"/>
  <c r="I873" i="7"/>
  <c r="I874" i="7"/>
  <c r="I875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90" i="7"/>
  <c r="I891" i="7"/>
  <c r="I892" i="7"/>
  <c r="I894" i="7"/>
  <c r="I895" i="7"/>
  <c r="I896" i="7"/>
  <c r="I897" i="7"/>
  <c r="I898" i="7"/>
  <c r="I899" i="7"/>
  <c r="I900" i="7"/>
  <c r="I901" i="7"/>
  <c r="I902" i="7"/>
  <c r="I903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1" i="7"/>
  <c r="I922" i="7"/>
  <c r="I923" i="7"/>
  <c r="I924" i="7"/>
  <c r="I925" i="7"/>
  <c r="I926" i="7"/>
  <c r="I927" i="7"/>
  <c r="I929" i="7"/>
  <c r="I930" i="7"/>
  <c r="I932" i="7"/>
  <c r="I933" i="7"/>
  <c r="I935" i="7"/>
  <c r="I936" i="7"/>
  <c r="I937" i="7"/>
  <c r="I938" i="7"/>
  <c r="I939" i="7"/>
  <c r="I940" i="7"/>
  <c r="I941" i="7"/>
  <c r="I942" i="7"/>
  <c r="I943" i="7"/>
  <c r="I944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2" i="7"/>
  <c r="I963" i="7"/>
  <c r="I964" i="7"/>
  <c r="I965" i="7"/>
  <c r="I966" i="7"/>
  <c r="I967" i="7"/>
  <c r="I968" i="7"/>
  <c r="I969" i="7"/>
  <c r="I970" i="7"/>
  <c r="I971" i="7"/>
  <c r="I972" i="7"/>
  <c r="I974" i="7"/>
  <c r="I975" i="7"/>
  <c r="I976" i="7"/>
  <c r="I977" i="7"/>
  <c r="I978" i="7"/>
  <c r="I979" i="7"/>
  <c r="I980" i="7"/>
  <c r="I981" i="7"/>
  <c r="I982" i="7"/>
  <c r="I983" i="7"/>
  <c r="I984" i="7"/>
  <c r="I986" i="7"/>
  <c r="I987" i="7"/>
  <c r="I988" i="7"/>
  <c r="I989" i="7"/>
  <c r="I990" i="7"/>
  <c r="I992" i="7"/>
  <c r="I993" i="7"/>
  <c r="I995" i="7"/>
  <c r="I996" i="7"/>
  <c r="I997" i="7"/>
  <c r="I998" i="7"/>
  <c r="I999" i="7"/>
  <c r="I1001" i="7"/>
  <c r="I1002" i="7"/>
  <c r="I1003" i="7"/>
  <c r="I1004" i="7"/>
  <c r="I1005" i="7"/>
  <c r="I1006" i="7"/>
  <c r="I1007" i="7"/>
  <c r="I1008" i="7"/>
  <c r="I1009" i="7"/>
  <c r="I1010" i="7"/>
  <c r="I1011" i="7"/>
  <c r="I1012" i="7"/>
  <c r="I1013" i="7"/>
  <c r="I1014" i="7"/>
  <c r="I1016" i="7"/>
  <c r="I1017" i="7"/>
  <c r="I1018" i="7"/>
  <c r="I1019" i="7"/>
  <c r="I1020" i="7"/>
  <c r="I1021" i="7"/>
  <c r="I1022" i="7"/>
  <c r="I1023" i="7"/>
  <c r="I1024" i="7"/>
  <c r="I1025" i="7"/>
  <c r="I1027" i="7"/>
  <c r="I1028" i="7"/>
  <c r="I1029" i="7"/>
  <c r="I1031" i="7"/>
  <c r="I1032" i="7"/>
  <c r="I1033" i="7"/>
  <c r="I1034" i="7"/>
  <c r="I1035" i="7"/>
  <c r="I1036" i="7"/>
  <c r="I1037" i="7"/>
  <c r="I1038" i="7"/>
  <c r="I1040" i="7"/>
  <c r="I1041" i="7"/>
  <c r="I1042" i="7"/>
  <c r="I1043" i="7"/>
  <c r="I1044" i="7"/>
  <c r="I1047" i="7"/>
  <c r="I1048" i="7"/>
  <c r="I1049" i="7"/>
  <c r="I1050" i="7"/>
  <c r="I1051" i="7"/>
  <c r="I1052" i="7"/>
  <c r="I1053" i="7"/>
  <c r="I1054" i="7"/>
  <c r="I1055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3" i="7"/>
  <c r="I1074" i="7"/>
  <c r="I1076" i="7"/>
  <c r="I1077" i="7"/>
  <c r="I1078" i="7"/>
  <c r="I1080" i="7"/>
  <c r="I1081" i="7"/>
  <c r="I1083" i="7"/>
  <c r="I1084" i="7"/>
  <c r="I1085" i="7"/>
  <c r="I1086" i="7"/>
  <c r="I1087" i="7"/>
  <c r="I1089" i="7"/>
  <c r="I1090" i="7"/>
  <c r="I1091" i="7"/>
  <c r="I1092" i="7"/>
  <c r="I1093" i="7"/>
  <c r="I1094" i="7"/>
  <c r="I1095" i="7"/>
  <c r="I1096" i="7"/>
  <c r="I1097" i="7"/>
  <c r="I1099" i="7"/>
  <c r="I1100" i="7"/>
  <c r="I1101" i="7"/>
  <c r="I1102" i="7"/>
  <c r="I1103" i="7"/>
  <c r="I1105" i="7"/>
  <c r="I1106" i="7"/>
  <c r="I1107" i="7"/>
  <c r="I1108" i="7"/>
  <c r="I1110" i="7"/>
  <c r="I1111" i="7"/>
  <c r="I1112" i="7"/>
  <c r="I1113" i="7"/>
  <c r="I1114" i="7"/>
  <c r="I1115" i="7"/>
  <c r="I1116" i="7"/>
  <c r="I1117" i="7"/>
  <c r="I1119" i="7"/>
  <c r="I1120" i="7"/>
  <c r="I1121" i="7"/>
  <c r="I1122" i="7"/>
  <c r="I1123" i="7"/>
  <c r="I1124" i="7"/>
  <c r="I1125" i="7"/>
  <c r="I1126" i="7"/>
  <c r="I1128" i="7"/>
  <c r="I1129" i="7"/>
  <c r="I1130" i="7"/>
  <c r="I1131" i="7"/>
  <c r="I1132" i="7"/>
  <c r="I1133" i="7"/>
  <c r="I1134" i="7"/>
  <c r="I1136" i="7"/>
  <c r="I1137" i="7"/>
  <c r="I1138" i="7"/>
  <c r="I1139" i="7"/>
  <c r="I1140" i="7"/>
  <c r="I1141" i="7"/>
  <c r="I1142" i="7"/>
  <c r="I1143" i="7"/>
  <c r="I1144" i="7"/>
  <c r="I1145" i="7"/>
  <c r="I1146" i="7"/>
  <c r="I1148" i="7"/>
  <c r="I1149" i="7"/>
  <c r="I1150" i="7"/>
  <c r="I1151" i="7"/>
  <c r="I1152" i="7"/>
  <c r="I1153" i="7"/>
  <c r="I1154" i="7"/>
  <c r="I1155" i="7"/>
  <c r="I1156" i="7"/>
  <c r="I1158" i="7"/>
  <c r="I1159" i="7"/>
  <c r="I1160" i="7"/>
  <c r="I1161" i="7"/>
  <c r="I1162" i="7"/>
  <c r="I1163" i="7"/>
  <c r="I1164" i="7"/>
  <c r="I1165" i="7"/>
  <c r="I1167" i="7"/>
  <c r="I1168" i="7"/>
  <c r="I1169" i="7"/>
  <c r="I1171" i="7"/>
  <c r="I1172" i="7"/>
  <c r="I1174" i="7"/>
  <c r="I1175" i="7"/>
  <c r="I1176" i="7"/>
  <c r="I1177" i="7"/>
  <c r="I1178" i="7"/>
  <c r="I1179" i="7"/>
  <c r="I1180" i="7"/>
  <c r="I1181" i="7"/>
  <c r="I1183" i="7"/>
  <c r="I1184" i="7"/>
  <c r="I1185" i="7"/>
  <c r="I1186" i="7"/>
  <c r="I1187" i="7"/>
  <c r="I1188" i="7"/>
  <c r="I1189" i="7"/>
  <c r="I1190" i="7"/>
  <c r="I1191" i="7"/>
  <c r="I1192" i="7"/>
  <c r="I1193" i="7"/>
  <c r="I1195" i="7"/>
  <c r="I1196" i="7"/>
  <c r="I1197" i="7"/>
  <c r="I1198" i="7"/>
  <c r="I1199" i="7"/>
  <c r="I1200" i="7"/>
  <c r="I1201" i="7"/>
  <c r="I1202" i="7"/>
  <c r="I1203" i="7"/>
  <c r="I1204" i="7"/>
  <c r="I1205" i="7"/>
  <c r="I1207" i="7"/>
  <c r="I1209" i="7"/>
  <c r="I1210" i="7"/>
  <c r="I1212" i="7"/>
  <c r="I1214" i="7"/>
  <c r="I1216" i="7"/>
  <c r="I1217" i="7"/>
  <c r="I1218" i="7"/>
  <c r="I1220" i="7"/>
  <c r="I1221" i="7"/>
  <c r="I1222" i="7"/>
  <c r="I1223" i="7"/>
  <c r="I1224" i="7"/>
  <c r="I1225" i="7"/>
  <c r="I1226" i="7"/>
  <c r="I1227" i="7"/>
  <c r="I1229" i="7"/>
  <c r="I1230" i="7"/>
  <c r="I1231" i="7"/>
  <c r="I1232" i="7"/>
  <c r="I1233" i="7"/>
  <c r="I1234" i="7"/>
  <c r="I1235" i="7"/>
  <c r="I1236" i="7"/>
  <c r="I1238" i="7"/>
  <c r="I1239" i="7"/>
  <c r="I1241" i="7"/>
  <c r="I1242" i="7"/>
  <c r="I1243" i="7"/>
  <c r="I1244" i="7"/>
  <c r="I1245" i="7"/>
  <c r="I1246" i="7"/>
  <c r="I1247" i="7"/>
  <c r="I1249" i="7"/>
  <c r="I1250" i="7"/>
  <c r="I1251" i="7"/>
  <c r="I1252" i="7"/>
  <c r="I1253" i="7"/>
  <c r="I1254" i="7"/>
  <c r="I1255" i="7"/>
  <c r="I1256" i="7"/>
  <c r="I1257" i="7"/>
  <c r="I1258" i="7"/>
  <c r="I1259" i="7"/>
  <c r="I1260" i="7"/>
  <c r="I1261" i="7"/>
  <c r="I1262" i="7"/>
  <c r="I1263" i="7"/>
  <c r="I1264" i="7"/>
  <c r="I1265" i="7"/>
  <c r="I1266" i="7"/>
  <c r="I1267" i="7"/>
  <c r="I1269" i="7"/>
  <c r="I1270" i="7"/>
  <c r="I1271" i="7"/>
  <c r="I1272" i="7"/>
  <c r="I1273" i="7"/>
  <c r="I1274" i="7"/>
  <c r="I1275" i="7"/>
  <c r="I1276" i="7"/>
  <c r="I1277" i="7"/>
  <c r="I1278" i="7"/>
  <c r="I1279" i="7"/>
  <c r="I1281" i="7"/>
  <c r="I1282" i="7"/>
  <c r="I1283" i="7"/>
  <c r="I1284" i="7"/>
  <c r="I1285" i="7"/>
  <c r="I1286" i="7"/>
  <c r="I1288" i="7"/>
  <c r="I1289" i="7"/>
  <c r="I1290" i="7"/>
  <c r="I1291" i="7"/>
  <c r="I1292" i="7"/>
  <c r="I1293" i="7"/>
  <c r="I1294" i="7"/>
  <c r="I1295" i="7"/>
  <c r="I1296" i="7"/>
  <c r="I1297" i="7"/>
  <c r="I1299" i="7"/>
  <c r="I1300" i="7"/>
  <c r="I1301" i="7"/>
  <c r="I1303" i="7"/>
  <c r="I1304" i="7"/>
  <c r="I1305" i="7"/>
  <c r="I1306" i="7"/>
  <c r="I1307" i="7"/>
  <c r="I1308" i="7"/>
  <c r="I1309" i="7"/>
  <c r="I1310" i="7"/>
  <c r="I1312" i="7"/>
  <c r="I1313" i="7"/>
  <c r="I1314" i="7"/>
  <c r="I1315" i="7"/>
  <c r="I1316" i="7"/>
  <c r="I1317" i="7"/>
  <c r="I1318" i="7"/>
  <c r="I1319" i="7"/>
  <c r="I1320" i="7"/>
  <c r="I1321" i="7"/>
  <c r="I1322" i="7"/>
  <c r="I1324" i="7"/>
  <c r="I1325" i="7"/>
  <c r="I1326" i="7"/>
  <c r="I1327" i="7"/>
  <c r="I1328" i="7"/>
  <c r="I1329" i="7"/>
  <c r="I1330" i="7"/>
  <c r="I1331" i="7"/>
  <c r="I1333" i="7"/>
  <c r="I1335" i="7"/>
  <c r="I1336" i="7"/>
  <c r="I1337" i="7"/>
  <c r="I1338" i="7"/>
  <c r="I1339" i="7"/>
  <c r="I1340" i="7"/>
  <c r="I1341" i="7"/>
  <c r="I1342" i="7"/>
  <c r="I1343" i="7"/>
  <c r="I1344" i="7"/>
  <c r="I1345" i="7"/>
  <c r="I1346" i="7"/>
  <c r="I1348" i="7"/>
  <c r="I1349" i="7"/>
  <c r="I1350" i="7"/>
  <c r="I1351" i="7"/>
  <c r="I1352" i="7"/>
  <c r="I1353" i="7"/>
  <c r="I1354" i="7"/>
  <c r="I1355" i="7"/>
  <c r="I1356" i="7"/>
  <c r="I1357" i="7"/>
  <c r="I1359" i="7"/>
  <c r="I1360" i="7"/>
  <c r="I1361" i="7"/>
  <c r="I1362" i="7"/>
  <c r="I1363" i="7"/>
  <c r="I1364" i="7"/>
  <c r="I1365" i="7"/>
  <c r="I1366" i="7"/>
  <c r="I1367" i="7"/>
  <c r="I1368" i="7"/>
  <c r="I1369" i="7"/>
  <c r="I1370" i="7"/>
  <c r="I1372" i="7"/>
  <c r="I1373" i="7"/>
  <c r="I1374" i="7"/>
  <c r="I1375" i="7"/>
  <c r="I1376" i="7"/>
  <c r="I1377" i="7"/>
  <c r="I1378" i="7"/>
  <c r="I1379" i="7"/>
  <c r="I1380" i="7"/>
  <c r="I1381" i="7"/>
  <c r="I1382" i="7"/>
  <c r="I1383" i="7"/>
  <c r="I1384" i="7"/>
  <c r="I1386" i="7"/>
  <c r="I1387" i="7"/>
  <c r="I1388" i="7"/>
  <c r="I1389" i="7"/>
  <c r="I1390" i="7"/>
  <c r="I1391" i="7"/>
  <c r="I1393" i="7"/>
  <c r="I1394" i="7"/>
  <c r="I1395" i="7"/>
  <c r="I1396" i="7"/>
  <c r="I1397" i="7"/>
  <c r="I1399" i="7"/>
  <c r="I1400" i="7"/>
  <c r="I1401" i="7"/>
  <c r="I1402" i="7"/>
  <c r="I1403" i="7"/>
  <c r="I1404" i="7"/>
  <c r="I1406" i="7"/>
  <c r="I1408" i="7"/>
  <c r="I1410" i="7"/>
  <c r="I1411" i="7"/>
  <c r="I1412" i="7"/>
  <c r="I1413" i="7"/>
  <c r="I1414" i="7"/>
  <c r="I1415" i="7"/>
  <c r="I1416" i="7"/>
  <c r="I1417" i="7"/>
  <c r="I1418" i="7"/>
  <c r="I1419" i="7"/>
  <c r="I1420" i="7"/>
  <c r="I1422" i="7"/>
  <c r="I1423" i="7"/>
  <c r="I1424" i="7"/>
  <c r="I1425" i="7"/>
  <c r="I1426" i="7"/>
  <c r="I1427" i="7"/>
  <c r="I1428" i="7"/>
  <c r="I1429" i="7"/>
  <c r="I1430" i="7"/>
  <c r="I1431" i="7"/>
  <c r="I1432" i="7"/>
  <c r="I1433" i="7"/>
  <c r="I1435" i="7"/>
  <c r="I1436" i="7"/>
  <c r="I1437" i="7"/>
  <c r="I1438" i="7"/>
  <c r="I1439" i="7"/>
  <c r="I1440" i="7"/>
  <c r="I1441" i="7"/>
  <c r="I1442" i="7"/>
  <c r="I1443" i="7"/>
  <c r="I1444" i="7"/>
  <c r="I1445" i="7"/>
  <c r="I1446" i="7"/>
  <c r="I1447" i="7"/>
  <c r="I1449" i="7"/>
  <c r="I1450" i="7"/>
  <c r="I1451" i="7"/>
  <c r="I1452" i="7"/>
  <c r="I1453" i="7"/>
  <c r="I1455" i="7"/>
  <c r="I1456" i="7"/>
  <c r="I1458" i="7"/>
  <c r="I1459" i="7"/>
  <c r="I1460" i="7"/>
  <c r="I1461" i="7"/>
  <c r="I1462" i="7"/>
  <c r="I1463" i="7"/>
  <c r="I1464" i="7"/>
  <c r="I1465" i="7"/>
  <c r="I1466" i="7"/>
  <c r="I1467" i="7"/>
  <c r="I1468" i="7"/>
  <c r="I1469" i="7"/>
  <c r="I1470" i="7"/>
  <c r="I1471" i="7"/>
  <c r="I1472" i="7"/>
  <c r="I1473" i="7"/>
  <c r="I1474" i="7"/>
  <c r="I1476" i="7"/>
  <c r="I1477" i="7"/>
  <c r="I1478" i="7"/>
  <c r="I1479" i="7"/>
  <c r="I1480" i="7"/>
  <c r="I1481" i="7"/>
  <c r="I1482" i="7"/>
  <c r="I1483" i="7"/>
  <c r="I1484" i="7"/>
  <c r="I1485" i="7"/>
  <c r="I1486" i="7"/>
  <c r="I1487" i="7"/>
  <c r="I1488" i="7"/>
  <c r="I1489" i="7"/>
  <c r="I1490" i="7"/>
  <c r="I1493" i="7"/>
  <c r="I1496" i="7"/>
  <c r="I1497" i="7"/>
  <c r="I1498" i="7"/>
  <c r="I1499" i="7"/>
  <c r="I1500" i="7"/>
  <c r="I1501" i="7"/>
  <c r="I1503" i="7"/>
  <c r="I1504" i="7"/>
  <c r="I1505" i="7"/>
  <c r="I1506" i="7"/>
  <c r="I1507" i="7"/>
  <c r="I1508" i="7"/>
  <c r="I1509" i="7"/>
  <c r="I1510" i="7"/>
  <c r="I1511" i="7"/>
  <c r="I1512" i="7"/>
  <c r="I1513" i="7"/>
  <c r="I1515" i="7"/>
  <c r="I1516" i="7"/>
  <c r="I1517" i="7"/>
  <c r="I1519" i="7"/>
  <c r="I1520" i="7"/>
  <c r="I1521" i="7"/>
  <c r="I1523" i="7"/>
  <c r="I1524" i="7"/>
  <c r="I1525" i="7"/>
  <c r="I1526" i="7"/>
  <c r="I1528" i="7"/>
  <c r="I1531" i="7"/>
  <c r="I1532" i="7"/>
  <c r="I1533" i="7"/>
  <c r="I1534" i="7"/>
  <c r="I1535" i="7"/>
  <c r="I1536" i="7"/>
  <c r="I1537" i="7"/>
  <c r="I1538" i="7"/>
  <c r="I1539" i="7"/>
  <c r="I1540" i="7"/>
  <c r="I1541" i="7"/>
  <c r="I1542" i="7"/>
  <c r="I1543" i="7"/>
  <c r="I1545" i="7"/>
  <c r="I1546" i="7"/>
  <c r="I1547" i="7"/>
  <c r="I1548" i="7"/>
  <c r="I1549" i="7"/>
  <c r="I1550" i="7"/>
  <c r="I1551" i="7"/>
  <c r="I1552" i="7"/>
  <c r="I1553" i="7"/>
  <c r="I1554" i="7"/>
  <c r="I1555" i="7"/>
  <c r="I1556" i="7"/>
  <c r="I1557" i="7"/>
  <c r="I1558" i="7"/>
  <c r="I1559" i="7"/>
  <c r="I1560" i="7"/>
  <c r="I1561" i="7"/>
  <c r="I1562" i="7"/>
  <c r="I1563" i="7"/>
  <c r="I1564" i="7"/>
  <c r="I1566" i="7"/>
  <c r="I1567" i="7"/>
  <c r="I1568" i="7"/>
  <c r="I1569" i="7"/>
  <c r="I1570" i="7"/>
  <c r="I1571" i="7"/>
  <c r="I1572" i="7"/>
  <c r="I1573" i="7"/>
  <c r="I1574" i="7"/>
  <c r="I1576" i="7"/>
  <c r="I1577" i="7"/>
  <c r="I1579" i="7"/>
  <c r="I1580" i="7"/>
  <c r="I1581" i="7"/>
  <c r="I1582" i="7"/>
  <c r="I1584" i="7"/>
  <c r="I1585" i="7"/>
  <c r="I1586" i="7"/>
  <c r="I1587" i="7"/>
  <c r="I1589" i="7"/>
  <c r="I1591" i="7"/>
  <c r="I1592" i="7"/>
  <c r="I1593" i="7"/>
  <c r="I1594" i="7"/>
  <c r="I1595" i="7"/>
  <c r="I1596" i="7"/>
  <c r="I1597" i="7"/>
  <c r="I1598" i="7"/>
  <c r="I1599" i="7"/>
  <c r="I1600" i="7"/>
  <c r="I1601" i="7"/>
  <c r="I1602" i="7"/>
  <c r="I1603" i="7"/>
  <c r="I1604" i="7"/>
  <c r="I1605" i="7"/>
  <c r="I1607" i="7"/>
  <c r="I1608" i="7"/>
  <c r="I1609" i="7"/>
  <c r="I1610" i="7"/>
  <c r="I1611" i="7"/>
  <c r="I1612" i="7"/>
  <c r="I1613" i="7"/>
  <c r="I1614" i="7"/>
  <c r="I1615" i="7"/>
  <c r="I1616" i="7"/>
  <c r="I1617" i="7"/>
  <c r="I1618" i="7"/>
  <c r="I1619" i="7"/>
  <c r="I1620" i="7"/>
  <c r="I1621" i="7"/>
  <c r="I1622" i="7"/>
  <c r="I1623" i="7"/>
  <c r="I1624" i="7"/>
  <c r="I1625" i="7"/>
  <c r="I1627" i="7"/>
  <c r="I1628" i="7"/>
  <c r="I1629" i="7"/>
  <c r="I1630" i="7"/>
  <c r="I1631" i="7"/>
  <c r="I1632" i="7"/>
  <c r="I1633" i="7"/>
  <c r="I1634" i="7"/>
  <c r="I1635" i="7"/>
  <c r="I1636" i="7"/>
  <c r="I1637" i="7"/>
  <c r="I1638" i="7"/>
  <c r="I1639" i="7"/>
  <c r="I1640" i="7"/>
  <c r="I1641" i="7"/>
  <c r="I1642" i="7"/>
  <c r="I1643" i="7"/>
  <c r="I1645" i="7"/>
  <c r="I1646" i="7"/>
  <c r="I1647" i="7"/>
  <c r="I1648" i="7"/>
  <c r="I1649" i="7"/>
  <c r="I1650" i="7"/>
  <c r="I1651" i="7"/>
  <c r="I1652" i="7"/>
  <c r="I1653" i="7"/>
  <c r="I1654" i="7"/>
  <c r="I1655" i="7"/>
  <c r="I1656" i="7"/>
  <c r="I1657" i="7"/>
  <c r="I1658" i="7"/>
  <c r="I1659" i="7"/>
  <c r="I1661" i="7"/>
  <c r="I1662" i="7"/>
  <c r="I1663" i="7"/>
  <c r="I1664" i="7"/>
  <c r="I1665" i="7"/>
  <c r="I1666" i="7"/>
  <c r="I1667" i="7"/>
  <c r="I1668" i="7"/>
  <c r="I1669" i="7"/>
  <c r="I1670" i="7"/>
  <c r="I1671" i="7"/>
  <c r="I1672" i="7"/>
  <c r="I1673" i="7"/>
  <c r="I1674" i="7"/>
  <c r="I1675" i="7"/>
  <c r="I1676" i="7"/>
  <c r="I1678" i="7"/>
  <c r="I1679" i="7"/>
  <c r="I1680" i="7"/>
  <c r="I1682" i="7"/>
  <c r="I1683" i="7"/>
  <c r="I1684" i="7"/>
  <c r="I1685" i="7"/>
  <c r="I1686" i="7"/>
  <c r="I1687" i="7"/>
  <c r="I1688" i="7"/>
  <c r="I1689" i="7"/>
  <c r="I1690" i="7"/>
  <c r="I1691" i="7"/>
  <c r="I1692" i="7"/>
  <c r="I1693" i="7"/>
  <c r="I1694" i="7"/>
  <c r="I1695" i="7"/>
  <c r="I1696" i="7"/>
  <c r="I1697" i="7"/>
  <c r="I1698" i="7"/>
  <c r="I1699" i="7"/>
  <c r="I1700" i="7"/>
  <c r="I1701" i="7"/>
  <c r="I1702" i="7"/>
  <c r="I1703" i="7"/>
  <c r="I1704" i="7"/>
  <c r="I1706" i="7"/>
  <c r="I1707" i="7"/>
  <c r="I1708" i="7"/>
  <c r="I1709" i="7"/>
  <c r="I1710" i="7"/>
  <c r="I1711" i="7"/>
  <c r="I1712" i="7"/>
  <c r="I1713" i="7"/>
  <c r="I1714" i="7"/>
  <c r="I1716" i="7"/>
  <c r="I1717" i="7"/>
  <c r="I1718" i="7"/>
  <c r="I1720" i="7"/>
  <c r="I1722" i="7"/>
  <c r="I1723" i="7"/>
  <c r="I1724" i="7"/>
  <c r="I1725" i="7"/>
  <c r="I1726" i="7"/>
  <c r="I1727" i="7"/>
  <c r="I1728" i="7"/>
  <c r="I1729" i="7"/>
  <c r="I1730" i="7"/>
  <c r="I1731" i="7"/>
  <c r="I1732" i="7"/>
  <c r="I1733" i="7"/>
  <c r="I1734" i="7"/>
  <c r="I1735" i="7"/>
  <c r="I1736" i="7"/>
  <c r="I1737" i="7"/>
  <c r="I1738" i="7"/>
  <c r="I1739" i="7"/>
  <c r="I1740" i="7"/>
  <c r="I1741" i="7"/>
  <c r="I1742" i="7"/>
  <c r="I1743" i="7"/>
  <c r="I1744" i="7"/>
  <c r="I1746" i="7"/>
  <c r="I1747" i="7"/>
  <c r="I1748" i="7"/>
  <c r="I1749" i="7"/>
  <c r="I1750" i="7"/>
  <c r="I1751" i="7"/>
  <c r="I1752" i="7"/>
  <c r="I1753" i="7"/>
  <c r="I1754" i="7"/>
  <c r="I1755" i="7"/>
  <c r="I1756" i="7"/>
  <c r="I1757" i="7"/>
  <c r="I1758" i="7"/>
  <c r="I1759" i="7"/>
  <c r="I1761" i="7"/>
  <c r="I1762" i="7"/>
  <c r="I1763" i="7"/>
  <c r="I1764" i="7"/>
  <c r="I1765" i="7"/>
  <c r="I1766" i="7"/>
  <c r="I1767" i="7"/>
  <c r="I1768" i="7"/>
  <c r="I1769" i="7"/>
  <c r="I1770" i="7"/>
  <c r="I1771" i="7"/>
  <c r="I1772" i="7"/>
  <c r="I1773" i="7"/>
  <c r="I1775" i="7"/>
  <c r="I1776" i="7"/>
  <c r="I1777" i="7"/>
  <c r="I1778" i="7"/>
  <c r="I1779" i="7"/>
  <c r="I1780" i="7"/>
  <c r="I1781" i="7"/>
  <c r="I1782" i="7"/>
  <c r="I1783" i="7"/>
  <c r="I1784" i="7"/>
  <c r="I1785" i="7"/>
  <c r="I1786" i="7"/>
  <c r="I1787" i="7"/>
  <c r="I1788" i="7"/>
  <c r="I1789" i="7"/>
  <c r="I1791" i="7"/>
  <c r="I1792" i="7"/>
  <c r="I1793" i="7"/>
  <c r="I1794" i="7"/>
  <c r="I1795" i="7"/>
  <c r="I1796" i="7"/>
  <c r="I1797" i="7"/>
  <c r="I1798" i="7"/>
  <c r="I1799" i="7"/>
  <c r="I1800" i="7"/>
  <c r="I1801" i="7"/>
  <c r="I1802" i="7"/>
  <c r="I1803" i="7"/>
  <c r="I1805" i="7"/>
  <c r="I1806" i="7"/>
  <c r="I1807" i="7"/>
  <c r="I1808" i="7"/>
  <c r="I1809" i="7"/>
  <c r="I1810" i="7"/>
  <c r="I1811" i="7"/>
  <c r="I1812" i="7"/>
  <c r="I1813" i="7"/>
  <c r="I1814" i="7"/>
  <c r="I1815" i="7"/>
  <c r="I1816" i="7"/>
  <c r="I1817" i="7"/>
  <c r="I1819" i="7"/>
  <c r="I1820" i="7"/>
  <c r="I1821" i="7"/>
  <c r="I1822" i="7"/>
  <c r="I1823" i="7"/>
  <c r="I1824" i="7"/>
  <c r="I1825" i="7"/>
  <c r="I1826" i="7"/>
  <c r="I1827" i="7"/>
  <c r="I1828" i="7"/>
  <c r="I1829" i="7"/>
  <c r="I1830" i="7"/>
  <c r="I1831" i="7"/>
  <c r="I1832" i="7"/>
  <c r="I1833" i="7"/>
  <c r="I1834" i="7"/>
  <c r="I1835" i="7"/>
  <c r="I1836" i="7"/>
  <c r="I1837" i="7"/>
  <c r="I1838" i="7"/>
  <c r="I1839" i="7"/>
  <c r="I1842" i="7"/>
  <c r="I1843" i="7"/>
  <c r="I1844" i="7"/>
  <c r="I1845" i="7"/>
  <c r="I1847" i="7"/>
  <c r="I1848" i="7"/>
  <c r="I1849" i="7"/>
  <c r="I1850" i="7"/>
  <c r="I1852" i="7"/>
  <c r="I1853" i="7"/>
  <c r="I1854" i="7"/>
  <c r="I1855" i="7"/>
  <c r="I1857" i="7"/>
  <c r="I1858" i="7"/>
  <c r="I1859" i="7"/>
  <c r="I1860" i="7"/>
  <c r="I1862" i="7"/>
  <c r="I1863" i="7"/>
  <c r="I1864" i="7"/>
  <c r="I1865" i="7"/>
  <c r="I1866" i="7"/>
  <c r="I1867" i="7"/>
  <c r="I1868" i="7"/>
  <c r="I1869" i="7"/>
  <c r="I1870" i="7"/>
  <c r="I1871" i="7"/>
  <c r="I1872" i="7"/>
  <c r="I1873" i="7"/>
  <c r="I1874" i="7"/>
  <c r="I1875" i="7"/>
  <c r="I1876" i="7"/>
  <c r="I1877" i="7"/>
  <c r="I1878" i="7"/>
  <c r="I1879" i="7"/>
  <c r="I1881" i="7"/>
  <c r="I1882" i="7"/>
  <c r="I1883" i="7"/>
  <c r="I1884" i="7"/>
  <c r="I1885" i="7"/>
  <c r="I1886" i="7"/>
  <c r="I1887" i="7"/>
  <c r="I1888" i="7"/>
  <c r="I1889" i="7"/>
  <c r="I1890" i="7"/>
  <c r="I1891" i="7"/>
  <c r="I1892" i="7"/>
  <c r="I1893" i="7"/>
  <c r="I1895" i="7"/>
  <c r="I1896" i="7"/>
  <c r="I1897" i="7"/>
  <c r="I1898" i="7"/>
  <c r="I1899" i="7"/>
  <c r="I1900" i="7"/>
  <c r="I1901" i="7"/>
  <c r="I1902" i="7"/>
  <c r="I1903" i="7"/>
  <c r="I1904" i="7"/>
  <c r="I1905" i="7"/>
  <c r="I1906" i="7"/>
  <c r="I1908" i="7"/>
  <c r="I1909" i="7"/>
  <c r="I1910" i="7"/>
  <c r="I1911" i="7"/>
  <c r="I1913" i="7"/>
  <c r="I1914" i="7"/>
  <c r="I1915" i="7"/>
  <c r="I1916" i="7"/>
  <c r="I1917" i="7"/>
  <c r="I1918" i="7"/>
  <c r="I1919" i="7"/>
  <c r="I1920" i="7"/>
  <c r="I1921" i="7"/>
  <c r="I1922" i="7"/>
  <c r="I1923" i="7"/>
  <c r="I1924" i="7"/>
  <c r="I1925" i="7"/>
  <c r="I1926" i="7"/>
  <c r="I1927" i="7"/>
  <c r="I1928" i="7"/>
  <c r="I1929" i="7"/>
  <c r="I1930" i="7"/>
  <c r="I1931" i="7"/>
  <c r="I1932" i="7"/>
  <c r="I1933" i="7"/>
  <c r="I1934" i="7"/>
  <c r="I1936" i="7"/>
  <c r="I1937" i="7"/>
  <c r="I1938" i="7"/>
  <c r="I1939" i="7"/>
  <c r="I1940" i="7"/>
  <c r="I1941" i="7"/>
  <c r="I1942" i="7"/>
  <c r="I1943" i="7"/>
  <c r="I1944" i="7"/>
  <c r="I1947" i="7"/>
  <c r="I1948" i="7"/>
  <c r="I1949" i="7"/>
  <c r="I1950" i="7"/>
  <c r="I1951" i="7"/>
  <c r="I1952" i="7"/>
  <c r="I1953" i="7"/>
  <c r="I1954" i="7"/>
  <c r="I1955" i="7"/>
  <c r="I1956" i="7"/>
  <c r="I1957" i="7"/>
  <c r="I1959" i="7"/>
  <c r="I1960" i="7"/>
  <c r="I1961" i="7"/>
  <c r="I1962" i="7"/>
  <c r="I1963" i="7"/>
  <c r="I1964" i="7"/>
  <c r="I1965" i="7"/>
  <c r="I1966" i="7"/>
  <c r="I1967" i="7"/>
  <c r="I1968" i="7"/>
  <c r="I1969" i="7"/>
  <c r="I1970" i="7"/>
  <c r="I1971" i="7"/>
  <c r="I1972" i="7"/>
  <c r="I1973" i="7"/>
  <c r="I1974" i="7"/>
  <c r="I1976" i="7"/>
  <c r="I1977" i="7"/>
  <c r="I1978" i="7"/>
  <c r="I1979" i="7"/>
  <c r="I1980" i="7"/>
  <c r="I1981" i="7"/>
  <c r="I1982" i="7"/>
  <c r="I1983" i="7"/>
  <c r="I1985" i="7"/>
  <c r="I1986" i="7"/>
  <c r="I1987" i="7"/>
  <c r="I1988" i="7"/>
  <c r="I1989" i="7"/>
  <c r="I1990" i="7"/>
  <c r="I1991" i="7"/>
  <c r="I1992" i="7"/>
  <c r="I1993" i="7"/>
  <c r="I1994" i="7"/>
  <c r="I1995" i="7"/>
  <c r="I1996" i="7"/>
  <c r="I1998" i="7"/>
  <c r="I1999" i="7"/>
  <c r="I2000" i="7"/>
  <c r="I2001" i="7"/>
  <c r="I2002" i="7"/>
  <c r="I2004" i="7"/>
  <c r="I2005" i="7"/>
  <c r="I2006" i="7"/>
  <c r="I2007" i="7"/>
  <c r="I2008" i="7"/>
  <c r="I2010" i="7"/>
  <c r="I2011" i="7"/>
  <c r="I2012" i="7"/>
  <c r="I2013" i="7"/>
  <c r="I2015" i="7"/>
  <c r="I2016" i="7"/>
  <c r="I2018" i="7"/>
  <c r="I2019" i="7"/>
  <c r="I2020" i="7"/>
  <c r="I2021" i="7"/>
  <c r="I2023" i="7"/>
  <c r="I2024" i="7"/>
  <c r="I2025" i="7"/>
  <c r="I2027" i="7"/>
  <c r="I2028" i="7"/>
  <c r="I2029" i="7"/>
  <c r="I2030" i="7"/>
  <c r="I2031" i="7"/>
  <c r="I2032" i="7"/>
  <c r="I2033" i="7"/>
  <c r="I2034" i="7"/>
  <c r="I2035" i="7"/>
  <c r="I2036" i="7"/>
  <c r="I2037" i="7"/>
  <c r="I2038" i="7"/>
  <c r="I2039" i="7"/>
  <c r="I2040" i="7"/>
  <c r="I2041" i="7"/>
  <c r="I2042" i="7"/>
  <c r="I2043" i="7"/>
  <c r="I2044" i="7"/>
  <c r="I2045" i="7"/>
  <c r="I2046" i="7"/>
  <c r="I2047" i="7"/>
  <c r="I2048" i="7"/>
  <c r="I2049" i="7"/>
  <c r="I2050" i="7"/>
  <c r="I2051" i="7"/>
  <c r="I2052" i="7"/>
  <c r="I2053" i="7"/>
  <c r="I2054" i="7"/>
  <c r="I2055" i="7"/>
  <c r="I2056" i="7"/>
  <c r="I2057" i="7"/>
  <c r="I2058" i="7"/>
  <c r="I2059" i="7"/>
  <c r="I2060" i="7"/>
  <c r="I2061" i="7"/>
  <c r="I2062" i="7"/>
  <c r="I2063" i="7"/>
  <c r="I2064" i="7"/>
  <c r="I2066" i="7"/>
  <c r="I2067" i="7"/>
  <c r="I2068" i="7"/>
  <c r="I2069" i="7"/>
  <c r="I2070" i="7"/>
  <c r="I2071" i="7"/>
  <c r="I2072" i="7"/>
  <c r="I2073" i="7"/>
  <c r="I2074" i="7"/>
  <c r="I2075" i="7"/>
  <c r="I2076" i="7"/>
  <c r="I2077" i="7"/>
  <c r="I2078" i="7"/>
  <c r="I2079" i="7"/>
  <c r="I2081" i="7"/>
  <c r="I2082" i="7"/>
  <c r="I2083" i="7"/>
  <c r="I2084" i="7"/>
  <c r="I2085" i="7"/>
  <c r="I2086" i="7"/>
  <c r="I2087" i="7"/>
  <c r="I2088" i="7"/>
  <c r="I2089" i="7"/>
  <c r="I2090" i="7"/>
  <c r="I2091" i="7"/>
  <c r="I2092" i="7"/>
  <c r="I2093" i="7"/>
  <c r="I2095" i="7"/>
  <c r="I2096" i="7"/>
  <c r="I2097" i="7"/>
  <c r="I2098" i="7"/>
  <c r="I2099" i="7"/>
  <c r="I2100" i="7"/>
  <c r="I2101" i="7"/>
  <c r="I2102" i="7"/>
  <c r="I2103" i="7"/>
  <c r="I2104" i="7"/>
  <c r="I2105" i="7"/>
  <c r="I2106" i="7"/>
  <c r="I2107" i="7"/>
  <c r="I2109" i="7"/>
  <c r="I2110" i="7"/>
  <c r="I2111" i="7"/>
  <c r="I2112" i="7"/>
  <c r="I2113" i="7"/>
  <c r="I2114" i="7"/>
  <c r="I2115" i="7"/>
  <c r="I2116" i="7"/>
  <c r="I2117" i="7"/>
  <c r="I2118" i="7"/>
  <c r="I2119" i="7"/>
  <c r="I2120" i="7"/>
  <c r="I2121" i="7"/>
  <c r="I2123" i="7"/>
  <c r="I2124" i="7"/>
  <c r="I2125" i="7"/>
  <c r="I2126" i="7"/>
  <c r="I2127" i="7"/>
  <c r="I2128" i="7"/>
  <c r="I2129" i="7"/>
  <c r="I2130" i="7"/>
  <c r="I2131" i="7"/>
  <c r="I2132" i="7"/>
  <c r="I2133" i="7"/>
  <c r="I2134" i="7"/>
  <c r="I2135" i="7"/>
  <c r="I2137" i="7"/>
  <c r="I2138" i="7"/>
  <c r="I2139" i="7"/>
  <c r="I2140" i="7"/>
  <c r="I2142" i="7"/>
  <c r="I2143" i="7"/>
  <c r="I2144" i="7"/>
  <c r="I2145" i="7"/>
  <c r="I2146" i="7"/>
  <c r="I2147" i="7"/>
  <c r="I2148" i="7"/>
  <c r="I2149" i="7"/>
  <c r="I2150" i="7"/>
  <c r="I2151" i="7"/>
  <c r="I2152" i="7"/>
  <c r="I2153" i="7"/>
  <c r="I2155" i="7"/>
  <c r="I2156" i="7"/>
  <c r="I2157" i="7"/>
  <c r="I2158" i="7"/>
  <c r="I2159" i="7"/>
  <c r="I2160" i="7"/>
  <c r="I2161" i="7"/>
  <c r="I2162" i="7"/>
  <c r="I2163" i="7"/>
  <c r="I2164" i="7"/>
  <c r="I2165" i="7"/>
  <c r="I2166" i="7"/>
  <c r="I2167" i="7"/>
  <c r="I2168" i="7"/>
  <c r="I2169" i="7"/>
  <c r="I2171" i="7"/>
  <c r="I2172" i="7"/>
  <c r="I2173" i="7"/>
  <c r="I2174" i="7"/>
  <c r="I2175" i="7"/>
  <c r="I2177" i="7"/>
  <c r="I2178" i="7"/>
  <c r="I2179" i="7"/>
  <c r="I2180" i="7"/>
  <c r="I2181" i="7"/>
  <c r="I2183" i="7"/>
  <c r="I2184" i="7"/>
  <c r="I2185" i="7"/>
  <c r="I2186" i="7"/>
  <c r="I2187" i="7"/>
  <c r="I2189" i="7"/>
  <c r="I2190" i="7"/>
  <c r="I2191" i="7"/>
  <c r="I2192" i="7"/>
  <c r="I2193" i="7"/>
  <c r="I2195" i="7"/>
  <c r="I2196" i="7"/>
  <c r="I2198" i="7"/>
  <c r="I2199" i="7"/>
  <c r="I2201" i="7"/>
  <c r="I2202" i="7"/>
  <c r="I2204" i="7"/>
  <c r="I2205" i="7"/>
  <c r="I2206" i="7"/>
  <c r="I2208" i="7"/>
  <c r="I2209" i="7"/>
  <c r="I2210" i="7"/>
  <c r="I2211" i="7"/>
  <c r="I2212" i="7"/>
  <c r="I2213" i="7"/>
  <c r="I2214" i="7"/>
  <c r="I2215" i="7"/>
  <c r="I2216" i="7"/>
  <c r="I2217" i="7"/>
  <c r="I2218" i="7"/>
  <c r="I2219" i="7"/>
  <c r="I2220" i="7"/>
  <c r="I2222" i="7"/>
  <c r="I2223" i="7"/>
  <c r="I2224" i="7"/>
  <c r="I2225" i="7"/>
  <c r="I2226" i="7"/>
  <c r="I2227" i="7"/>
  <c r="I2228" i="7"/>
  <c r="I2229" i="7"/>
  <c r="I2230" i="7"/>
  <c r="I2231" i="7"/>
  <c r="I2232" i="7"/>
  <c r="I2234" i="7"/>
  <c r="I2235" i="7"/>
  <c r="I2236" i="7"/>
  <c r="I2237" i="7"/>
  <c r="I2238" i="7"/>
  <c r="I2239" i="7"/>
  <c r="I2240" i="7"/>
  <c r="I2241" i="7"/>
  <c r="I2242" i="7"/>
  <c r="I2243" i="7"/>
  <c r="I2244" i="7"/>
  <c r="I2245" i="7"/>
  <c r="I2246" i="7"/>
  <c r="I2247" i="7"/>
  <c r="I2248" i="7"/>
  <c r="I2249" i="7"/>
  <c r="I2250" i="7"/>
  <c r="I2251" i="7"/>
  <c r="I2252" i="7"/>
  <c r="I2253" i="7"/>
  <c r="I2254" i="7"/>
  <c r="I2255" i="7"/>
  <c r="I2256" i="7"/>
  <c r="I2258" i="7"/>
  <c r="I2259" i="7"/>
  <c r="I2260" i="7"/>
  <c r="I2261" i="7"/>
  <c r="I2262" i="7"/>
  <c r="I2264" i="7"/>
  <c r="I2265" i="7"/>
  <c r="I2266" i="7"/>
  <c r="I2267" i="7"/>
  <c r="I2268" i="7"/>
  <c r="I2269" i="7"/>
  <c r="I2270" i="7"/>
  <c r="I2271" i="7"/>
  <c r="I2272" i="7"/>
  <c r="I2274" i="7"/>
  <c r="I2275" i="7"/>
  <c r="I2276" i="7"/>
  <c r="I2277" i="7"/>
  <c r="I2278" i="7"/>
  <c r="I2279" i="7"/>
  <c r="I2280" i="7"/>
  <c r="I2281" i="7"/>
  <c r="I2282" i="7"/>
  <c r="I2283" i="7"/>
  <c r="I2284" i="7"/>
  <c r="I2285" i="7"/>
  <c r="I2286" i="7"/>
  <c r="I2287" i="7"/>
  <c r="I2288" i="7"/>
  <c r="I2289" i="7"/>
  <c r="I2290" i="7"/>
  <c r="I2292" i="7"/>
  <c r="I2293" i="7"/>
  <c r="I2294" i="7"/>
  <c r="I2295" i="7"/>
  <c r="I2296" i="7"/>
  <c r="I2297" i="7"/>
  <c r="I2298" i="7"/>
  <c r="I2299" i="7"/>
  <c r="I2300" i="7"/>
  <c r="I2301" i="7"/>
  <c r="I2302" i="7"/>
  <c r="I2303" i="7"/>
  <c r="I2304" i="7"/>
  <c r="I2306" i="7"/>
  <c r="I2307" i="7"/>
  <c r="I2308" i="7"/>
  <c r="I2309" i="7"/>
  <c r="I2310" i="7"/>
  <c r="I2311" i="7"/>
  <c r="I2312" i="7"/>
  <c r="I2313" i="7"/>
  <c r="I2314" i="7"/>
  <c r="I2315" i="7"/>
  <c r="I2317" i="7"/>
  <c r="I2318" i="7"/>
  <c r="I2319" i="7"/>
  <c r="I2320" i="7"/>
  <c r="I2321" i="7"/>
  <c r="I2322" i="7"/>
  <c r="I2323" i="7"/>
  <c r="I2324" i="7"/>
  <c r="I2325" i="7"/>
  <c r="I2326" i="7"/>
  <c r="I2327" i="7"/>
  <c r="I2328" i="7"/>
  <c r="I2329" i="7"/>
  <c r="I2330" i="7"/>
  <c r="I2331" i="7"/>
  <c r="I2332" i="7"/>
  <c r="I2333" i="7"/>
  <c r="I2334" i="7"/>
  <c r="I2336" i="7"/>
  <c r="I2337" i="7"/>
  <c r="I2338" i="7"/>
  <c r="I2339" i="7"/>
  <c r="I2340" i="7"/>
  <c r="I2341" i="7"/>
  <c r="I2342" i="7"/>
  <c r="I2343" i="7"/>
  <c r="I2344" i="7"/>
  <c r="I2346" i="7"/>
  <c r="I2347" i="7"/>
  <c r="I2349" i="7"/>
  <c r="I2350" i="7"/>
  <c r="I2351" i="7"/>
  <c r="I2352" i="7"/>
  <c r="I2353" i="7"/>
  <c r="I2354" i="7"/>
  <c r="I2355" i="7"/>
  <c r="I2356" i="7"/>
  <c r="I2357" i="7"/>
  <c r="I2358" i="7"/>
  <c r="I2359" i="7"/>
  <c r="I2360" i="7"/>
  <c r="I2361" i="7"/>
  <c r="I2363" i="7"/>
  <c r="I2364" i="7"/>
  <c r="I2365" i="7"/>
  <c r="I2366" i="7"/>
  <c r="I2367" i="7"/>
  <c r="I2368" i="7"/>
  <c r="I2369" i="7"/>
  <c r="I2370" i="7"/>
  <c r="I2371" i="7"/>
  <c r="I2372" i="7"/>
  <c r="I2373" i="7"/>
  <c r="I2374" i="7"/>
  <c r="I2375" i="7"/>
  <c r="I2376" i="7"/>
  <c r="I2377" i="7"/>
  <c r="I2378" i="7"/>
  <c r="I2379" i="7"/>
  <c r="I2380" i="7"/>
  <c r="I2381" i="7"/>
  <c r="I2382" i="7"/>
  <c r="I2383" i="7"/>
  <c r="I2384" i="7"/>
  <c r="I2385" i="7"/>
  <c r="I2386" i="7"/>
  <c r="I2387" i="7"/>
  <c r="I2388" i="7"/>
  <c r="I2389" i="7"/>
  <c r="I2391" i="7"/>
  <c r="I2392" i="7"/>
  <c r="I2393" i="7"/>
  <c r="I2394" i="7"/>
  <c r="I2395" i="7"/>
  <c r="I2396" i="7"/>
  <c r="I2397" i="7"/>
  <c r="I2399" i="7"/>
  <c r="I2400" i="7"/>
  <c r="I2401" i="7"/>
  <c r="I2403" i="7"/>
  <c r="I2404" i="7"/>
  <c r="I2406" i="7"/>
  <c r="I2407" i="7"/>
  <c r="I2408" i="7"/>
  <c r="I2409" i="7"/>
  <c r="I2410" i="7"/>
  <c r="I2412" i="7"/>
  <c r="I2413" i="7"/>
  <c r="I2414" i="7"/>
  <c r="I2416" i="7"/>
  <c r="I2417" i="7"/>
  <c r="I2418" i="7"/>
  <c r="I2419" i="7"/>
  <c r="I2420" i="7"/>
  <c r="I2421" i="7"/>
  <c r="I2422" i="7"/>
  <c r="I2423" i="7"/>
  <c r="I2424" i="7"/>
  <c r="I2425" i="7"/>
  <c r="I2426" i="7"/>
  <c r="I2427" i="7"/>
  <c r="I2428" i="7"/>
  <c r="I2429" i="7"/>
  <c r="I2430" i="7"/>
  <c r="I2432" i="7"/>
  <c r="I2433" i="7"/>
  <c r="I2434" i="7"/>
  <c r="I2435" i="7"/>
  <c r="I2436" i="7"/>
  <c r="I2437" i="7"/>
  <c r="I2438" i="7"/>
  <c r="I2439" i="7"/>
  <c r="I2440" i="7"/>
  <c r="I2441" i="7"/>
  <c r="I2442" i="7"/>
  <c r="I2443" i="7"/>
  <c r="I2444" i="7"/>
  <c r="I2445" i="7"/>
  <c r="I2446" i="7"/>
  <c r="I2447" i="7"/>
  <c r="I2448" i="7"/>
  <c r="I2449" i="7"/>
  <c r="I2450" i="7"/>
  <c r="I2451" i="7"/>
  <c r="I2452" i="7"/>
  <c r="I2453" i="7"/>
  <c r="I2455" i="7"/>
  <c r="I2456" i="7"/>
  <c r="I2457" i="7"/>
  <c r="I2458" i="7"/>
  <c r="I2460" i="7"/>
  <c r="I2461" i="7"/>
  <c r="I2462" i="7"/>
  <c r="I2463" i="7"/>
  <c r="I2464" i="7"/>
  <c r="I2465" i="7"/>
  <c r="I2466" i="7"/>
  <c r="I2467" i="7"/>
  <c r="I2469" i="7"/>
  <c r="I2470" i="7"/>
  <c r="I2471" i="7"/>
  <c r="I2473" i="7"/>
  <c r="I2474" i="7"/>
  <c r="I2475" i="7"/>
  <c r="I2476" i="7"/>
  <c r="I2477" i="7"/>
  <c r="I2478" i="7"/>
  <c r="I2479" i="7"/>
  <c r="I2480" i="7"/>
  <c r="I2481" i="7"/>
  <c r="I2482" i="7"/>
  <c r="I2484" i="7"/>
  <c r="I2485" i="7"/>
  <c r="I2486" i="7"/>
  <c r="I2487" i="7"/>
  <c r="I2488" i="7"/>
  <c r="I2489" i="7"/>
  <c r="I2490" i="7"/>
  <c r="I2491" i="7"/>
  <c r="I2492" i="7"/>
  <c r="I2493" i="7"/>
  <c r="I2495" i="7"/>
  <c r="I2496" i="7"/>
  <c r="I2497" i="7"/>
  <c r="I2498" i="7"/>
  <c r="I2499" i="7"/>
  <c r="I2500" i="7"/>
  <c r="I2501" i="7"/>
  <c r="I2502" i="7"/>
  <c r="I2503" i="7"/>
  <c r="I2504" i="7"/>
  <c r="I2506" i="7"/>
  <c r="I2507" i="7"/>
  <c r="I2508" i="7"/>
  <c r="I2509" i="7"/>
  <c r="I2510" i="7"/>
  <c r="I2511" i="7"/>
  <c r="I2512" i="7"/>
  <c r="I2513" i="7"/>
  <c r="I2514" i="7"/>
  <c r="I2515" i="7"/>
  <c r="I2517" i="7"/>
  <c r="I2519" i="7"/>
  <c r="I2520" i="7"/>
  <c r="I2521" i="7"/>
  <c r="I2522" i="7"/>
  <c r="I2523" i="7"/>
  <c r="I2524" i="7"/>
  <c r="I2525" i="7"/>
  <c r="I2526" i="7"/>
  <c r="I2527" i="7"/>
  <c r="I2528" i="7"/>
  <c r="I2529" i="7"/>
  <c r="I2531" i="7"/>
  <c r="I2532" i="7"/>
  <c r="I2533" i="7"/>
  <c r="I2534" i="7"/>
  <c r="I2535" i="7"/>
  <c r="I2536" i="7"/>
  <c r="I2538" i="7"/>
  <c r="I2539" i="7"/>
  <c r="I2540" i="7"/>
  <c r="I2541" i="7"/>
  <c r="I2543" i="7"/>
  <c r="I2544" i="7"/>
  <c r="I2545" i="7"/>
  <c r="I2546" i="7"/>
  <c r="I2547" i="7"/>
  <c r="I2549" i="7"/>
  <c r="I2551" i="7"/>
  <c r="I2553" i="7"/>
  <c r="I2554" i="7"/>
  <c r="I2555" i="7"/>
  <c r="I2556" i="7"/>
  <c r="I2557" i="7"/>
  <c r="I2558" i="7"/>
  <c r="I2559" i="7"/>
  <c r="I2560" i="7"/>
  <c r="I2561" i="7"/>
  <c r="I2562" i="7"/>
  <c r="I2563" i="7"/>
  <c r="I2564" i="7"/>
  <c r="I2565" i="7"/>
  <c r="I2566" i="7"/>
  <c r="I2567" i="7"/>
  <c r="I2569" i="7"/>
  <c r="I2570" i="7"/>
  <c r="I2571" i="7"/>
  <c r="I2572" i="7"/>
  <c r="I2573" i="7"/>
  <c r="I2574" i="7"/>
  <c r="I2576" i="7"/>
  <c r="I2577" i="7"/>
  <c r="I2578" i="7"/>
  <c r="I2579" i="7"/>
  <c r="I2580" i="7"/>
  <c r="I2581" i="7"/>
  <c r="I2582" i="7"/>
  <c r="I2583" i="7"/>
  <c r="I2584" i="7"/>
  <c r="I2585" i="7"/>
  <c r="I2586" i="7"/>
  <c r="I2587" i="7"/>
  <c r="I2588" i="7"/>
  <c r="I2589" i="7"/>
  <c r="I2590" i="7"/>
  <c r="H2" i="7"/>
  <c r="F9" i="3" l="1"/>
  <c r="F12" i="3"/>
  <c r="F13" i="3"/>
  <c r="F15" i="3"/>
  <c r="F12" i="4"/>
  <c r="F10" i="4"/>
  <c r="F11" i="4"/>
  <c r="C12" i="4"/>
  <c r="F4" i="4"/>
  <c r="H2591" i="7"/>
  <c r="H2590" i="7"/>
  <c r="H2589" i="7"/>
  <c r="H2588" i="7"/>
  <c r="H2587" i="7"/>
  <c r="H2586" i="7"/>
  <c r="H2585" i="7"/>
  <c r="H2584" i="7"/>
  <c r="H2583" i="7"/>
  <c r="H2582" i="7"/>
  <c r="H2581" i="7"/>
  <c r="H2580" i="7"/>
  <c r="H2579" i="7"/>
  <c r="H2578" i="7"/>
  <c r="H2577" i="7"/>
  <c r="H2576" i="7"/>
  <c r="H2575" i="7"/>
  <c r="H2574" i="7"/>
  <c r="H2573" i="7"/>
  <c r="H2572" i="7"/>
  <c r="H2571" i="7"/>
  <c r="H2570" i="7"/>
  <c r="H2569" i="7"/>
  <c r="H2568" i="7"/>
  <c r="H2567" i="7"/>
  <c r="H2566" i="7"/>
  <c r="H2565" i="7"/>
  <c r="H2564" i="7"/>
  <c r="H2563" i="7"/>
  <c r="H2562" i="7"/>
  <c r="H2561" i="7"/>
  <c r="H2560" i="7"/>
  <c r="H2559" i="7"/>
  <c r="H2558" i="7"/>
  <c r="H2557" i="7"/>
  <c r="H2556" i="7"/>
  <c r="H2555" i="7"/>
  <c r="H2554" i="7"/>
  <c r="H2553" i="7"/>
  <c r="H2552" i="7"/>
  <c r="H2551" i="7"/>
  <c r="H2550" i="7"/>
  <c r="H2549" i="7"/>
  <c r="H2548" i="7"/>
  <c r="H2547" i="7"/>
  <c r="H2546" i="7"/>
  <c r="H2545" i="7"/>
  <c r="H2544" i="7"/>
  <c r="H2543" i="7"/>
  <c r="H2542" i="7"/>
  <c r="H2541" i="7"/>
  <c r="H2540" i="7"/>
  <c r="H2539" i="7"/>
  <c r="H2538" i="7"/>
  <c r="H2537" i="7"/>
  <c r="H2536" i="7"/>
  <c r="H2535" i="7"/>
  <c r="H2534" i="7"/>
  <c r="H2533" i="7"/>
  <c r="H2532" i="7"/>
  <c r="H2531" i="7"/>
  <c r="H2530" i="7"/>
  <c r="H2529" i="7"/>
  <c r="H2528" i="7"/>
  <c r="H2527" i="7"/>
  <c r="H2526" i="7"/>
  <c r="H2525" i="7"/>
  <c r="H2524" i="7"/>
  <c r="H2523" i="7"/>
  <c r="H2522" i="7"/>
  <c r="H2521" i="7"/>
  <c r="H2520" i="7"/>
  <c r="H2519" i="7"/>
  <c r="H2518" i="7"/>
  <c r="H2517" i="7"/>
  <c r="H2516" i="7"/>
  <c r="H2515" i="7"/>
  <c r="H2514" i="7"/>
  <c r="H2513" i="7"/>
  <c r="H2512" i="7"/>
  <c r="H2511" i="7"/>
  <c r="H2510" i="7"/>
  <c r="H2509" i="7"/>
  <c r="H2508" i="7"/>
  <c r="H2507" i="7"/>
  <c r="H2506" i="7"/>
  <c r="H2505" i="7"/>
  <c r="H2504" i="7"/>
  <c r="H2503" i="7"/>
  <c r="H2502" i="7"/>
  <c r="H2501" i="7"/>
  <c r="H2500" i="7"/>
  <c r="H2499" i="7"/>
  <c r="H2498" i="7"/>
  <c r="H2497" i="7"/>
  <c r="H2496" i="7"/>
  <c r="H2495" i="7"/>
  <c r="H2494" i="7"/>
  <c r="H2493" i="7"/>
  <c r="H2492" i="7"/>
  <c r="H2491" i="7"/>
  <c r="H2490" i="7"/>
  <c r="H2489" i="7"/>
  <c r="H2488" i="7"/>
  <c r="H2487" i="7"/>
  <c r="H2486" i="7"/>
  <c r="H2485" i="7"/>
  <c r="H2484" i="7"/>
  <c r="H2483" i="7"/>
  <c r="H2482" i="7"/>
  <c r="H2481" i="7"/>
  <c r="H2480" i="7"/>
  <c r="H2479" i="7"/>
  <c r="H2478" i="7"/>
  <c r="H2477" i="7"/>
  <c r="H2476" i="7"/>
  <c r="H2475" i="7"/>
  <c r="H2474" i="7"/>
  <c r="H2473" i="7"/>
  <c r="H2472" i="7"/>
  <c r="H2471" i="7"/>
  <c r="H2470" i="7"/>
  <c r="H2469" i="7"/>
  <c r="H2468" i="7"/>
  <c r="H2467" i="7"/>
  <c r="H2466" i="7"/>
  <c r="H2465" i="7"/>
  <c r="H2464" i="7"/>
  <c r="H2463" i="7"/>
  <c r="H2462" i="7"/>
  <c r="H2461" i="7"/>
  <c r="H2460" i="7"/>
  <c r="H2459" i="7"/>
  <c r="H2458" i="7"/>
  <c r="H2457" i="7"/>
  <c r="H2456" i="7"/>
  <c r="H2455" i="7"/>
  <c r="H2454" i="7"/>
  <c r="H2453" i="7"/>
  <c r="H2452" i="7"/>
  <c r="H2451" i="7"/>
  <c r="H2450" i="7"/>
  <c r="H2449" i="7"/>
  <c r="H2448" i="7"/>
  <c r="H2447" i="7"/>
  <c r="H2446" i="7"/>
  <c r="H2445" i="7"/>
  <c r="H2444" i="7"/>
  <c r="H2443" i="7"/>
  <c r="H2442" i="7"/>
  <c r="H2441" i="7"/>
  <c r="H2440" i="7"/>
  <c r="H2439" i="7"/>
  <c r="H2438" i="7"/>
  <c r="H2437" i="7"/>
  <c r="H2436" i="7"/>
  <c r="H2435" i="7"/>
  <c r="H2434" i="7"/>
  <c r="H2433" i="7"/>
  <c r="H2432" i="7"/>
  <c r="H2431" i="7"/>
  <c r="H2430" i="7"/>
  <c r="H2429" i="7"/>
  <c r="H2428" i="7"/>
  <c r="H2427" i="7"/>
  <c r="H2426" i="7"/>
  <c r="H2425" i="7"/>
  <c r="H2424" i="7"/>
  <c r="H2423" i="7"/>
  <c r="H2422" i="7"/>
  <c r="H2421" i="7"/>
  <c r="H2420" i="7"/>
  <c r="H2419" i="7"/>
  <c r="H2418" i="7"/>
  <c r="H2417" i="7"/>
  <c r="H2416" i="7"/>
  <c r="H2415" i="7"/>
  <c r="H2414" i="7"/>
  <c r="H2413" i="7"/>
  <c r="H2412" i="7"/>
  <c r="H2411" i="7"/>
  <c r="H2410" i="7"/>
  <c r="H2409" i="7"/>
  <c r="H2408" i="7"/>
  <c r="H2407" i="7"/>
  <c r="H2406" i="7"/>
  <c r="H2405" i="7"/>
  <c r="H2404" i="7"/>
  <c r="H2403" i="7"/>
  <c r="H2402" i="7"/>
  <c r="H2401" i="7"/>
  <c r="H2400" i="7"/>
  <c r="H2399" i="7"/>
  <c r="H2398" i="7"/>
  <c r="H2397" i="7"/>
  <c r="H2396" i="7"/>
  <c r="H2395" i="7"/>
  <c r="H2394" i="7"/>
  <c r="H2393" i="7"/>
  <c r="H2392" i="7"/>
  <c r="H2391" i="7"/>
  <c r="H2390" i="7"/>
  <c r="H2389" i="7"/>
  <c r="H2388" i="7"/>
  <c r="H2387" i="7"/>
  <c r="H2386" i="7"/>
  <c r="H2385" i="7"/>
  <c r="H2384" i="7"/>
  <c r="H2383" i="7"/>
  <c r="H2382" i="7"/>
  <c r="H2381" i="7"/>
  <c r="H2380" i="7"/>
  <c r="H2379" i="7"/>
  <c r="H2378" i="7"/>
  <c r="H2377" i="7"/>
  <c r="H2376" i="7"/>
  <c r="H2375" i="7"/>
  <c r="H2374" i="7"/>
  <c r="H2373" i="7"/>
  <c r="H2372" i="7"/>
  <c r="H2371" i="7"/>
  <c r="H2370" i="7"/>
  <c r="H2369" i="7"/>
  <c r="H2368" i="7"/>
  <c r="H2367" i="7"/>
  <c r="H2366" i="7"/>
  <c r="H2365" i="7"/>
  <c r="H2364" i="7"/>
  <c r="H2363" i="7"/>
  <c r="H2362" i="7"/>
  <c r="H2361" i="7"/>
  <c r="H2360" i="7"/>
  <c r="H2359" i="7"/>
  <c r="H2358" i="7"/>
  <c r="H2357" i="7"/>
  <c r="H2356" i="7"/>
  <c r="H2355" i="7"/>
  <c r="H2354" i="7"/>
  <c r="H2353" i="7"/>
  <c r="H2352" i="7"/>
  <c r="H2351" i="7"/>
  <c r="H2350" i="7"/>
  <c r="H2349" i="7"/>
  <c r="H2348" i="7"/>
  <c r="H2347" i="7"/>
  <c r="H2346" i="7"/>
  <c r="H2345" i="7"/>
  <c r="H2344" i="7"/>
  <c r="H2343" i="7"/>
  <c r="H2342" i="7"/>
  <c r="H2341" i="7"/>
  <c r="H2340" i="7"/>
  <c r="H2339" i="7"/>
  <c r="H2338" i="7"/>
  <c r="H2337" i="7"/>
  <c r="H2336" i="7"/>
  <c r="H2335" i="7"/>
  <c r="H2334" i="7"/>
  <c r="H2333" i="7"/>
  <c r="H2332" i="7"/>
  <c r="H2331" i="7"/>
  <c r="H2330" i="7"/>
  <c r="H2329" i="7"/>
  <c r="H2328" i="7"/>
  <c r="H2327" i="7"/>
  <c r="H2326" i="7"/>
  <c r="H2325" i="7"/>
  <c r="H2324" i="7"/>
  <c r="H2323" i="7"/>
  <c r="H2322" i="7"/>
  <c r="H2321" i="7"/>
  <c r="H2320" i="7"/>
  <c r="H2319" i="7"/>
  <c r="H2318" i="7"/>
  <c r="H2317" i="7"/>
  <c r="H2316" i="7"/>
  <c r="H2315" i="7"/>
  <c r="H2314" i="7"/>
  <c r="H2313" i="7"/>
  <c r="H2312" i="7"/>
  <c r="H2311" i="7"/>
  <c r="H2310" i="7"/>
  <c r="H2309" i="7"/>
  <c r="H2308" i="7"/>
  <c r="H2307" i="7"/>
  <c r="H2306" i="7"/>
  <c r="H2305" i="7"/>
  <c r="H2304" i="7"/>
  <c r="H2303" i="7"/>
  <c r="H2302" i="7"/>
  <c r="H2301" i="7"/>
  <c r="H2300" i="7"/>
  <c r="H2299" i="7"/>
  <c r="H2298" i="7"/>
  <c r="H2297" i="7"/>
  <c r="H2296" i="7"/>
  <c r="H2295" i="7"/>
  <c r="H2294" i="7"/>
  <c r="H2293" i="7"/>
  <c r="H2292" i="7"/>
  <c r="H2291" i="7"/>
  <c r="H2290" i="7"/>
  <c r="H2289" i="7"/>
  <c r="H2288" i="7"/>
  <c r="H2287" i="7"/>
  <c r="H2286" i="7"/>
  <c r="H2285" i="7"/>
  <c r="H2284" i="7"/>
  <c r="H2283" i="7"/>
  <c r="H2282" i="7"/>
  <c r="H2281" i="7"/>
  <c r="H2280" i="7"/>
  <c r="H2279" i="7"/>
  <c r="H2278" i="7"/>
  <c r="H2277" i="7"/>
  <c r="H2276" i="7"/>
  <c r="H2275" i="7"/>
  <c r="H2274" i="7"/>
  <c r="H2273" i="7"/>
  <c r="H2272" i="7"/>
  <c r="H2271" i="7"/>
  <c r="H2270" i="7"/>
  <c r="H2269" i="7"/>
  <c r="H2268" i="7"/>
  <c r="H2267" i="7"/>
  <c r="H2266" i="7"/>
  <c r="H2265" i="7"/>
  <c r="H2264" i="7"/>
  <c r="H2263" i="7"/>
  <c r="H2262" i="7"/>
  <c r="H2261" i="7"/>
  <c r="H2260" i="7"/>
  <c r="H2259" i="7"/>
  <c r="H2258" i="7"/>
  <c r="H2257" i="7"/>
  <c r="H2256" i="7"/>
  <c r="H2255" i="7"/>
  <c r="H2254" i="7"/>
  <c r="H2253" i="7"/>
  <c r="H2252" i="7"/>
  <c r="H2251" i="7"/>
  <c r="H2250" i="7"/>
  <c r="H2249" i="7"/>
  <c r="H2248" i="7"/>
  <c r="H2247" i="7"/>
  <c r="H2246" i="7"/>
  <c r="H2245" i="7"/>
  <c r="H2244" i="7"/>
  <c r="H2243" i="7"/>
  <c r="H2242" i="7"/>
  <c r="H2241" i="7"/>
  <c r="H2240" i="7"/>
  <c r="H2239" i="7"/>
  <c r="H2238" i="7"/>
  <c r="H2237" i="7"/>
  <c r="H2236" i="7"/>
  <c r="H2235" i="7"/>
  <c r="H2234" i="7"/>
  <c r="H2233" i="7"/>
  <c r="H2232" i="7"/>
  <c r="H2231" i="7"/>
  <c r="H2230" i="7"/>
  <c r="H2229" i="7"/>
  <c r="H2228" i="7"/>
  <c r="H2227" i="7"/>
  <c r="H2226" i="7"/>
  <c r="H2225" i="7"/>
  <c r="H2224" i="7"/>
  <c r="H2223" i="7"/>
  <c r="H2222" i="7"/>
  <c r="H2221" i="7"/>
  <c r="H2220" i="7"/>
  <c r="H2219" i="7"/>
  <c r="H2218" i="7"/>
  <c r="H2217" i="7"/>
  <c r="H2216" i="7"/>
  <c r="H2215" i="7"/>
  <c r="H2214" i="7"/>
  <c r="H2213" i="7"/>
  <c r="H2212" i="7"/>
  <c r="H2211" i="7"/>
  <c r="H2210" i="7"/>
  <c r="H2209" i="7"/>
  <c r="H2208" i="7"/>
  <c r="H2207" i="7"/>
  <c r="H2206" i="7"/>
  <c r="H2205" i="7"/>
  <c r="H2204" i="7"/>
  <c r="H2203" i="7"/>
  <c r="H2202" i="7"/>
  <c r="H2201" i="7"/>
  <c r="H2200" i="7"/>
  <c r="H2199" i="7"/>
  <c r="H2198" i="7"/>
  <c r="H2197" i="7"/>
  <c r="H2196" i="7"/>
  <c r="H2195" i="7"/>
  <c r="H2194" i="7"/>
  <c r="H2193" i="7"/>
  <c r="H2192" i="7"/>
  <c r="H2191" i="7"/>
  <c r="H2190" i="7"/>
  <c r="H2189" i="7"/>
  <c r="H2188" i="7"/>
  <c r="H2187" i="7"/>
  <c r="H2186" i="7"/>
  <c r="H2185" i="7"/>
  <c r="H2184" i="7"/>
  <c r="H2183" i="7"/>
  <c r="H2182" i="7"/>
  <c r="H2181" i="7"/>
  <c r="H2180" i="7"/>
  <c r="H2179" i="7"/>
  <c r="H2178" i="7"/>
  <c r="H2177" i="7"/>
  <c r="H2176" i="7"/>
  <c r="H2175" i="7"/>
  <c r="H2174" i="7"/>
  <c r="H2173" i="7"/>
  <c r="H2172" i="7"/>
  <c r="H2171" i="7"/>
  <c r="H2170" i="7"/>
  <c r="H2169" i="7"/>
  <c r="H2168" i="7"/>
  <c r="H2167" i="7"/>
  <c r="H2166" i="7"/>
  <c r="H2165" i="7"/>
  <c r="H2164" i="7"/>
  <c r="H2163" i="7"/>
  <c r="H2162" i="7"/>
  <c r="H2161" i="7"/>
  <c r="H2160" i="7"/>
  <c r="H2159" i="7"/>
  <c r="H2158" i="7"/>
  <c r="H2157" i="7"/>
  <c r="H2156" i="7"/>
  <c r="H2155" i="7"/>
  <c r="H2154" i="7"/>
  <c r="H2153" i="7"/>
  <c r="H2152" i="7"/>
  <c r="H2151" i="7"/>
  <c r="H2150" i="7"/>
  <c r="H2149" i="7"/>
  <c r="H2148" i="7"/>
  <c r="H2147" i="7"/>
  <c r="H2146" i="7"/>
  <c r="H2145" i="7"/>
  <c r="H2144" i="7"/>
  <c r="H2143" i="7"/>
  <c r="H2142" i="7"/>
  <c r="H2141" i="7"/>
  <c r="H2140" i="7"/>
  <c r="H2139" i="7"/>
  <c r="H2138" i="7"/>
  <c r="H2137" i="7"/>
  <c r="H2136" i="7"/>
  <c r="H2135" i="7"/>
  <c r="H2134" i="7"/>
  <c r="H2133" i="7"/>
  <c r="H2132" i="7"/>
  <c r="H2131" i="7"/>
  <c r="H2130" i="7"/>
  <c r="H2129" i="7"/>
  <c r="H2128" i="7"/>
  <c r="H2127" i="7"/>
  <c r="H2126" i="7"/>
  <c r="H2125" i="7"/>
  <c r="H2124" i="7"/>
  <c r="H2123" i="7"/>
  <c r="H2122" i="7"/>
  <c r="H2121" i="7"/>
  <c r="H2120" i="7"/>
  <c r="H2119" i="7"/>
  <c r="H2118" i="7"/>
  <c r="H2117" i="7"/>
  <c r="H2116" i="7"/>
  <c r="H2115" i="7"/>
  <c r="H2114" i="7"/>
  <c r="H2113" i="7"/>
  <c r="H2112" i="7"/>
  <c r="H2111" i="7"/>
  <c r="H2110" i="7"/>
  <c r="H2109" i="7"/>
  <c r="H2108" i="7"/>
  <c r="H2107" i="7"/>
  <c r="H2106" i="7"/>
  <c r="H2105" i="7"/>
  <c r="H2104" i="7"/>
  <c r="H2103" i="7"/>
  <c r="H2102" i="7"/>
  <c r="H2101" i="7"/>
  <c r="H2100" i="7"/>
  <c r="H2099" i="7"/>
  <c r="H2098" i="7"/>
  <c r="H2097" i="7"/>
  <c r="H2096" i="7"/>
  <c r="H2095" i="7"/>
  <c r="H2094" i="7"/>
  <c r="H2093" i="7"/>
  <c r="H2092" i="7"/>
  <c r="H2091" i="7"/>
  <c r="H2090" i="7"/>
  <c r="H2089" i="7"/>
  <c r="H2088" i="7"/>
  <c r="H2087" i="7"/>
  <c r="H2086" i="7"/>
  <c r="H2085" i="7"/>
  <c r="H2084" i="7"/>
  <c r="H2083" i="7"/>
  <c r="H2082" i="7"/>
  <c r="H2081" i="7"/>
  <c r="H2080" i="7"/>
  <c r="H2079" i="7"/>
  <c r="H2078" i="7"/>
  <c r="H2077" i="7"/>
  <c r="H2076" i="7"/>
  <c r="H2075" i="7"/>
  <c r="H2074" i="7"/>
  <c r="H2073" i="7"/>
  <c r="H2072" i="7"/>
  <c r="H2071" i="7"/>
  <c r="H2070" i="7"/>
  <c r="H2069" i="7"/>
  <c r="H2068" i="7"/>
  <c r="H2067" i="7"/>
  <c r="H2066" i="7"/>
  <c r="H2065" i="7"/>
  <c r="H2064" i="7"/>
  <c r="H2063" i="7"/>
  <c r="H2062" i="7"/>
  <c r="H2061" i="7"/>
  <c r="H2060" i="7"/>
  <c r="H2059" i="7"/>
  <c r="H2058" i="7"/>
  <c r="H2057" i="7"/>
  <c r="H2056" i="7"/>
  <c r="H2055" i="7"/>
  <c r="H2054" i="7"/>
  <c r="H2053" i="7"/>
  <c r="H2052" i="7"/>
  <c r="H2051" i="7"/>
  <c r="H2050" i="7"/>
  <c r="H2049" i="7"/>
  <c r="H2048" i="7"/>
  <c r="H2047" i="7"/>
  <c r="H2046" i="7"/>
  <c r="H2045" i="7"/>
  <c r="H2044" i="7"/>
  <c r="H2043" i="7"/>
  <c r="H2042" i="7"/>
  <c r="H2041" i="7"/>
  <c r="H2040" i="7"/>
  <c r="H2039" i="7"/>
  <c r="H2038" i="7"/>
  <c r="H2037" i="7"/>
  <c r="H2036" i="7"/>
  <c r="H2035" i="7"/>
  <c r="H2034" i="7"/>
  <c r="H2033" i="7"/>
  <c r="H2032" i="7"/>
  <c r="H2031" i="7"/>
  <c r="H2030" i="7"/>
  <c r="H2029" i="7"/>
  <c r="H2028" i="7"/>
  <c r="H2027" i="7"/>
  <c r="H2026" i="7"/>
  <c r="H2025" i="7"/>
  <c r="H2024" i="7"/>
  <c r="H2023" i="7"/>
  <c r="H2022" i="7"/>
  <c r="H2021" i="7"/>
  <c r="H2020" i="7"/>
  <c r="H2019" i="7"/>
  <c r="H2018" i="7"/>
  <c r="H2017" i="7"/>
  <c r="H2016" i="7"/>
  <c r="H2015" i="7"/>
  <c r="H2014" i="7"/>
  <c r="H2013" i="7"/>
  <c r="H2012" i="7"/>
  <c r="H2011" i="7"/>
  <c r="H2010" i="7"/>
  <c r="H2009" i="7"/>
  <c r="H2008" i="7"/>
  <c r="H2007" i="7"/>
  <c r="H2006" i="7"/>
  <c r="H2005" i="7"/>
  <c r="H2004" i="7"/>
  <c r="H2003" i="7"/>
  <c r="H2002" i="7"/>
  <c r="H2001" i="7"/>
  <c r="H2000" i="7"/>
  <c r="H1999" i="7"/>
  <c r="H1998" i="7"/>
  <c r="H1997" i="7"/>
  <c r="H1996" i="7"/>
  <c r="H1995" i="7"/>
  <c r="H1994" i="7"/>
  <c r="H1993" i="7"/>
  <c r="H1992" i="7"/>
  <c r="H1991" i="7"/>
  <c r="H1990" i="7"/>
  <c r="H1989" i="7"/>
  <c r="H1988" i="7"/>
  <c r="H1987" i="7"/>
  <c r="H1986" i="7"/>
  <c r="H1985" i="7"/>
  <c r="H1984" i="7"/>
  <c r="H1983" i="7"/>
  <c r="H1982" i="7"/>
  <c r="H1981" i="7"/>
  <c r="H1980" i="7"/>
  <c r="H1979" i="7"/>
  <c r="H1978" i="7"/>
  <c r="H1977" i="7"/>
  <c r="H1976" i="7"/>
  <c r="H1975" i="7"/>
  <c r="H1974" i="7"/>
  <c r="H1973" i="7"/>
  <c r="H1972" i="7"/>
  <c r="H1971" i="7"/>
  <c r="H1970" i="7"/>
  <c r="H1969" i="7"/>
  <c r="H1968" i="7"/>
  <c r="H1967" i="7"/>
  <c r="H1966" i="7"/>
  <c r="H1965" i="7"/>
  <c r="H1964" i="7"/>
  <c r="H1963" i="7"/>
  <c r="H1962" i="7"/>
  <c r="H1961" i="7"/>
  <c r="H1960" i="7"/>
  <c r="H1959" i="7"/>
  <c r="H1958" i="7"/>
  <c r="H1957" i="7"/>
  <c r="H1956" i="7"/>
  <c r="H1955" i="7"/>
  <c r="H1954" i="7"/>
  <c r="H1953" i="7"/>
  <c r="H1952" i="7"/>
  <c r="H1951" i="7"/>
  <c r="H1950" i="7"/>
  <c r="H1949" i="7"/>
  <c r="H1948" i="7"/>
  <c r="H1947" i="7"/>
  <c r="H1946" i="7"/>
  <c r="H1945" i="7"/>
  <c r="H1944" i="7"/>
  <c r="H1943" i="7"/>
  <c r="H1942" i="7"/>
  <c r="H1941" i="7"/>
  <c r="H1940" i="7"/>
  <c r="H1939" i="7"/>
  <c r="H1938" i="7"/>
  <c r="H1937" i="7"/>
  <c r="H1936" i="7"/>
  <c r="H1935" i="7"/>
  <c r="H1934" i="7"/>
  <c r="H1933" i="7"/>
  <c r="H1932" i="7"/>
  <c r="H1931" i="7"/>
  <c r="H1930" i="7"/>
  <c r="H1929" i="7"/>
  <c r="H1928" i="7"/>
  <c r="H1927" i="7"/>
  <c r="H1926" i="7"/>
  <c r="H1925" i="7"/>
  <c r="H1924" i="7"/>
  <c r="H1923" i="7"/>
  <c r="H1922" i="7"/>
  <c r="H1921" i="7"/>
  <c r="H1920" i="7"/>
  <c r="H1919" i="7"/>
  <c r="H1918" i="7"/>
  <c r="H1917" i="7"/>
  <c r="H1916" i="7"/>
  <c r="H1915" i="7"/>
  <c r="H1914" i="7"/>
  <c r="H1913" i="7"/>
  <c r="H1912" i="7"/>
  <c r="H1911" i="7"/>
  <c r="H1910" i="7"/>
  <c r="H1909" i="7"/>
  <c r="H1908" i="7"/>
  <c r="H1907" i="7"/>
  <c r="H1906" i="7"/>
  <c r="H1905" i="7"/>
  <c r="H1904" i="7"/>
  <c r="H1903" i="7"/>
  <c r="H1902" i="7"/>
  <c r="H1901" i="7"/>
  <c r="H1900" i="7"/>
  <c r="H1899" i="7"/>
  <c r="H1898" i="7"/>
  <c r="H1897" i="7"/>
  <c r="H1896" i="7"/>
  <c r="H1895" i="7"/>
  <c r="H1894" i="7"/>
  <c r="H1893" i="7"/>
  <c r="H1892" i="7"/>
  <c r="H1891" i="7"/>
  <c r="H1890" i="7"/>
  <c r="H1889" i="7"/>
  <c r="H1888" i="7"/>
  <c r="H1887" i="7"/>
  <c r="H1886" i="7"/>
  <c r="H1885" i="7"/>
  <c r="H1884" i="7"/>
  <c r="H1883" i="7"/>
  <c r="H1882" i="7"/>
  <c r="H1881" i="7"/>
  <c r="H1880" i="7"/>
  <c r="H1879" i="7"/>
  <c r="H1878" i="7"/>
  <c r="H1877" i="7"/>
  <c r="H1876" i="7"/>
  <c r="H1875" i="7"/>
  <c r="H1874" i="7"/>
  <c r="H1873" i="7"/>
  <c r="H1872" i="7"/>
  <c r="H1871" i="7"/>
  <c r="H1870" i="7"/>
  <c r="H1869" i="7"/>
  <c r="H1868" i="7"/>
  <c r="H1867" i="7"/>
  <c r="H1866" i="7"/>
  <c r="H1865" i="7"/>
  <c r="H1864" i="7"/>
  <c r="H1863" i="7"/>
  <c r="H1862" i="7"/>
  <c r="H1861" i="7"/>
  <c r="H1860" i="7"/>
  <c r="H1859" i="7"/>
  <c r="H1858" i="7"/>
  <c r="H1857" i="7"/>
  <c r="H1856" i="7"/>
  <c r="H1855" i="7"/>
  <c r="H1854" i="7"/>
  <c r="H1853" i="7"/>
  <c r="H1852" i="7"/>
  <c r="H1851" i="7"/>
  <c r="H1850" i="7"/>
  <c r="H1849" i="7"/>
  <c r="H1848" i="7"/>
  <c r="H1847" i="7"/>
  <c r="H1846" i="7"/>
  <c r="H1845" i="7"/>
  <c r="H1844" i="7"/>
  <c r="H1843" i="7"/>
  <c r="H1842" i="7"/>
  <c r="H1841" i="7"/>
  <c r="H1840" i="7"/>
  <c r="H1839" i="7"/>
  <c r="H1838" i="7"/>
  <c r="H1837" i="7"/>
  <c r="H1836" i="7"/>
  <c r="H1835" i="7"/>
  <c r="H1834" i="7"/>
  <c r="H1833" i="7"/>
  <c r="H1832" i="7"/>
  <c r="H1831" i="7"/>
  <c r="H1830" i="7"/>
  <c r="H1829" i="7"/>
  <c r="H1828" i="7"/>
  <c r="H1827" i="7"/>
  <c r="H1826" i="7"/>
  <c r="H1825" i="7"/>
  <c r="H1824" i="7"/>
  <c r="H1823" i="7"/>
  <c r="H1822" i="7"/>
  <c r="H1821" i="7"/>
  <c r="H1820" i="7"/>
  <c r="H1819" i="7"/>
  <c r="H1818" i="7"/>
  <c r="H1817" i="7"/>
  <c r="H1816" i="7"/>
  <c r="H1815" i="7"/>
  <c r="H1814" i="7"/>
  <c r="H1813" i="7"/>
  <c r="H1812" i="7"/>
  <c r="H1811" i="7"/>
  <c r="H1810" i="7"/>
  <c r="H1809" i="7"/>
  <c r="H1808" i="7"/>
  <c r="H1807" i="7"/>
  <c r="H1806" i="7"/>
  <c r="H1805" i="7"/>
  <c r="H1804" i="7"/>
  <c r="H1803" i="7"/>
  <c r="H1802" i="7"/>
  <c r="H1801" i="7"/>
  <c r="H1800" i="7"/>
  <c r="H1799" i="7"/>
  <c r="H1798" i="7"/>
  <c r="H1797" i="7"/>
  <c r="H1796" i="7"/>
  <c r="H1795" i="7"/>
  <c r="H1794" i="7"/>
  <c r="H1793" i="7"/>
  <c r="H1792" i="7"/>
  <c r="H1791" i="7"/>
  <c r="H1790" i="7"/>
  <c r="H1789" i="7"/>
  <c r="H1788" i="7"/>
  <c r="H1787" i="7"/>
  <c r="H1786" i="7"/>
  <c r="H1785" i="7"/>
  <c r="H1784" i="7"/>
  <c r="H1783" i="7"/>
  <c r="H1782" i="7"/>
  <c r="H1781" i="7"/>
  <c r="H1780" i="7"/>
  <c r="H1779" i="7"/>
  <c r="H1778" i="7"/>
  <c r="H1777" i="7"/>
  <c r="H1776" i="7"/>
  <c r="H1775" i="7"/>
  <c r="H1774" i="7"/>
  <c r="H1773" i="7"/>
  <c r="H1772" i="7"/>
  <c r="H1771" i="7"/>
  <c r="H1770" i="7"/>
  <c r="H1769" i="7"/>
  <c r="H1768" i="7"/>
  <c r="H1767" i="7"/>
  <c r="H1766" i="7"/>
  <c r="H1765" i="7"/>
  <c r="H1764" i="7"/>
  <c r="H1763" i="7"/>
  <c r="H1762" i="7"/>
  <c r="H1761" i="7"/>
  <c r="H1760" i="7"/>
  <c r="H1759" i="7"/>
  <c r="H1758" i="7"/>
  <c r="H1757" i="7"/>
  <c r="H1756" i="7"/>
  <c r="H1755" i="7"/>
  <c r="H1754" i="7"/>
  <c r="H1753" i="7"/>
  <c r="H1752" i="7"/>
  <c r="H1751" i="7"/>
  <c r="H1750" i="7"/>
  <c r="H1749" i="7"/>
  <c r="H1748" i="7"/>
  <c r="H1747" i="7"/>
  <c r="H1746" i="7"/>
  <c r="H1745" i="7"/>
  <c r="H1744" i="7"/>
  <c r="H1743" i="7"/>
  <c r="H1742" i="7"/>
  <c r="H1741" i="7"/>
  <c r="H1740" i="7"/>
  <c r="H1739" i="7"/>
  <c r="H1738" i="7"/>
  <c r="H1737" i="7"/>
  <c r="H1736" i="7"/>
  <c r="H1735" i="7"/>
  <c r="H1734" i="7"/>
  <c r="H1733" i="7"/>
  <c r="H1732" i="7"/>
  <c r="H1731" i="7"/>
  <c r="H1730" i="7"/>
  <c r="H1729" i="7"/>
  <c r="H1728" i="7"/>
  <c r="H1727" i="7"/>
  <c r="H1726" i="7"/>
  <c r="H1725" i="7"/>
  <c r="H1724" i="7"/>
  <c r="H1723" i="7"/>
  <c r="H1722" i="7"/>
  <c r="H1721" i="7"/>
  <c r="H1720" i="7"/>
  <c r="H1719" i="7"/>
  <c r="H1718" i="7"/>
  <c r="H1717" i="7"/>
  <c r="H1716" i="7"/>
  <c r="H1715" i="7"/>
  <c r="H1714" i="7"/>
  <c r="H1713" i="7"/>
  <c r="H1712" i="7"/>
  <c r="H1711" i="7"/>
  <c r="H1710" i="7"/>
  <c r="H1709" i="7"/>
  <c r="H1708" i="7"/>
  <c r="H1707" i="7"/>
  <c r="H1706" i="7"/>
  <c r="H1705" i="7"/>
  <c r="H1704" i="7"/>
  <c r="H1703" i="7"/>
  <c r="H1702" i="7"/>
  <c r="H1701" i="7"/>
  <c r="H1700" i="7"/>
  <c r="H1699" i="7"/>
  <c r="H1698" i="7"/>
  <c r="H1697" i="7"/>
  <c r="H1696" i="7"/>
  <c r="H1695" i="7"/>
  <c r="H1694" i="7"/>
  <c r="H1693" i="7"/>
  <c r="H1692" i="7"/>
  <c r="H1691" i="7"/>
  <c r="H1690" i="7"/>
  <c r="H1689" i="7"/>
  <c r="H1688" i="7"/>
  <c r="H1687" i="7"/>
  <c r="H1686" i="7"/>
  <c r="H1685" i="7"/>
  <c r="H1684" i="7"/>
  <c r="H1683" i="7"/>
  <c r="H1682" i="7"/>
  <c r="H1681" i="7"/>
  <c r="H1680" i="7"/>
  <c r="H1679" i="7"/>
  <c r="H1678" i="7"/>
  <c r="H1677" i="7"/>
  <c r="H1676" i="7"/>
  <c r="H1675" i="7"/>
  <c r="H1674" i="7"/>
  <c r="H1673" i="7"/>
  <c r="H1672" i="7"/>
  <c r="H1671" i="7"/>
  <c r="H1670" i="7"/>
  <c r="H1669" i="7"/>
  <c r="H1668" i="7"/>
  <c r="H1667" i="7"/>
  <c r="H1666" i="7"/>
  <c r="H1665" i="7"/>
  <c r="H1664" i="7"/>
  <c r="H1663" i="7"/>
  <c r="H1662" i="7"/>
  <c r="H1661" i="7"/>
  <c r="H1660" i="7"/>
  <c r="H1659" i="7"/>
  <c r="H1658" i="7"/>
  <c r="H1657" i="7"/>
  <c r="H1656" i="7"/>
  <c r="H1655" i="7"/>
  <c r="H1654" i="7"/>
  <c r="H1653" i="7"/>
  <c r="H1652" i="7"/>
  <c r="H1651" i="7"/>
  <c r="H1650" i="7"/>
  <c r="H1649" i="7"/>
  <c r="H1648" i="7"/>
  <c r="H1647" i="7"/>
  <c r="H1646" i="7"/>
  <c r="H1645" i="7"/>
  <c r="H1644" i="7"/>
  <c r="H1643" i="7"/>
  <c r="H1642" i="7"/>
  <c r="H1641" i="7"/>
  <c r="H1640" i="7"/>
  <c r="H1639" i="7"/>
  <c r="H1638" i="7"/>
  <c r="H1637" i="7"/>
  <c r="H1636" i="7"/>
  <c r="H1635" i="7"/>
  <c r="H1634" i="7"/>
  <c r="H1633" i="7"/>
  <c r="H1632" i="7"/>
  <c r="H1631" i="7"/>
  <c r="H1630" i="7"/>
  <c r="H1629" i="7"/>
  <c r="H1628" i="7"/>
  <c r="H1627" i="7"/>
  <c r="H1626" i="7"/>
  <c r="H1625" i="7"/>
  <c r="H1624" i="7"/>
  <c r="H1623" i="7"/>
  <c r="H1622" i="7"/>
  <c r="H1621" i="7"/>
  <c r="H1620" i="7"/>
  <c r="H1619" i="7"/>
  <c r="H1618" i="7"/>
  <c r="H1617" i="7"/>
  <c r="H1616" i="7"/>
  <c r="H1615" i="7"/>
  <c r="H1614" i="7"/>
  <c r="H1613" i="7"/>
  <c r="H1612" i="7"/>
  <c r="H1611" i="7"/>
  <c r="H1610" i="7"/>
  <c r="H1609" i="7"/>
  <c r="H1608" i="7"/>
  <c r="H1607" i="7"/>
  <c r="H1606" i="7"/>
  <c r="H1605" i="7"/>
  <c r="H1604" i="7"/>
  <c r="H1603" i="7"/>
  <c r="H1602" i="7"/>
  <c r="H1601" i="7"/>
  <c r="H1600" i="7"/>
  <c r="H1599" i="7"/>
  <c r="H1598" i="7"/>
  <c r="H1597" i="7"/>
  <c r="H1596" i="7"/>
  <c r="H1595" i="7"/>
  <c r="H1594" i="7"/>
  <c r="H1593" i="7"/>
  <c r="H1592" i="7"/>
  <c r="H1591" i="7"/>
  <c r="H1590" i="7"/>
  <c r="H1589" i="7"/>
  <c r="H1588" i="7"/>
  <c r="H1587" i="7"/>
  <c r="H1586" i="7"/>
  <c r="H1585" i="7"/>
  <c r="H1584" i="7"/>
  <c r="H1583" i="7"/>
  <c r="H1582" i="7"/>
  <c r="H1581" i="7"/>
  <c r="H1580" i="7"/>
  <c r="H1579" i="7"/>
  <c r="H1578" i="7"/>
  <c r="H1577" i="7"/>
  <c r="H1576" i="7"/>
  <c r="H1575" i="7"/>
  <c r="H1574" i="7"/>
  <c r="H1573" i="7"/>
  <c r="H1572" i="7"/>
  <c r="H1571" i="7"/>
  <c r="H1570" i="7"/>
  <c r="H1569" i="7"/>
  <c r="H1568" i="7"/>
  <c r="H1567" i="7"/>
  <c r="H1566" i="7"/>
  <c r="H1565" i="7"/>
  <c r="H1564" i="7"/>
  <c r="H1563" i="7"/>
  <c r="H1562" i="7"/>
  <c r="H1561" i="7"/>
  <c r="H1560" i="7"/>
  <c r="H1559" i="7"/>
  <c r="H1558" i="7"/>
  <c r="H1557" i="7"/>
  <c r="H1556" i="7"/>
  <c r="H1555" i="7"/>
  <c r="H1554" i="7"/>
  <c r="H1553" i="7"/>
  <c r="H1552" i="7"/>
  <c r="H1551" i="7"/>
  <c r="H1550" i="7"/>
  <c r="H1549" i="7"/>
  <c r="H1548" i="7"/>
  <c r="H1547" i="7"/>
  <c r="H1546" i="7"/>
  <c r="H1545" i="7"/>
  <c r="H1544" i="7"/>
  <c r="H1543" i="7"/>
  <c r="H1542" i="7"/>
  <c r="H1541" i="7"/>
  <c r="H1540" i="7"/>
  <c r="H1539" i="7"/>
  <c r="H1538" i="7"/>
  <c r="H1537" i="7"/>
  <c r="H1536" i="7"/>
  <c r="H1535" i="7"/>
  <c r="H1534" i="7"/>
  <c r="H1533" i="7"/>
  <c r="H1532" i="7"/>
  <c r="H1531" i="7"/>
  <c r="H1530" i="7"/>
  <c r="H1529" i="7"/>
  <c r="H1528" i="7"/>
  <c r="H1527" i="7"/>
  <c r="H1526" i="7"/>
  <c r="H1525" i="7"/>
  <c r="H1524" i="7"/>
  <c r="H1523" i="7"/>
  <c r="H1522" i="7"/>
  <c r="H1521" i="7"/>
  <c r="H1520" i="7"/>
  <c r="H1519" i="7"/>
  <c r="H1518" i="7"/>
  <c r="H1517" i="7"/>
  <c r="H1516" i="7"/>
  <c r="H1515" i="7"/>
  <c r="H1514" i="7"/>
  <c r="H1513" i="7"/>
  <c r="H1512" i="7"/>
  <c r="H1511" i="7"/>
  <c r="H1510" i="7"/>
  <c r="H1509" i="7"/>
  <c r="H1508" i="7"/>
  <c r="H1507" i="7"/>
  <c r="H1506" i="7"/>
  <c r="H1505" i="7"/>
  <c r="H1504" i="7"/>
  <c r="H1503" i="7"/>
  <c r="H1502" i="7"/>
  <c r="H1501" i="7"/>
  <c r="H1500" i="7"/>
  <c r="H1499" i="7"/>
  <c r="H1498" i="7"/>
  <c r="H1497" i="7"/>
  <c r="H1496" i="7"/>
  <c r="H1495" i="7"/>
  <c r="H1494" i="7"/>
  <c r="H1493" i="7"/>
  <c r="H1492" i="7"/>
  <c r="H1491" i="7"/>
  <c r="H1490" i="7"/>
  <c r="H1489" i="7"/>
  <c r="H1488" i="7"/>
  <c r="H1487" i="7"/>
  <c r="H1486" i="7"/>
  <c r="H1485" i="7"/>
  <c r="H1484" i="7"/>
  <c r="H1483" i="7"/>
  <c r="H1482" i="7"/>
  <c r="H1481" i="7"/>
  <c r="H1480" i="7"/>
  <c r="H1479" i="7"/>
  <c r="H1478" i="7"/>
  <c r="H1477" i="7"/>
  <c r="H1476" i="7"/>
  <c r="H1475" i="7"/>
  <c r="H1474" i="7"/>
  <c r="H1473" i="7"/>
  <c r="H1472" i="7"/>
  <c r="H1471" i="7"/>
  <c r="H1470" i="7"/>
  <c r="H1469" i="7"/>
  <c r="H1468" i="7"/>
  <c r="H1467" i="7"/>
  <c r="H1466" i="7"/>
  <c r="H1465" i="7"/>
  <c r="H1464" i="7"/>
  <c r="H1463" i="7"/>
  <c r="H1462" i="7"/>
  <c r="H1461" i="7"/>
  <c r="H1460" i="7"/>
  <c r="H1459" i="7"/>
  <c r="H1458" i="7"/>
  <c r="H1457" i="7"/>
  <c r="H1456" i="7"/>
  <c r="H1455" i="7"/>
  <c r="H1454" i="7"/>
  <c r="H1453" i="7"/>
  <c r="H1452" i="7"/>
  <c r="H1451" i="7"/>
  <c r="H1450" i="7"/>
  <c r="H1449" i="7"/>
  <c r="H1448" i="7"/>
  <c r="H1447" i="7"/>
  <c r="H1446" i="7"/>
  <c r="H1445" i="7"/>
  <c r="H1444" i="7"/>
  <c r="H1443" i="7"/>
  <c r="H1442" i="7"/>
  <c r="H1441" i="7"/>
  <c r="H1440" i="7"/>
  <c r="H1439" i="7"/>
  <c r="H1438" i="7"/>
  <c r="H1437" i="7"/>
  <c r="H1436" i="7"/>
  <c r="H1435" i="7"/>
  <c r="H1434" i="7"/>
  <c r="H1433" i="7"/>
  <c r="H1432" i="7"/>
  <c r="H1431" i="7"/>
  <c r="H1430" i="7"/>
  <c r="H1429" i="7"/>
  <c r="H1428" i="7"/>
  <c r="H1427" i="7"/>
  <c r="H1426" i="7"/>
  <c r="H1425" i="7"/>
  <c r="H1424" i="7"/>
  <c r="H1423" i="7"/>
  <c r="H1422" i="7"/>
  <c r="H1421" i="7"/>
  <c r="H1420" i="7"/>
  <c r="H1419" i="7"/>
  <c r="H1418" i="7"/>
  <c r="H1417" i="7"/>
  <c r="H1416" i="7"/>
  <c r="H1415" i="7"/>
  <c r="H1414" i="7"/>
  <c r="H1413" i="7"/>
  <c r="H1412" i="7"/>
  <c r="H1411" i="7"/>
  <c r="H1410" i="7"/>
  <c r="H1409" i="7"/>
  <c r="H1408" i="7"/>
  <c r="H1407" i="7"/>
  <c r="H1406" i="7"/>
  <c r="H1405" i="7"/>
  <c r="H1404" i="7"/>
  <c r="H1403" i="7"/>
  <c r="H1402" i="7"/>
  <c r="H1401" i="7"/>
  <c r="H1400" i="7"/>
  <c r="H1399" i="7"/>
  <c r="H1398" i="7"/>
  <c r="H1397" i="7"/>
  <c r="H1396" i="7"/>
  <c r="H1395" i="7"/>
  <c r="H1394" i="7"/>
  <c r="H1393" i="7"/>
  <c r="H1392" i="7"/>
  <c r="H1391" i="7"/>
  <c r="H1390" i="7"/>
  <c r="H1389" i="7"/>
  <c r="H1388" i="7"/>
  <c r="H1387" i="7"/>
  <c r="H1386" i="7"/>
  <c r="H1385" i="7"/>
  <c r="H1384" i="7"/>
  <c r="H1383" i="7"/>
  <c r="H1382" i="7"/>
  <c r="H1381" i="7"/>
  <c r="H1380" i="7"/>
  <c r="H1379" i="7"/>
  <c r="H1378" i="7"/>
  <c r="H1377" i="7"/>
  <c r="H1376" i="7"/>
  <c r="H1375" i="7"/>
  <c r="H1374" i="7"/>
  <c r="H1373" i="7"/>
  <c r="H1372" i="7"/>
  <c r="H1371" i="7"/>
  <c r="H1370" i="7"/>
  <c r="H1369" i="7"/>
  <c r="H1368" i="7"/>
  <c r="H1367" i="7"/>
  <c r="H1366" i="7"/>
  <c r="H1365" i="7"/>
  <c r="H1364" i="7"/>
  <c r="H1363" i="7"/>
  <c r="H1362" i="7"/>
  <c r="H1361" i="7"/>
  <c r="H1360" i="7"/>
  <c r="H1359" i="7"/>
  <c r="H1358" i="7"/>
  <c r="H1357" i="7"/>
  <c r="H1356" i="7"/>
  <c r="H1355" i="7"/>
  <c r="H1354" i="7"/>
  <c r="H1353" i="7"/>
  <c r="H1352" i="7"/>
  <c r="H1351" i="7"/>
  <c r="H1350" i="7"/>
  <c r="H1349" i="7"/>
  <c r="H1348" i="7"/>
  <c r="H1347" i="7"/>
  <c r="H1346" i="7"/>
  <c r="H1345" i="7"/>
  <c r="H1344" i="7"/>
  <c r="H1343" i="7"/>
  <c r="H1342" i="7"/>
  <c r="H1341" i="7"/>
  <c r="H1340" i="7"/>
  <c r="H1339" i="7"/>
  <c r="H1338" i="7"/>
  <c r="H1337" i="7"/>
  <c r="H1336" i="7"/>
  <c r="H1335" i="7"/>
  <c r="H1334" i="7"/>
  <c r="H1333" i="7"/>
  <c r="H1332" i="7"/>
  <c r="H1331" i="7"/>
  <c r="H1330" i="7"/>
  <c r="H1329" i="7"/>
  <c r="H1328" i="7"/>
  <c r="H1327" i="7"/>
  <c r="H1326" i="7"/>
  <c r="H1325" i="7"/>
  <c r="H1324" i="7"/>
  <c r="H1323" i="7"/>
  <c r="H1322" i="7"/>
  <c r="H1321" i="7"/>
  <c r="H1320" i="7"/>
  <c r="H1319" i="7"/>
  <c r="H1318" i="7"/>
  <c r="H1317" i="7"/>
  <c r="H1316" i="7"/>
  <c r="H1315" i="7"/>
  <c r="H1314" i="7"/>
  <c r="H1313" i="7"/>
  <c r="H1312" i="7"/>
  <c r="H1311" i="7"/>
  <c r="H1310" i="7"/>
  <c r="H1309" i="7"/>
  <c r="H1308" i="7"/>
  <c r="H1307" i="7"/>
  <c r="H1306" i="7"/>
  <c r="H1305" i="7"/>
  <c r="H1304" i="7"/>
  <c r="H1303" i="7"/>
  <c r="H1302" i="7"/>
  <c r="H1301" i="7"/>
  <c r="H1300" i="7"/>
  <c r="H1299" i="7"/>
  <c r="H1298" i="7"/>
  <c r="H1297" i="7"/>
  <c r="H1296" i="7"/>
  <c r="H1295" i="7"/>
  <c r="H1294" i="7"/>
  <c r="H1293" i="7"/>
  <c r="H1292" i="7"/>
  <c r="H1291" i="7"/>
  <c r="H1290" i="7"/>
  <c r="H1289" i="7"/>
  <c r="H1288" i="7"/>
  <c r="H1287" i="7"/>
  <c r="H1286" i="7"/>
  <c r="H1285" i="7"/>
  <c r="H1284" i="7"/>
  <c r="H1283" i="7"/>
  <c r="H1282" i="7"/>
  <c r="H1281" i="7"/>
  <c r="H1280" i="7"/>
  <c r="H1279" i="7"/>
  <c r="H1278" i="7"/>
  <c r="H1277" i="7"/>
  <c r="H1276" i="7"/>
  <c r="H1275" i="7"/>
  <c r="H1274" i="7"/>
  <c r="H1273" i="7"/>
  <c r="H1272" i="7"/>
  <c r="H1271" i="7"/>
  <c r="H1270" i="7"/>
  <c r="H1269" i="7"/>
  <c r="H1268" i="7"/>
  <c r="H1267" i="7"/>
  <c r="H1266" i="7"/>
  <c r="H1265" i="7"/>
  <c r="H1264" i="7"/>
  <c r="H1263" i="7"/>
  <c r="H1262" i="7"/>
  <c r="H1261" i="7"/>
  <c r="H1260" i="7"/>
  <c r="H1259" i="7"/>
  <c r="H1258" i="7"/>
  <c r="H1257" i="7"/>
  <c r="H1256" i="7"/>
  <c r="H1255" i="7"/>
  <c r="H1254" i="7"/>
  <c r="H1253" i="7"/>
  <c r="H1252" i="7"/>
  <c r="H1251" i="7"/>
  <c r="H1250" i="7"/>
  <c r="H1249" i="7"/>
  <c r="H1248" i="7"/>
  <c r="H1247" i="7"/>
  <c r="H1246" i="7"/>
  <c r="H1245" i="7"/>
  <c r="H1244" i="7"/>
  <c r="H1243" i="7"/>
  <c r="H1242" i="7"/>
  <c r="H1241" i="7"/>
  <c r="H1240" i="7"/>
  <c r="H1239" i="7"/>
  <c r="H1238" i="7"/>
  <c r="H1237" i="7"/>
  <c r="H1236" i="7"/>
  <c r="H1235" i="7"/>
  <c r="H1234" i="7"/>
  <c r="H1233" i="7"/>
  <c r="H1232" i="7"/>
  <c r="H1231" i="7"/>
  <c r="H1230" i="7"/>
  <c r="H1229" i="7"/>
  <c r="H1228" i="7"/>
  <c r="H1227" i="7"/>
  <c r="H1226" i="7"/>
  <c r="H1225" i="7"/>
  <c r="H1224" i="7"/>
  <c r="H1223" i="7"/>
  <c r="H1222" i="7"/>
  <c r="H1221" i="7"/>
  <c r="H1220" i="7"/>
  <c r="H1219" i="7"/>
  <c r="H1218" i="7"/>
  <c r="H1217" i="7"/>
  <c r="H1216" i="7"/>
  <c r="H1215" i="7"/>
  <c r="H1214" i="7"/>
  <c r="H1213" i="7"/>
  <c r="H1212" i="7"/>
  <c r="H1211" i="7"/>
  <c r="H1210" i="7"/>
  <c r="H1209" i="7"/>
  <c r="H1208" i="7"/>
  <c r="H1207" i="7"/>
  <c r="H1206" i="7"/>
  <c r="H1205" i="7"/>
  <c r="H1204" i="7"/>
  <c r="H1203" i="7"/>
  <c r="H1202" i="7"/>
  <c r="H1201" i="7"/>
  <c r="H1200" i="7"/>
  <c r="H1199" i="7"/>
  <c r="H1198" i="7"/>
  <c r="H1197" i="7"/>
  <c r="H1196" i="7"/>
  <c r="H1195" i="7"/>
  <c r="H1194" i="7"/>
  <c r="H1193" i="7"/>
  <c r="H1192" i="7"/>
  <c r="H1191" i="7"/>
  <c r="H1190" i="7"/>
  <c r="H1189" i="7"/>
  <c r="H1188" i="7"/>
  <c r="H1187" i="7"/>
  <c r="H1186" i="7"/>
  <c r="H1185" i="7"/>
  <c r="H1184" i="7"/>
  <c r="H1183" i="7"/>
  <c r="H1182" i="7"/>
  <c r="H1181" i="7"/>
  <c r="H1180" i="7"/>
  <c r="H1179" i="7"/>
  <c r="H1178" i="7"/>
  <c r="H1177" i="7"/>
  <c r="H1176" i="7"/>
  <c r="H1175" i="7"/>
  <c r="H1174" i="7"/>
  <c r="H1173" i="7"/>
  <c r="H1172" i="7"/>
  <c r="H1171" i="7"/>
  <c r="H1170" i="7"/>
  <c r="H1169" i="7"/>
  <c r="H1168" i="7"/>
  <c r="H1167" i="7"/>
  <c r="H1166" i="7"/>
  <c r="H1165" i="7"/>
  <c r="H1164" i="7"/>
  <c r="H1163" i="7"/>
  <c r="H1162" i="7"/>
  <c r="H1161" i="7"/>
  <c r="H1160" i="7"/>
  <c r="H1159" i="7"/>
  <c r="H1158" i="7"/>
  <c r="H1157" i="7"/>
  <c r="H1156" i="7"/>
  <c r="H1155" i="7"/>
  <c r="H1154" i="7"/>
  <c r="H1153" i="7"/>
  <c r="H1152" i="7"/>
  <c r="H1151" i="7"/>
  <c r="H1150" i="7"/>
  <c r="H1149" i="7"/>
  <c r="H1148" i="7"/>
  <c r="H1147" i="7"/>
  <c r="H1146" i="7"/>
  <c r="H1145" i="7"/>
  <c r="H1144" i="7"/>
  <c r="H1143" i="7"/>
  <c r="H1142" i="7"/>
  <c r="H1141" i="7"/>
  <c r="H1140" i="7"/>
  <c r="H1139" i="7"/>
  <c r="H1138" i="7"/>
  <c r="H1137" i="7"/>
  <c r="H1136" i="7"/>
  <c r="H1135" i="7"/>
  <c r="H1134" i="7"/>
  <c r="H1133" i="7"/>
  <c r="H1132" i="7"/>
  <c r="H1131" i="7"/>
  <c r="H1130" i="7"/>
  <c r="H1129" i="7"/>
  <c r="H1128" i="7"/>
  <c r="H1127" i="7"/>
  <c r="H1126" i="7"/>
  <c r="H1125" i="7"/>
  <c r="H1124" i="7"/>
  <c r="H1123" i="7"/>
  <c r="H1122" i="7"/>
  <c r="H1121" i="7"/>
  <c r="H1120" i="7"/>
  <c r="H1119" i="7"/>
  <c r="H1118" i="7"/>
  <c r="H1117" i="7"/>
  <c r="H1116" i="7"/>
  <c r="H1115" i="7"/>
  <c r="H1114" i="7"/>
  <c r="H1113" i="7"/>
  <c r="H1112" i="7"/>
  <c r="H1111" i="7"/>
  <c r="H1110" i="7"/>
  <c r="H1109" i="7"/>
  <c r="H1108" i="7"/>
  <c r="H1107" i="7"/>
  <c r="H1106" i="7"/>
  <c r="H1105" i="7"/>
  <c r="H1104" i="7"/>
  <c r="H1103" i="7"/>
  <c r="H1102" i="7"/>
  <c r="H1101" i="7"/>
  <c r="H1100" i="7"/>
  <c r="H1099" i="7"/>
  <c r="H1098" i="7"/>
  <c r="H1097" i="7"/>
  <c r="H1096" i="7"/>
  <c r="H1095" i="7"/>
  <c r="H1094" i="7"/>
  <c r="H1093" i="7"/>
  <c r="H1092" i="7"/>
  <c r="H1091" i="7"/>
  <c r="H1090" i="7"/>
  <c r="H1089" i="7"/>
  <c r="H1088" i="7"/>
  <c r="H1087" i="7"/>
  <c r="H1086" i="7"/>
  <c r="H1085" i="7"/>
  <c r="H1084" i="7"/>
  <c r="H1083" i="7"/>
  <c r="H1082" i="7"/>
  <c r="H1081" i="7"/>
  <c r="H1080" i="7"/>
  <c r="H1079" i="7"/>
  <c r="H1078" i="7"/>
  <c r="H1077" i="7"/>
  <c r="H1076" i="7"/>
  <c r="H1075" i="7"/>
  <c r="H1074" i="7"/>
  <c r="H1073" i="7"/>
  <c r="H1072" i="7"/>
  <c r="H1071" i="7"/>
  <c r="H1070" i="7"/>
  <c r="H1069" i="7"/>
  <c r="H1068" i="7"/>
  <c r="H1067" i="7"/>
  <c r="H1066" i="7"/>
  <c r="H1065" i="7"/>
  <c r="H1064" i="7"/>
  <c r="H1063" i="7"/>
  <c r="H1062" i="7"/>
  <c r="H1061" i="7"/>
  <c r="H1060" i="7"/>
  <c r="H1059" i="7"/>
  <c r="H1058" i="7"/>
  <c r="H1057" i="7"/>
  <c r="H1056" i="7"/>
  <c r="H1055" i="7"/>
  <c r="H1054" i="7"/>
  <c r="H1053" i="7"/>
  <c r="H1052" i="7"/>
  <c r="H1051" i="7"/>
  <c r="H1050" i="7"/>
  <c r="H1049" i="7"/>
  <c r="H1048" i="7"/>
  <c r="H1047" i="7"/>
  <c r="H1046" i="7"/>
  <c r="H1045" i="7"/>
  <c r="H1044" i="7"/>
  <c r="H1043" i="7"/>
  <c r="H1042" i="7"/>
  <c r="H1041" i="7"/>
  <c r="H1040" i="7"/>
  <c r="H1039" i="7"/>
  <c r="H1038" i="7"/>
  <c r="H1037" i="7"/>
  <c r="H1036" i="7"/>
  <c r="H1035" i="7"/>
  <c r="H1034" i="7"/>
  <c r="H1033" i="7"/>
  <c r="H1032" i="7"/>
  <c r="H1031" i="7"/>
  <c r="H1030" i="7"/>
  <c r="H1029" i="7"/>
  <c r="H1028" i="7"/>
  <c r="H1027" i="7"/>
  <c r="H1026" i="7"/>
  <c r="H1025" i="7"/>
  <c r="H1024" i="7"/>
  <c r="H1023" i="7"/>
  <c r="H1022" i="7"/>
  <c r="H1021" i="7"/>
  <c r="H1020" i="7"/>
  <c r="H1019" i="7"/>
  <c r="H1018" i="7"/>
  <c r="H1017" i="7"/>
  <c r="H1016" i="7"/>
  <c r="H1015" i="7"/>
  <c r="H1014" i="7"/>
  <c r="H1013" i="7"/>
  <c r="H1012" i="7"/>
  <c r="H1011" i="7"/>
  <c r="H1010" i="7"/>
  <c r="H1009" i="7"/>
  <c r="H1008" i="7"/>
  <c r="H1007" i="7"/>
  <c r="H1006" i="7"/>
  <c r="H1005" i="7"/>
  <c r="H1004" i="7"/>
  <c r="H1003" i="7"/>
  <c r="H1002" i="7"/>
  <c r="H1001" i="7"/>
  <c r="H1000" i="7"/>
  <c r="H999" i="7"/>
  <c r="H998" i="7"/>
  <c r="H997" i="7"/>
  <c r="H996" i="7"/>
  <c r="H995" i="7"/>
  <c r="H994" i="7"/>
  <c r="H993" i="7"/>
  <c r="H992" i="7"/>
  <c r="H991" i="7"/>
  <c r="H990" i="7"/>
  <c r="H989" i="7"/>
  <c r="H988" i="7"/>
  <c r="H987" i="7"/>
  <c r="H986" i="7"/>
  <c r="H985" i="7"/>
  <c r="H984" i="7"/>
  <c r="H983" i="7"/>
  <c r="H982" i="7"/>
  <c r="H981" i="7"/>
  <c r="H980" i="7"/>
  <c r="H979" i="7"/>
  <c r="H978" i="7"/>
  <c r="H977" i="7"/>
  <c r="H976" i="7"/>
  <c r="H975" i="7"/>
  <c r="H974" i="7"/>
  <c r="H973" i="7"/>
  <c r="H972" i="7"/>
  <c r="H971" i="7"/>
  <c r="H970" i="7"/>
  <c r="H969" i="7"/>
  <c r="H968" i="7"/>
  <c r="H967" i="7"/>
  <c r="H966" i="7"/>
  <c r="H965" i="7"/>
  <c r="H964" i="7"/>
  <c r="H963" i="7"/>
  <c r="H962" i="7"/>
  <c r="H961" i="7"/>
  <c r="H960" i="7"/>
  <c r="H959" i="7"/>
  <c r="H958" i="7"/>
  <c r="H957" i="7"/>
  <c r="H956" i="7"/>
  <c r="H955" i="7"/>
  <c r="H954" i="7"/>
  <c r="H953" i="7"/>
  <c r="H952" i="7"/>
  <c r="H951" i="7"/>
  <c r="H950" i="7"/>
  <c r="H949" i="7"/>
  <c r="H948" i="7"/>
  <c r="H947" i="7"/>
  <c r="H946" i="7"/>
  <c r="H945" i="7"/>
  <c r="H944" i="7"/>
  <c r="H943" i="7"/>
  <c r="H942" i="7"/>
  <c r="H941" i="7"/>
  <c r="H940" i="7"/>
  <c r="H939" i="7"/>
  <c r="H938" i="7"/>
  <c r="H937" i="7"/>
  <c r="H936" i="7"/>
  <c r="H935" i="7"/>
  <c r="H934" i="7"/>
  <c r="H933" i="7"/>
  <c r="H932" i="7"/>
  <c r="H931" i="7"/>
  <c r="H930" i="7"/>
  <c r="H929" i="7"/>
  <c r="H928" i="7"/>
  <c r="H927" i="7"/>
  <c r="H926" i="7"/>
  <c r="H925" i="7"/>
  <c r="H924" i="7"/>
  <c r="H923" i="7"/>
  <c r="H922" i="7"/>
  <c r="H921" i="7"/>
  <c r="H920" i="7"/>
  <c r="H919" i="7"/>
  <c r="H918" i="7"/>
  <c r="H917" i="7"/>
  <c r="H916" i="7"/>
  <c r="H915" i="7"/>
  <c r="H914" i="7"/>
  <c r="H913" i="7"/>
  <c r="H912" i="7"/>
  <c r="H911" i="7"/>
  <c r="H910" i="7"/>
  <c r="H909" i="7"/>
  <c r="H908" i="7"/>
  <c r="H907" i="7"/>
  <c r="H906" i="7"/>
  <c r="H905" i="7"/>
  <c r="H904" i="7"/>
  <c r="H903" i="7"/>
  <c r="H902" i="7"/>
  <c r="H901" i="7"/>
  <c r="H900" i="7"/>
  <c r="H899" i="7"/>
  <c r="H898" i="7"/>
  <c r="H897" i="7"/>
  <c r="H896" i="7"/>
  <c r="H895" i="7"/>
  <c r="H894" i="7"/>
  <c r="H893" i="7"/>
  <c r="H892" i="7"/>
  <c r="H891" i="7"/>
  <c r="H890" i="7"/>
  <c r="H889" i="7"/>
  <c r="H888" i="7"/>
  <c r="H887" i="7"/>
  <c r="H886" i="7"/>
  <c r="H885" i="7"/>
  <c r="H884" i="7"/>
  <c r="H883" i="7"/>
  <c r="H882" i="7"/>
  <c r="H881" i="7"/>
  <c r="H880" i="7"/>
  <c r="H879" i="7"/>
  <c r="H878" i="7"/>
  <c r="H877" i="7"/>
  <c r="H876" i="7"/>
  <c r="H875" i="7"/>
  <c r="H874" i="7"/>
  <c r="H873" i="7"/>
  <c r="H872" i="7"/>
  <c r="H871" i="7"/>
  <c r="H870" i="7"/>
  <c r="H869" i="7"/>
  <c r="H868" i="7"/>
  <c r="H867" i="7"/>
  <c r="H866" i="7"/>
  <c r="H865" i="7"/>
  <c r="H864" i="7"/>
  <c r="H863" i="7"/>
  <c r="H862" i="7"/>
  <c r="H861" i="7"/>
  <c r="H860" i="7"/>
  <c r="H859" i="7"/>
  <c r="H858" i="7"/>
  <c r="H857" i="7"/>
  <c r="H856" i="7"/>
  <c r="H855" i="7"/>
  <c r="H854" i="7"/>
  <c r="H853" i="7"/>
  <c r="H852" i="7"/>
  <c r="H851" i="7"/>
  <c r="H850" i="7"/>
  <c r="H849" i="7"/>
  <c r="H848" i="7"/>
  <c r="H847" i="7"/>
  <c r="H846" i="7"/>
  <c r="H845" i="7"/>
  <c r="H844" i="7"/>
  <c r="H843" i="7"/>
  <c r="H842" i="7"/>
  <c r="H841" i="7"/>
  <c r="H840" i="7"/>
  <c r="H839" i="7"/>
  <c r="H838" i="7"/>
  <c r="H837" i="7"/>
  <c r="H836" i="7"/>
  <c r="H835" i="7"/>
  <c r="H834" i="7"/>
  <c r="H833" i="7"/>
  <c r="H832" i="7"/>
  <c r="H831" i="7"/>
  <c r="H830" i="7"/>
  <c r="H829" i="7"/>
  <c r="H828" i="7"/>
  <c r="H827" i="7"/>
  <c r="H826" i="7"/>
  <c r="H825" i="7"/>
  <c r="H824" i="7"/>
  <c r="H823" i="7"/>
  <c r="H822" i="7"/>
  <c r="H821" i="7"/>
  <c r="H820" i="7"/>
  <c r="H819" i="7"/>
  <c r="H818" i="7"/>
  <c r="H817" i="7"/>
  <c r="H816" i="7"/>
  <c r="H815" i="7"/>
  <c r="H814" i="7"/>
  <c r="H813" i="7"/>
  <c r="H812" i="7"/>
  <c r="H811" i="7"/>
  <c r="H810" i="7"/>
  <c r="H809" i="7"/>
  <c r="H808" i="7"/>
  <c r="H807" i="7"/>
  <c r="H806" i="7"/>
  <c r="H805" i="7"/>
  <c r="H804" i="7"/>
  <c r="H803" i="7"/>
  <c r="H802" i="7"/>
  <c r="H801" i="7"/>
  <c r="H800" i="7"/>
  <c r="H799" i="7"/>
  <c r="H798" i="7"/>
  <c r="H797" i="7"/>
  <c r="H796" i="7"/>
  <c r="H795" i="7"/>
  <c r="H794" i="7"/>
  <c r="H793" i="7"/>
  <c r="H792" i="7"/>
  <c r="H791" i="7"/>
  <c r="H790" i="7"/>
  <c r="H789" i="7"/>
  <c r="H788" i="7"/>
  <c r="H787" i="7"/>
  <c r="H786" i="7"/>
  <c r="H785" i="7"/>
  <c r="H784" i="7"/>
  <c r="H783" i="7"/>
  <c r="H782" i="7"/>
  <c r="H781" i="7"/>
  <c r="H780" i="7"/>
  <c r="H779" i="7"/>
  <c r="H778" i="7"/>
  <c r="H777" i="7"/>
  <c r="H776" i="7"/>
  <c r="H775" i="7"/>
  <c r="H774" i="7"/>
  <c r="H773" i="7"/>
  <c r="H772" i="7"/>
  <c r="H771" i="7"/>
  <c r="H770" i="7"/>
  <c r="H769" i="7"/>
  <c r="H768" i="7"/>
  <c r="H767" i="7"/>
  <c r="H766" i="7"/>
  <c r="H765" i="7"/>
  <c r="H764" i="7"/>
  <c r="H763" i="7"/>
  <c r="H762" i="7"/>
  <c r="H761" i="7"/>
  <c r="H760" i="7"/>
  <c r="H759" i="7"/>
  <c r="H758" i="7"/>
  <c r="H757" i="7"/>
  <c r="H756" i="7"/>
  <c r="H755" i="7"/>
  <c r="H754" i="7"/>
  <c r="H753" i="7"/>
  <c r="H752" i="7"/>
  <c r="H751" i="7"/>
  <c r="H750" i="7"/>
  <c r="H749" i="7"/>
  <c r="H748" i="7"/>
  <c r="H747" i="7"/>
  <c r="H746" i="7"/>
  <c r="H745" i="7"/>
  <c r="H744" i="7"/>
  <c r="H743" i="7"/>
  <c r="H742" i="7"/>
  <c r="H741" i="7"/>
  <c r="H740" i="7"/>
  <c r="H739" i="7"/>
  <c r="H738" i="7"/>
  <c r="H737" i="7"/>
  <c r="H736" i="7"/>
  <c r="H735" i="7"/>
  <c r="H734" i="7"/>
  <c r="H733" i="7"/>
  <c r="H732" i="7"/>
  <c r="H731" i="7"/>
  <c r="H730" i="7"/>
  <c r="H729" i="7"/>
  <c r="H728" i="7"/>
  <c r="H727" i="7"/>
  <c r="H726" i="7"/>
  <c r="H725" i="7"/>
  <c r="H724" i="7"/>
  <c r="H723" i="7"/>
  <c r="H722" i="7"/>
  <c r="H721" i="7"/>
  <c r="H720" i="7"/>
  <c r="H719" i="7"/>
  <c r="H718" i="7"/>
  <c r="H717" i="7"/>
  <c r="H716" i="7"/>
  <c r="H715" i="7"/>
  <c r="H714" i="7"/>
  <c r="H713" i="7"/>
  <c r="H712" i="7"/>
  <c r="H711" i="7"/>
  <c r="H710" i="7"/>
  <c r="H709" i="7"/>
  <c r="H708" i="7"/>
  <c r="H707" i="7"/>
  <c r="H706" i="7"/>
  <c r="H705" i="7"/>
  <c r="H704" i="7"/>
  <c r="H703" i="7"/>
  <c r="H702" i="7"/>
  <c r="H701" i="7"/>
  <c r="H700" i="7"/>
  <c r="H699" i="7"/>
  <c r="H698" i="7"/>
  <c r="H697" i="7"/>
  <c r="H696" i="7"/>
  <c r="H695" i="7"/>
  <c r="H694" i="7"/>
  <c r="H693" i="7"/>
  <c r="H692" i="7"/>
  <c r="H691" i="7"/>
  <c r="H690" i="7"/>
  <c r="H689" i="7"/>
  <c r="H688" i="7"/>
  <c r="H687" i="7"/>
  <c r="H686" i="7"/>
  <c r="H685" i="7"/>
  <c r="H684" i="7"/>
  <c r="H683" i="7"/>
  <c r="H682" i="7"/>
  <c r="H681" i="7"/>
  <c r="H680" i="7"/>
  <c r="H679" i="7"/>
  <c r="H678" i="7"/>
  <c r="H677" i="7"/>
  <c r="H676" i="7"/>
  <c r="H675" i="7"/>
  <c r="H674" i="7"/>
  <c r="H673" i="7"/>
  <c r="H672" i="7"/>
  <c r="H671" i="7"/>
  <c r="H670" i="7"/>
  <c r="H669" i="7"/>
  <c r="H668" i="7"/>
  <c r="H667" i="7"/>
  <c r="H666" i="7"/>
  <c r="H665" i="7"/>
  <c r="H664" i="7"/>
  <c r="H663" i="7"/>
  <c r="H662" i="7"/>
  <c r="H661" i="7"/>
  <c r="H660" i="7"/>
  <c r="H659" i="7"/>
  <c r="H658" i="7"/>
  <c r="H657" i="7"/>
  <c r="H656" i="7"/>
  <c r="H655" i="7"/>
  <c r="H654" i="7"/>
  <c r="H653" i="7"/>
  <c r="H652" i="7"/>
  <c r="H651" i="7"/>
  <c r="H650" i="7"/>
  <c r="H649" i="7"/>
  <c r="H648" i="7"/>
  <c r="H647" i="7"/>
  <c r="H646" i="7"/>
  <c r="H645" i="7"/>
  <c r="H644" i="7"/>
  <c r="H643" i="7"/>
  <c r="H642" i="7"/>
  <c r="H641" i="7"/>
  <c r="H640" i="7"/>
  <c r="H639" i="7"/>
  <c r="H638" i="7"/>
  <c r="H637" i="7"/>
  <c r="H636" i="7"/>
  <c r="H635" i="7"/>
  <c r="H634" i="7"/>
  <c r="H633" i="7"/>
  <c r="H632" i="7"/>
  <c r="H631" i="7"/>
  <c r="H630" i="7"/>
  <c r="H629" i="7"/>
  <c r="H628" i="7"/>
  <c r="H627" i="7"/>
  <c r="H626" i="7"/>
  <c r="H625" i="7"/>
  <c r="H624" i="7"/>
  <c r="H623" i="7"/>
  <c r="H622" i="7"/>
  <c r="H621" i="7"/>
  <c r="H620" i="7"/>
  <c r="H619" i="7"/>
  <c r="H618" i="7"/>
  <c r="H617" i="7"/>
  <c r="H616" i="7"/>
  <c r="H615" i="7"/>
  <c r="H614" i="7"/>
  <c r="H613" i="7"/>
  <c r="H612" i="7"/>
  <c r="H611" i="7"/>
  <c r="H610" i="7"/>
  <c r="H609" i="7"/>
  <c r="H608" i="7"/>
  <c r="H607" i="7"/>
  <c r="H606" i="7"/>
  <c r="H605" i="7"/>
  <c r="H604" i="7"/>
  <c r="H603" i="7"/>
  <c r="H602" i="7"/>
  <c r="H601" i="7"/>
  <c r="H600" i="7"/>
  <c r="H599" i="7"/>
  <c r="H598" i="7"/>
  <c r="H597" i="7"/>
  <c r="H596" i="7"/>
  <c r="H595" i="7"/>
  <c r="H594" i="7"/>
  <c r="H593" i="7"/>
  <c r="H592" i="7"/>
  <c r="H591" i="7"/>
  <c r="H590" i="7"/>
  <c r="H589" i="7"/>
  <c r="H588" i="7"/>
  <c r="H587" i="7"/>
  <c r="H586" i="7"/>
  <c r="H585" i="7"/>
  <c r="H584" i="7"/>
  <c r="H583" i="7"/>
  <c r="H582" i="7"/>
  <c r="H581" i="7"/>
  <c r="H580" i="7"/>
  <c r="H579" i="7"/>
  <c r="H578" i="7"/>
  <c r="H577" i="7"/>
  <c r="H576" i="7"/>
  <c r="H575" i="7"/>
  <c r="H574" i="7"/>
  <c r="H573" i="7"/>
  <c r="H572" i="7"/>
  <c r="H571" i="7"/>
  <c r="H570" i="7"/>
  <c r="H569" i="7"/>
  <c r="H568" i="7"/>
  <c r="H567" i="7"/>
  <c r="H566" i="7"/>
  <c r="H565" i="7"/>
  <c r="H564" i="7"/>
  <c r="H563" i="7"/>
  <c r="H562" i="7"/>
  <c r="H561" i="7"/>
  <c r="H560" i="7"/>
  <c r="H559" i="7"/>
  <c r="H558" i="7"/>
  <c r="H557" i="7"/>
  <c r="H556" i="7"/>
  <c r="H555" i="7"/>
  <c r="H554" i="7"/>
  <c r="H553" i="7"/>
  <c r="H552" i="7"/>
  <c r="H551" i="7"/>
  <c r="H550" i="7"/>
  <c r="H549" i="7"/>
  <c r="H548" i="7"/>
  <c r="H547" i="7"/>
  <c r="H546" i="7"/>
  <c r="H545" i="7"/>
  <c r="H544" i="7"/>
  <c r="H543" i="7"/>
  <c r="H542" i="7"/>
  <c r="H541" i="7"/>
  <c r="H540" i="7"/>
  <c r="H539" i="7"/>
  <c r="H538" i="7"/>
  <c r="H537" i="7"/>
  <c r="H536" i="7"/>
  <c r="H535" i="7"/>
  <c r="H534" i="7"/>
  <c r="H533" i="7"/>
  <c r="H532" i="7"/>
  <c r="H531" i="7"/>
  <c r="H530" i="7"/>
  <c r="H529" i="7"/>
  <c r="H528" i="7"/>
  <c r="H527" i="7"/>
  <c r="H526" i="7"/>
  <c r="H525" i="7"/>
  <c r="H524" i="7"/>
  <c r="H523" i="7"/>
  <c r="H522" i="7"/>
  <c r="H521" i="7"/>
  <c r="H520" i="7"/>
  <c r="H519" i="7"/>
  <c r="H518" i="7"/>
  <c r="H517" i="7"/>
  <c r="H516" i="7"/>
  <c r="H515" i="7"/>
  <c r="H514" i="7"/>
  <c r="H513" i="7"/>
  <c r="H512" i="7"/>
  <c r="H511" i="7"/>
  <c r="H510" i="7"/>
  <c r="H509" i="7"/>
  <c r="H508" i="7"/>
  <c r="H507" i="7"/>
  <c r="H506" i="7"/>
  <c r="H505" i="7"/>
  <c r="H504" i="7"/>
  <c r="H503" i="7"/>
  <c r="H502" i="7"/>
  <c r="H501" i="7"/>
  <c r="H500" i="7"/>
  <c r="H499" i="7"/>
  <c r="H498" i="7"/>
  <c r="H497" i="7"/>
  <c r="H496" i="7"/>
  <c r="H495" i="7"/>
  <c r="H494" i="7"/>
  <c r="H493" i="7"/>
  <c r="H492" i="7"/>
  <c r="H491" i="7"/>
  <c r="H490" i="7"/>
  <c r="H489" i="7"/>
  <c r="H488" i="7"/>
  <c r="H487" i="7"/>
  <c r="H486" i="7"/>
  <c r="H485" i="7"/>
  <c r="H484" i="7"/>
  <c r="H483" i="7"/>
  <c r="H482" i="7"/>
  <c r="H481" i="7"/>
  <c r="H480" i="7"/>
  <c r="H479" i="7"/>
  <c r="H478" i="7"/>
  <c r="H477" i="7"/>
  <c r="H476" i="7"/>
  <c r="H475" i="7"/>
  <c r="H474" i="7"/>
  <c r="H473" i="7"/>
  <c r="H472" i="7"/>
  <c r="H471" i="7"/>
  <c r="H470" i="7"/>
  <c r="H469" i="7"/>
  <c r="H468" i="7"/>
  <c r="H467" i="7"/>
  <c r="H466" i="7"/>
  <c r="H465" i="7"/>
  <c r="H464" i="7"/>
  <c r="H463" i="7"/>
  <c r="H462" i="7"/>
  <c r="H461" i="7"/>
  <c r="H460" i="7"/>
  <c r="H459" i="7"/>
  <c r="H458" i="7"/>
  <c r="H457" i="7"/>
  <c r="H456" i="7"/>
  <c r="H455" i="7"/>
  <c r="H454" i="7"/>
  <c r="H453" i="7"/>
  <c r="H452" i="7"/>
  <c r="H451" i="7"/>
  <c r="H450" i="7"/>
  <c r="H449" i="7"/>
  <c r="H448" i="7"/>
  <c r="H447" i="7"/>
  <c r="H446" i="7"/>
  <c r="H445" i="7"/>
  <c r="H444" i="7"/>
  <c r="H443" i="7"/>
  <c r="H442" i="7"/>
  <c r="H441" i="7"/>
  <c r="H440" i="7"/>
  <c r="H439" i="7"/>
  <c r="H438" i="7"/>
  <c r="H437" i="7"/>
  <c r="H436" i="7"/>
  <c r="H435" i="7"/>
  <c r="H434" i="7"/>
  <c r="H433" i="7"/>
  <c r="H432" i="7"/>
  <c r="H431" i="7"/>
  <c r="H430" i="7"/>
  <c r="H429" i="7"/>
  <c r="H428" i="7"/>
  <c r="H427" i="7"/>
  <c r="H426" i="7"/>
  <c r="H425" i="7"/>
  <c r="H424" i="7"/>
  <c r="H423" i="7"/>
  <c r="H422" i="7"/>
  <c r="H421" i="7"/>
  <c r="H420" i="7"/>
  <c r="H419" i="7"/>
  <c r="H418" i="7"/>
  <c r="H417" i="7"/>
  <c r="H416" i="7"/>
  <c r="H415" i="7"/>
  <c r="H414" i="7"/>
  <c r="H413" i="7"/>
  <c r="H412" i="7"/>
  <c r="H411" i="7"/>
  <c r="H410" i="7"/>
  <c r="H409" i="7"/>
  <c r="H408" i="7"/>
  <c r="H407" i="7"/>
  <c r="H406" i="7"/>
  <c r="H405" i="7"/>
  <c r="H404" i="7"/>
  <c r="H403" i="7"/>
  <c r="H402" i="7"/>
  <c r="H401" i="7"/>
  <c r="H400" i="7"/>
  <c r="H399" i="7"/>
  <c r="H398" i="7"/>
  <c r="H397" i="7"/>
  <c r="H396" i="7"/>
  <c r="H395" i="7"/>
  <c r="H394" i="7"/>
  <c r="H393" i="7"/>
  <c r="H392" i="7"/>
  <c r="H391" i="7"/>
  <c r="H390" i="7"/>
  <c r="H389" i="7"/>
  <c r="H388" i="7"/>
  <c r="H387" i="7"/>
  <c r="H386" i="7"/>
  <c r="H385" i="7"/>
  <c r="H384" i="7"/>
  <c r="H383" i="7"/>
  <c r="H382" i="7"/>
  <c r="H381" i="7"/>
  <c r="H380" i="7"/>
  <c r="H379" i="7"/>
  <c r="H378" i="7"/>
  <c r="H377" i="7"/>
  <c r="H376" i="7"/>
  <c r="H375" i="7"/>
  <c r="H374" i="7"/>
  <c r="H373" i="7"/>
  <c r="H372" i="7"/>
  <c r="H371" i="7"/>
  <c r="H370" i="7"/>
  <c r="H369" i="7"/>
  <c r="H368" i="7"/>
  <c r="H367" i="7"/>
  <c r="H366" i="7"/>
  <c r="H365" i="7"/>
  <c r="H364" i="7"/>
  <c r="H363" i="7"/>
  <c r="H362" i="7"/>
  <c r="H361" i="7"/>
  <c r="H360" i="7"/>
  <c r="H359" i="7"/>
  <c r="H358" i="7"/>
  <c r="H357" i="7"/>
  <c r="H356" i="7"/>
  <c r="H355" i="7"/>
  <c r="H354" i="7"/>
  <c r="H353" i="7"/>
  <c r="H352" i="7"/>
  <c r="H351" i="7"/>
  <c r="H350" i="7"/>
  <c r="H349" i="7"/>
  <c r="H348" i="7"/>
  <c r="H347" i="7"/>
  <c r="H346" i="7"/>
  <c r="H345" i="7"/>
  <c r="H344" i="7"/>
  <c r="H343" i="7"/>
  <c r="H342" i="7"/>
  <c r="H341" i="7"/>
  <c r="H340" i="7"/>
  <c r="H339" i="7"/>
  <c r="H338" i="7"/>
  <c r="H337" i="7"/>
  <c r="H336" i="7"/>
  <c r="H335" i="7"/>
  <c r="H334" i="7"/>
  <c r="H333" i="7"/>
  <c r="H332" i="7"/>
  <c r="H331" i="7"/>
  <c r="H330" i="7"/>
  <c r="H329" i="7"/>
  <c r="H328" i="7"/>
  <c r="H327" i="7"/>
  <c r="H326" i="7"/>
  <c r="H325" i="7"/>
  <c r="H324" i="7"/>
  <c r="H323" i="7"/>
  <c r="H322" i="7"/>
  <c r="H321" i="7"/>
  <c r="H320" i="7"/>
  <c r="H319" i="7"/>
  <c r="H318" i="7"/>
  <c r="H317" i="7"/>
  <c r="H316" i="7"/>
  <c r="H315" i="7"/>
  <c r="H314" i="7"/>
  <c r="H313" i="7"/>
  <c r="H312" i="7"/>
  <c r="H311" i="7"/>
  <c r="H310" i="7"/>
  <c r="H309" i="7"/>
  <c r="H308" i="7"/>
  <c r="H307" i="7"/>
  <c r="H306" i="7"/>
  <c r="H305" i="7"/>
  <c r="H304" i="7"/>
  <c r="H303" i="7"/>
  <c r="H302" i="7"/>
  <c r="H301" i="7"/>
  <c r="H300" i="7"/>
  <c r="H299" i="7"/>
  <c r="H298" i="7"/>
  <c r="H297" i="7"/>
  <c r="H296" i="7"/>
  <c r="H295" i="7"/>
  <c r="H294" i="7"/>
  <c r="H293" i="7"/>
  <c r="H292" i="7"/>
  <c r="H291" i="7"/>
  <c r="H290" i="7"/>
  <c r="H289" i="7"/>
  <c r="H288" i="7"/>
  <c r="H287" i="7"/>
  <c r="H286" i="7"/>
  <c r="H285" i="7"/>
  <c r="H284" i="7"/>
  <c r="H283" i="7"/>
  <c r="H282" i="7"/>
  <c r="H281" i="7"/>
  <c r="H280" i="7"/>
  <c r="H279" i="7"/>
  <c r="H278" i="7"/>
  <c r="H277" i="7"/>
  <c r="H276" i="7"/>
  <c r="H275" i="7"/>
  <c r="H274" i="7"/>
  <c r="H273" i="7"/>
  <c r="H272" i="7"/>
  <c r="H271" i="7"/>
  <c r="H270" i="7"/>
  <c r="H269" i="7"/>
  <c r="H268" i="7"/>
  <c r="H267" i="7"/>
  <c r="H266" i="7"/>
  <c r="H265" i="7"/>
  <c r="H264" i="7"/>
  <c r="H263" i="7"/>
  <c r="H262" i="7"/>
  <c r="H261" i="7"/>
  <c r="H260" i="7"/>
  <c r="H259" i="7"/>
  <c r="H258" i="7"/>
  <c r="H257" i="7"/>
  <c r="H256" i="7"/>
  <c r="H255" i="7"/>
  <c r="H254" i="7"/>
  <c r="H253" i="7"/>
  <c r="H252" i="7"/>
  <c r="H251" i="7"/>
  <c r="H250" i="7"/>
  <c r="H249" i="7"/>
  <c r="H248" i="7"/>
  <c r="H247" i="7"/>
  <c r="H246" i="7"/>
  <c r="H245" i="7"/>
  <c r="H244" i="7"/>
  <c r="H243" i="7"/>
  <c r="H242" i="7"/>
  <c r="H241" i="7"/>
  <c r="H240" i="7"/>
  <c r="H239" i="7"/>
  <c r="H238" i="7"/>
  <c r="H237" i="7"/>
  <c r="H236" i="7"/>
  <c r="H235" i="7"/>
  <c r="H234" i="7"/>
  <c r="H233" i="7"/>
  <c r="H232" i="7"/>
  <c r="H231" i="7"/>
  <c r="H230" i="7"/>
  <c r="H229" i="7"/>
  <c r="H228" i="7"/>
  <c r="H227" i="7"/>
  <c r="H226" i="7"/>
  <c r="H225" i="7"/>
  <c r="H224" i="7"/>
  <c r="H223" i="7"/>
  <c r="H222" i="7"/>
  <c r="H221" i="7"/>
  <c r="H220" i="7"/>
  <c r="H219" i="7"/>
  <c r="H218" i="7"/>
  <c r="H217" i="7"/>
  <c r="H216" i="7"/>
  <c r="H215" i="7"/>
  <c r="H214" i="7"/>
  <c r="H213" i="7"/>
  <c r="H212" i="7"/>
  <c r="H211" i="7"/>
  <c r="H210" i="7"/>
  <c r="H209" i="7"/>
  <c r="H208" i="7"/>
  <c r="H207" i="7"/>
  <c r="H206" i="7"/>
  <c r="H205" i="7"/>
  <c r="H204" i="7"/>
  <c r="H203" i="7"/>
  <c r="H202" i="7"/>
  <c r="H201" i="7"/>
  <c r="H200" i="7"/>
  <c r="H199" i="7"/>
  <c r="H198" i="7"/>
  <c r="H197" i="7"/>
  <c r="H196" i="7"/>
  <c r="H195" i="7"/>
  <c r="H194" i="7"/>
  <c r="H193" i="7"/>
  <c r="H192" i="7"/>
  <c r="H191" i="7"/>
  <c r="H190" i="7"/>
  <c r="H189" i="7"/>
  <c r="H188" i="7"/>
  <c r="H187" i="7"/>
  <c r="H186" i="7"/>
  <c r="H185" i="7"/>
  <c r="H184" i="7"/>
  <c r="H183" i="7"/>
  <c r="H182" i="7"/>
  <c r="H181" i="7"/>
  <c r="H180" i="7"/>
  <c r="H179" i="7"/>
  <c r="H178" i="7"/>
  <c r="H177" i="7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F2592" i="7"/>
  <c r="F2593" i="7"/>
  <c r="F2594" i="7"/>
  <c r="F2595" i="7"/>
  <c r="F2596" i="7"/>
  <c r="F2597" i="7"/>
  <c r="F2" i="7"/>
  <c r="I2" i="7" s="1"/>
  <c r="F3" i="7"/>
  <c r="I3" i="7" s="1"/>
  <c r="F4" i="7"/>
  <c r="I4" i="7" s="1"/>
  <c r="F5" i="7"/>
  <c r="I5" i="7" s="1"/>
  <c r="F6" i="7"/>
  <c r="I6" i="7" s="1"/>
  <c r="F7" i="7"/>
  <c r="I7" i="7" s="1"/>
  <c r="F8" i="7"/>
  <c r="I8" i="7" s="1"/>
  <c r="F9" i="7"/>
  <c r="I9" i="7" s="1"/>
  <c r="F10" i="7"/>
  <c r="I10" i="7" s="1"/>
  <c r="F11" i="7"/>
  <c r="I11" i="7" s="1"/>
  <c r="F12" i="7"/>
  <c r="I12" i="7" s="1"/>
  <c r="F13" i="7"/>
  <c r="I13" i="7" s="1"/>
  <c r="F14" i="7"/>
  <c r="I14" i="7" s="1"/>
  <c r="F15" i="7"/>
  <c r="I15" i="7" s="1"/>
  <c r="F16" i="7"/>
  <c r="I16" i="7" s="1"/>
  <c r="F17" i="7"/>
  <c r="F18" i="7"/>
  <c r="I18" i="7" s="1"/>
  <c r="F19" i="7"/>
  <c r="F20" i="7"/>
  <c r="I20" i="7" s="1"/>
  <c r="F21" i="7"/>
  <c r="K20" i="7" s="1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I35" i="7" s="1"/>
  <c r="F36" i="7"/>
  <c r="F37" i="7"/>
  <c r="I37" i="7" s="1"/>
  <c r="F38" i="7"/>
  <c r="F39" i="7"/>
  <c r="I39" i="7" s="1"/>
  <c r="F40" i="7"/>
  <c r="F41" i="7"/>
  <c r="I41" i="7" s="1"/>
  <c r="F42" i="7"/>
  <c r="F43" i="7"/>
  <c r="I43" i="7" s="1"/>
  <c r="F44" i="7"/>
  <c r="F45" i="7"/>
  <c r="I45" i="7" s="1"/>
  <c r="F46" i="7"/>
  <c r="F47" i="7"/>
  <c r="I47" i="7" s="1"/>
  <c r="F48" i="7"/>
  <c r="F49" i="7"/>
  <c r="I49" i="7" s="1"/>
  <c r="F50" i="7"/>
  <c r="F51" i="7"/>
  <c r="I51" i="7" s="1"/>
  <c r="F52" i="7"/>
  <c r="F53" i="7"/>
  <c r="I53" i="7" s="1"/>
  <c r="F54" i="7"/>
  <c r="F55" i="7"/>
  <c r="I55" i="7" s="1"/>
  <c r="F56" i="7"/>
  <c r="F57" i="7"/>
  <c r="I57" i="7" s="1"/>
  <c r="F58" i="7"/>
  <c r="F59" i="7"/>
  <c r="I59" i="7" s="1"/>
  <c r="F60" i="7"/>
  <c r="F61" i="7"/>
  <c r="I61" i="7" s="1"/>
  <c r="F62" i="7"/>
  <c r="F63" i="7"/>
  <c r="I63" i="7" s="1"/>
  <c r="F64" i="7"/>
  <c r="I64" i="7" s="1"/>
  <c r="F65" i="7"/>
  <c r="F66" i="7"/>
  <c r="I66" i="7" s="1"/>
  <c r="F67" i="7"/>
  <c r="F68" i="7"/>
  <c r="I68" i="7" s="1"/>
  <c r="F69" i="7"/>
  <c r="F70" i="7"/>
  <c r="I70" i="7" s="1"/>
  <c r="F71" i="7"/>
  <c r="F72" i="7"/>
  <c r="I72" i="7" s="1"/>
  <c r="F73" i="7"/>
  <c r="F74" i="7"/>
  <c r="I74" i="7" s="1"/>
  <c r="F75" i="7"/>
  <c r="F76" i="7"/>
  <c r="I76" i="7" s="1"/>
  <c r="F77" i="7"/>
  <c r="F78" i="7"/>
  <c r="I78" i="7" s="1"/>
  <c r="F79" i="7"/>
  <c r="F80" i="7"/>
  <c r="I80" i="7" s="1"/>
  <c r="F81" i="7"/>
  <c r="F82" i="7"/>
  <c r="I82" i="7" s="1"/>
  <c r="F83" i="7"/>
  <c r="F84" i="7"/>
  <c r="I84" i="7" s="1"/>
  <c r="F85" i="7"/>
  <c r="F86" i="7"/>
  <c r="I86" i="7" s="1"/>
  <c r="F87" i="7"/>
  <c r="F88" i="7"/>
  <c r="I88" i="7" s="1"/>
  <c r="F89" i="7"/>
  <c r="F90" i="7"/>
  <c r="I90" i="7" s="1"/>
  <c r="F91" i="7"/>
  <c r="F92" i="7"/>
  <c r="I92" i="7" s="1"/>
  <c r="F93" i="7"/>
  <c r="F94" i="7"/>
  <c r="I94" i="7" s="1"/>
  <c r="F95" i="7"/>
  <c r="F96" i="7"/>
  <c r="I96" i="7" s="1"/>
  <c r="F97" i="7"/>
  <c r="F98" i="7"/>
  <c r="I98" i="7" s="1"/>
  <c r="F99" i="7"/>
  <c r="F100" i="7"/>
  <c r="I100" i="7" s="1"/>
  <c r="F101" i="7"/>
  <c r="F102" i="7"/>
  <c r="I102" i="7" s="1"/>
  <c r="F103" i="7"/>
  <c r="I103" i="7" s="1"/>
  <c r="F104" i="7"/>
  <c r="F105" i="7"/>
  <c r="I105" i="7" s="1"/>
  <c r="F106" i="7"/>
  <c r="I106" i="7" s="1"/>
  <c r="F107" i="7"/>
  <c r="I107" i="7" s="1"/>
  <c r="F108" i="7"/>
  <c r="F109" i="7"/>
  <c r="I109" i="7" s="1"/>
  <c r="F110" i="7"/>
  <c r="J109" i="7" s="1"/>
  <c r="F111" i="7"/>
  <c r="F112" i="7"/>
  <c r="F113" i="7"/>
  <c r="F114" i="7"/>
  <c r="F115" i="7"/>
  <c r="F116" i="7"/>
  <c r="F117" i="7"/>
  <c r="I117" i="7" s="1"/>
  <c r="F118" i="7"/>
  <c r="F119" i="7"/>
  <c r="I119" i="7" s="1"/>
  <c r="F120" i="7"/>
  <c r="K119" i="7" s="1"/>
  <c r="F5" i="4" s="1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I133" i="7" s="1"/>
  <c r="F134" i="7"/>
  <c r="F135" i="7"/>
  <c r="I135" i="7" s="1"/>
  <c r="F136" i="7"/>
  <c r="J135" i="7" s="1"/>
  <c r="F137" i="7"/>
  <c r="F138" i="7"/>
  <c r="I138" i="7" s="1"/>
  <c r="D20" i="5" s="1"/>
  <c r="F139" i="7"/>
  <c r="J138" i="7" s="1"/>
  <c r="F140" i="7"/>
  <c r="F141" i="7"/>
  <c r="F142" i="7"/>
  <c r="F143" i="7"/>
  <c r="F144" i="7"/>
  <c r="I144" i="7" s="1"/>
  <c r="E9" i="5" s="1"/>
  <c r="F145" i="7"/>
  <c r="K144" i="7" s="1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I159" i="7" s="1"/>
  <c r="F160" i="7"/>
  <c r="F161" i="7"/>
  <c r="F162" i="7"/>
  <c r="I162" i="7" s="1"/>
  <c r="F163" i="7"/>
  <c r="F164" i="7"/>
  <c r="F165" i="7"/>
  <c r="I165" i="7" s="1"/>
  <c r="F166" i="7"/>
  <c r="F167" i="7"/>
  <c r="F168" i="7"/>
  <c r="F169" i="7"/>
  <c r="F170" i="7"/>
  <c r="I170" i="7" s="1"/>
  <c r="F171" i="7"/>
  <c r="F172" i="7"/>
  <c r="I172" i="7" s="1"/>
  <c r="F173" i="7"/>
  <c r="F174" i="7"/>
  <c r="I174" i="7" s="1"/>
  <c r="F175" i="7"/>
  <c r="F176" i="7"/>
  <c r="F177" i="7"/>
  <c r="I177" i="7" s="1"/>
  <c r="F21" i="5" s="1"/>
  <c r="F178" i="7"/>
  <c r="J177" i="7" s="1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I193" i="7" s="1"/>
  <c r="F194" i="7"/>
  <c r="J193" i="7" s="1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I209" i="7" s="1"/>
  <c r="F210" i="7"/>
  <c r="F211" i="7"/>
  <c r="F212" i="7"/>
  <c r="I212" i="7" s="1"/>
  <c r="F213" i="7"/>
  <c r="F214" i="7"/>
  <c r="F215" i="7"/>
  <c r="F216" i="7"/>
  <c r="F217" i="7"/>
  <c r="I217" i="7" s="1"/>
  <c r="F218" i="7"/>
  <c r="J217" i="7" s="1"/>
  <c r="F219" i="7"/>
  <c r="F220" i="7"/>
  <c r="F221" i="7"/>
  <c r="F222" i="7"/>
  <c r="I222" i="7" s="1"/>
  <c r="F223" i="7"/>
  <c r="I223" i="7" s="1"/>
  <c r="F224" i="7"/>
  <c r="J223" i="7" s="1"/>
  <c r="F225" i="7"/>
  <c r="F226" i="7"/>
  <c r="F227" i="7"/>
  <c r="I227" i="7" s="1"/>
  <c r="F228" i="7"/>
  <c r="J227" i="7" s="1"/>
  <c r="F229" i="7"/>
  <c r="F230" i="7"/>
  <c r="F231" i="7"/>
  <c r="F232" i="7"/>
  <c r="F233" i="7"/>
  <c r="F234" i="7"/>
  <c r="F235" i="7"/>
  <c r="F236" i="7"/>
  <c r="I236" i="7" s="1"/>
  <c r="F237" i="7"/>
  <c r="F238" i="7"/>
  <c r="F239" i="7"/>
  <c r="F240" i="7"/>
  <c r="I240" i="7" s="1"/>
  <c r="F241" i="7"/>
  <c r="F242" i="7"/>
  <c r="F243" i="7"/>
  <c r="F244" i="7"/>
  <c r="I244" i="7" s="1"/>
  <c r="F245" i="7"/>
  <c r="F246" i="7"/>
  <c r="F247" i="7"/>
  <c r="F248" i="7"/>
  <c r="I248" i="7" s="1"/>
  <c r="F249" i="7"/>
  <c r="F250" i="7"/>
  <c r="F251" i="7"/>
  <c r="F252" i="7"/>
  <c r="I252" i="7" s="1"/>
  <c r="G22" i="5" s="1"/>
  <c r="F253" i="7"/>
  <c r="F254" i="7"/>
  <c r="I254" i="7" s="1"/>
  <c r="F255" i="7"/>
  <c r="F256" i="7"/>
  <c r="I256" i="7" s="1"/>
  <c r="F257" i="7"/>
  <c r="I257" i="7" s="1"/>
  <c r="F258" i="7"/>
  <c r="I258" i="7" s="1"/>
  <c r="F259" i="7"/>
  <c r="J258" i="7" s="1"/>
  <c r="F260" i="7"/>
  <c r="F261" i="7"/>
  <c r="F262" i="7"/>
  <c r="F263" i="7"/>
  <c r="F264" i="7"/>
  <c r="F265" i="7"/>
  <c r="F266" i="7"/>
  <c r="F267" i="7"/>
  <c r="F268" i="7"/>
  <c r="F269" i="7"/>
  <c r="F270" i="7"/>
  <c r="I270" i="7" s="1"/>
  <c r="F271" i="7"/>
  <c r="F272" i="7"/>
  <c r="F273" i="7"/>
  <c r="F274" i="7"/>
  <c r="F275" i="7"/>
  <c r="I275" i="7" s="1"/>
  <c r="F276" i="7"/>
  <c r="F277" i="7"/>
  <c r="F278" i="7"/>
  <c r="F279" i="7"/>
  <c r="F280" i="7"/>
  <c r="I280" i="7" s="1"/>
  <c r="F281" i="7"/>
  <c r="F282" i="7"/>
  <c r="F283" i="7"/>
  <c r="I283" i="7" s="1"/>
  <c r="F284" i="7"/>
  <c r="F285" i="7"/>
  <c r="F286" i="7"/>
  <c r="F287" i="7"/>
  <c r="F288" i="7"/>
  <c r="F289" i="7"/>
  <c r="F290" i="7"/>
  <c r="I290" i="7" s="1"/>
  <c r="F291" i="7"/>
  <c r="J290" i="7" s="1"/>
  <c r="F292" i="7"/>
  <c r="F293" i="7"/>
  <c r="F294" i="7"/>
  <c r="F295" i="7"/>
  <c r="F296" i="7"/>
  <c r="I296" i="7" s="1"/>
  <c r="F297" i="7"/>
  <c r="F298" i="7"/>
  <c r="F299" i="7"/>
  <c r="F300" i="7"/>
  <c r="F301" i="7"/>
  <c r="I301" i="7" s="1"/>
  <c r="F302" i="7"/>
  <c r="F303" i="7"/>
  <c r="F304" i="7"/>
  <c r="F305" i="7"/>
  <c r="F306" i="7"/>
  <c r="I306" i="7" s="1"/>
  <c r="F307" i="7"/>
  <c r="F308" i="7"/>
  <c r="F309" i="7"/>
  <c r="F310" i="7"/>
  <c r="F311" i="7"/>
  <c r="F312" i="7"/>
  <c r="I312" i="7" s="1"/>
  <c r="F313" i="7"/>
  <c r="F314" i="7"/>
  <c r="F315" i="7"/>
  <c r="F316" i="7"/>
  <c r="F317" i="7"/>
  <c r="F318" i="7"/>
  <c r="I318" i="7" s="1"/>
  <c r="F319" i="7"/>
  <c r="F320" i="7"/>
  <c r="F321" i="7"/>
  <c r="I321" i="7" s="1"/>
  <c r="H25" i="5" s="1"/>
  <c r="F322" i="7"/>
  <c r="I322" i="7" s="1"/>
  <c r="F323" i="7"/>
  <c r="K322" i="7" s="1"/>
  <c r="F324" i="7"/>
  <c r="F325" i="7"/>
  <c r="I325" i="7" s="1"/>
  <c r="F326" i="7"/>
  <c r="J325" i="7" s="1"/>
  <c r="F327" i="7"/>
  <c r="F328" i="7"/>
  <c r="F329" i="7"/>
  <c r="I329" i="7" s="1"/>
  <c r="F330" i="7"/>
  <c r="I330" i="7" s="1"/>
  <c r="F331" i="7"/>
  <c r="F332" i="7"/>
  <c r="F333" i="7"/>
  <c r="F334" i="7"/>
  <c r="F335" i="7"/>
  <c r="F336" i="7"/>
  <c r="I336" i="7" s="1"/>
  <c r="F337" i="7"/>
  <c r="F338" i="7"/>
  <c r="F339" i="7"/>
  <c r="F340" i="7"/>
  <c r="F341" i="7"/>
  <c r="F342" i="7"/>
  <c r="F343" i="7"/>
  <c r="I343" i="7" s="1"/>
  <c r="F344" i="7"/>
  <c r="F345" i="7"/>
  <c r="F346" i="7"/>
  <c r="F347" i="7"/>
  <c r="F348" i="7"/>
  <c r="F349" i="7"/>
  <c r="F350" i="7"/>
  <c r="F351" i="7"/>
  <c r="F352" i="7"/>
  <c r="F353" i="7"/>
  <c r="F354" i="7"/>
  <c r="F355" i="7"/>
  <c r="I355" i="7" s="1"/>
  <c r="F356" i="7"/>
  <c r="F357" i="7"/>
  <c r="I357" i="7" s="1"/>
  <c r="F358" i="7"/>
  <c r="J357" i="7" s="1"/>
  <c r="F359" i="7"/>
  <c r="F360" i="7"/>
  <c r="F361" i="7"/>
  <c r="F362" i="7"/>
  <c r="F363" i="7"/>
  <c r="I363" i="7" s="1"/>
  <c r="F364" i="7"/>
  <c r="J363" i="7" s="1"/>
  <c r="F365" i="7"/>
  <c r="F366" i="7"/>
  <c r="I366" i="7" s="1"/>
  <c r="F367" i="7"/>
  <c r="I367" i="7" s="1"/>
  <c r="H4" i="5" s="1"/>
  <c r="F368" i="7"/>
  <c r="F369" i="7"/>
  <c r="I369" i="7" s="1"/>
  <c r="F370" i="7"/>
  <c r="F371" i="7"/>
  <c r="I371" i="7" s="1"/>
  <c r="F372" i="7"/>
  <c r="F373" i="7"/>
  <c r="F374" i="7"/>
  <c r="F375" i="7"/>
  <c r="F376" i="7"/>
  <c r="F377" i="7"/>
  <c r="F378" i="7"/>
  <c r="I378" i="7" s="1"/>
  <c r="F379" i="7"/>
  <c r="K378" i="7" s="1"/>
  <c r="F380" i="7"/>
  <c r="F381" i="7"/>
  <c r="F382" i="7"/>
  <c r="F383" i="7"/>
  <c r="F384" i="7"/>
  <c r="F385" i="7"/>
  <c r="F386" i="7"/>
  <c r="F387" i="7"/>
  <c r="F388" i="7"/>
  <c r="F389" i="7"/>
  <c r="I389" i="7" s="1"/>
  <c r="F390" i="7"/>
  <c r="F391" i="7"/>
  <c r="F392" i="7"/>
  <c r="I392" i="7" s="1"/>
  <c r="F393" i="7"/>
  <c r="F394" i="7"/>
  <c r="F395" i="7"/>
  <c r="I395" i="7" s="1"/>
  <c r="F396" i="7"/>
  <c r="F397" i="7"/>
  <c r="F398" i="7"/>
  <c r="I398" i="7" s="1"/>
  <c r="F399" i="7"/>
  <c r="F400" i="7"/>
  <c r="I400" i="7" s="1"/>
  <c r="F401" i="7"/>
  <c r="F402" i="7"/>
  <c r="I402" i="7" s="1"/>
  <c r="F403" i="7"/>
  <c r="F404" i="7"/>
  <c r="I404" i="7" s="1"/>
  <c r="F405" i="7"/>
  <c r="F406" i="7"/>
  <c r="F407" i="7"/>
  <c r="F408" i="7"/>
  <c r="F409" i="7"/>
  <c r="I409" i="7" s="1"/>
  <c r="F410" i="7"/>
  <c r="I410" i="7" s="1"/>
  <c r="F411" i="7"/>
  <c r="F412" i="7"/>
  <c r="F413" i="7"/>
  <c r="I413" i="7" s="1"/>
  <c r="F414" i="7"/>
  <c r="F415" i="7"/>
  <c r="I415" i="7" s="1"/>
  <c r="F416" i="7"/>
  <c r="J415" i="7" s="1"/>
  <c r="F417" i="7"/>
  <c r="F418" i="7"/>
  <c r="I418" i="7" s="1"/>
  <c r="F419" i="7"/>
  <c r="J418" i="7" s="1"/>
  <c r="F420" i="7"/>
  <c r="F421" i="7"/>
  <c r="I421" i="7" s="1"/>
  <c r="F422" i="7"/>
  <c r="J421" i="7" s="1"/>
  <c r="F423" i="7"/>
  <c r="F424" i="7"/>
  <c r="I424" i="7" s="1"/>
  <c r="F425" i="7"/>
  <c r="J424" i="7" s="1"/>
  <c r="F426" i="7"/>
  <c r="I426" i="7" s="1"/>
  <c r="F427" i="7"/>
  <c r="J426" i="7" s="1"/>
  <c r="F428" i="7"/>
  <c r="F429" i="7"/>
  <c r="F430" i="7"/>
  <c r="F431" i="7"/>
  <c r="F432" i="7"/>
  <c r="F433" i="7"/>
  <c r="F434" i="7"/>
  <c r="F435" i="7"/>
  <c r="F436" i="7"/>
  <c r="I436" i="7" s="1"/>
  <c r="J21" i="5" s="1"/>
  <c r="F437" i="7"/>
  <c r="F438" i="7"/>
  <c r="I438" i="7" s="1"/>
  <c r="F439" i="7"/>
  <c r="J438" i="7" s="1"/>
  <c r="F440" i="7"/>
  <c r="F441" i="7"/>
  <c r="F442" i="7"/>
  <c r="F443" i="7"/>
  <c r="F444" i="7"/>
  <c r="F445" i="7"/>
  <c r="F446" i="7"/>
  <c r="I446" i="7" s="1"/>
  <c r="F447" i="7"/>
  <c r="F448" i="7"/>
  <c r="F449" i="7"/>
  <c r="I449" i="7" s="1"/>
  <c r="I5" i="5" s="1"/>
  <c r="F450" i="7"/>
  <c r="F451" i="7"/>
  <c r="I451" i="7" s="1"/>
  <c r="F452" i="7"/>
  <c r="J451" i="7" s="1"/>
  <c r="F453" i="7"/>
  <c r="F454" i="7"/>
  <c r="F455" i="7"/>
  <c r="F456" i="7"/>
  <c r="F457" i="7"/>
  <c r="F458" i="7"/>
  <c r="F459" i="7"/>
  <c r="I459" i="7" s="1"/>
  <c r="F460" i="7"/>
  <c r="F461" i="7"/>
  <c r="F462" i="7"/>
  <c r="I462" i="7" s="1"/>
  <c r="F463" i="7"/>
  <c r="F464" i="7"/>
  <c r="F465" i="7"/>
  <c r="F466" i="7"/>
  <c r="I466" i="7" s="1"/>
  <c r="J7" i="5" s="1"/>
  <c r="F467" i="7"/>
  <c r="F468" i="7"/>
  <c r="I468" i="7" s="1"/>
  <c r="F469" i="7"/>
  <c r="J468" i="7" s="1"/>
  <c r="F470" i="7"/>
  <c r="F471" i="7"/>
  <c r="F472" i="7"/>
  <c r="F473" i="7"/>
  <c r="F474" i="7"/>
  <c r="F475" i="7"/>
  <c r="F476" i="7"/>
  <c r="F477" i="7"/>
  <c r="I477" i="7" s="1"/>
  <c r="F478" i="7"/>
  <c r="F479" i="7"/>
  <c r="F480" i="7"/>
  <c r="I480" i="7" s="1"/>
  <c r="F481" i="7"/>
  <c r="I481" i="7" s="1"/>
  <c r="F482" i="7"/>
  <c r="K481" i="7" s="1"/>
  <c r="F483" i="7"/>
  <c r="F484" i="7"/>
  <c r="F485" i="7"/>
  <c r="F486" i="7"/>
  <c r="F487" i="7"/>
  <c r="F488" i="7"/>
  <c r="I488" i="7" s="1"/>
  <c r="F489" i="7"/>
  <c r="J488" i="7" s="1"/>
  <c r="F490" i="7"/>
  <c r="F491" i="7"/>
  <c r="F492" i="7"/>
  <c r="F493" i="7"/>
  <c r="F494" i="7"/>
  <c r="F495" i="7"/>
  <c r="F496" i="7"/>
  <c r="I496" i="7" s="1"/>
  <c r="F497" i="7"/>
  <c r="J496" i="7" s="1"/>
  <c r="F498" i="7"/>
  <c r="F499" i="7"/>
  <c r="F500" i="7"/>
  <c r="F501" i="7"/>
  <c r="F502" i="7"/>
  <c r="F503" i="7"/>
  <c r="F504" i="7"/>
  <c r="F505" i="7"/>
  <c r="F506" i="7"/>
  <c r="F507" i="7"/>
  <c r="F508" i="7"/>
  <c r="F509" i="7"/>
  <c r="I509" i="7" s="1"/>
  <c r="J9" i="5" s="1"/>
  <c r="F510" i="7"/>
  <c r="F511" i="7"/>
  <c r="I511" i="7" s="1"/>
  <c r="F512" i="7"/>
  <c r="F513" i="7"/>
  <c r="I513" i="7" s="1"/>
  <c r="K20" i="5" s="1"/>
  <c r="F514" i="7"/>
  <c r="J513" i="7" s="1"/>
  <c r="F515" i="7"/>
  <c r="F516" i="7"/>
  <c r="F517" i="7"/>
  <c r="F518" i="7"/>
  <c r="I518" i="7" s="1"/>
  <c r="F519" i="7"/>
  <c r="I519" i="7" s="1"/>
  <c r="F520" i="7"/>
  <c r="F521" i="7"/>
  <c r="F522" i="7"/>
  <c r="F523" i="7"/>
  <c r="I523" i="7" s="1"/>
  <c r="F524" i="7"/>
  <c r="J523" i="7" s="1"/>
  <c r="F525" i="7"/>
  <c r="F526" i="7"/>
  <c r="F527" i="7"/>
  <c r="F528" i="7"/>
  <c r="F529" i="7"/>
  <c r="F530" i="7"/>
  <c r="F531" i="7"/>
  <c r="I531" i="7" s="1"/>
  <c r="F532" i="7"/>
  <c r="J531" i="7" s="1"/>
  <c r="F533" i="7"/>
  <c r="F534" i="7"/>
  <c r="F535" i="7"/>
  <c r="F536" i="7"/>
  <c r="F537" i="7"/>
  <c r="F538" i="7"/>
  <c r="F539" i="7"/>
  <c r="I539" i="7" s="1"/>
  <c r="F540" i="7"/>
  <c r="J539" i="7" s="1"/>
  <c r="J6" i="5" s="1"/>
  <c r="F541" i="7"/>
  <c r="F542" i="7"/>
  <c r="F543" i="7"/>
  <c r="F544" i="7"/>
  <c r="F545" i="7"/>
  <c r="I545" i="7" s="1"/>
  <c r="F546" i="7"/>
  <c r="F547" i="7"/>
  <c r="F548" i="7"/>
  <c r="F549" i="7"/>
  <c r="I549" i="7" s="1"/>
  <c r="F550" i="7"/>
  <c r="J549" i="7" s="1"/>
  <c r="F551" i="7"/>
  <c r="F552" i="7"/>
  <c r="F553" i="7"/>
  <c r="F554" i="7"/>
  <c r="F555" i="7"/>
  <c r="I555" i="7" s="1"/>
  <c r="F556" i="7"/>
  <c r="F557" i="7"/>
  <c r="I557" i="7" s="1"/>
  <c r="F558" i="7"/>
  <c r="F559" i="7"/>
  <c r="I559" i="7" s="1"/>
  <c r="H7" i="5" s="1"/>
  <c r="F560" i="7"/>
  <c r="K559" i="7" s="1"/>
  <c r="F561" i="7"/>
  <c r="F562" i="7"/>
  <c r="F563" i="7"/>
  <c r="I563" i="7" s="1"/>
  <c r="F564" i="7"/>
  <c r="F565" i="7"/>
  <c r="I565" i="7" s="1"/>
  <c r="F566" i="7"/>
  <c r="J565" i="7" s="1"/>
  <c r="F567" i="7"/>
  <c r="F568" i="7"/>
  <c r="F569" i="7"/>
  <c r="F570" i="7"/>
  <c r="F571" i="7"/>
  <c r="F572" i="7"/>
  <c r="F573" i="7"/>
  <c r="I573" i="7" s="1"/>
  <c r="F574" i="7"/>
  <c r="J573" i="7" s="1"/>
  <c r="F575" i="7"/>
  <c r="F576" i="7"/>
  <c r="F577" i="7"/>
  <c r="F578" i="7"/>
  <c r="F579" i="7"/>
  <c r="F580" i="7"/>
  <c r="F581" i="7"/>
  <c r="F582" i="7"/>
  <c r="F583" i="7"/>
  <c r="F584" i="7"/>
  <c r="F585" i="7"/>
  <c r="F586" i="7"/>
  <c r="I586" i="7" s="1"/>
  <c r="F587" i="7"/>
  <c r="I587" i="7" s="1"/>
  <c r="F588" i="7"/>
  <c r="F589" i="7"/>
  <c r="F590" i="7"/>
  <c r="F591" i="7"/>
  <c r="F592" i="7"/>
  <c r="F593" i="7"/>
  <c r="F594" i="7"/>
  <c r="F595" i="7"/>
  <c r="F596" i="7"/>
  <c r="F597" i="7"/>
  <c r="I597" i="7" s="1"/>
  <c r="F598" i="7"/>
  <c r="F599" i="7"/>
  <c r="F600" i="7"/>
  <c r="F601" i="7"/>
  <c r="F602" i="7"/>
  <c r="F603" i="7"/>
  <c r="F604" i="7"/>
  <c r="F605" i="7"/>
  <c r="I605" i="7" s="1"/>
  <c r="F606" i="7"/>
  <c r="J605" i="7" s="1"/>
  <c r="F607" i="7"/>
  <c r="F608" i="7"/>
  <c r="F609" i="7"/>
  <c r="F610" i="7"/>
  <c r="F611" i="7"/>
  <c r="F612" i="7"/>
  <c r="F613" i="7"/>
  <c r="F614" i="7"/>
  <c r="F615" i="7"/>
  <c r="F616" i="7"/>
  <c r="F617" i="7"/>
  <c r="I617" i="7" s="1"/>
  <c r="F618" i="7"/>
  <c r="I618" i="7" s="1"/>
  <c r="F619" i="7"/>
  <c r="J618" i="7" s="1"/>
  <c r="K4" i="5" s="1"/>
  <c r="F620" i="7"/>
  <c r="F621" i="7"/>
  <c r="F622" i="7"/>
  <c r="F623" i="7"/>
  <c r="F624" i="7"/>
  <c r="F625" i="7"/>
  <c r="F626" i="7"/>
  <c r="F627" i="7"/>
  <c r="F628" i="7"/>
  <c r="F629" i="7"/>
  <c r="I629" i="7" s="1"/>
  <c r="F630" i="7"/>
  <c r="F631" i="7"/>
  <c r="F632" i="7"/>
  <c r="F633" i="7"/>
  <c r="F634" i="7"/>
  <c r="F635" i="7"/>
  <c r="F636" i="7"/>
  <c r="I636" i="7" s="1"/>
  <c r="F637" i="7"/>
  <c r="F638" i="7"/>
  <c r="F639" i="7"/>
  <c r="I639" i="7" s="1"/>
  <c r="F640" i="7"/>
  <c r="I640" i="7" s="1"/>
  <c r="F641" i="7"/>
  <c r="I641" i="7" s="1"/>
  <c r="F642" i="7"/>
  <c r="I642" i="7" s="1"/>
  <c r="F643" i="7"/>
  <c r="I643" i="7" s="1"/>
  <c r="F644" i="7"/>
  <c r="I644" i="7" s="1"/>
  <c r="F645" i="7"/>
  <c r="I645" i="7" s="1"/>
  <c r="L24" i="5" s="1"/>
  <c r="F646" i="7"/>
  <c r="I646" i="7" s="1"/>
  <c r="F647" i="7"/>
  <c r="J646" i="7" s="1"/>
  <c r="G6" i="5" s="1"/>
  <c r="F648" i="7"/>
  <c r="F649" i="7"/>
  <c r="F650" i="7"/>
  <c r="F651" i="7"/>
  <c r="F652" i="7"/>
  <c r="I652" i="7" s="1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I665" i="7" s="1"/>
  <c r="F666" i="7"/>
  <c r="J665" i="7" s="1"/>
  <c r="K9" i="5" s="1"/>
  <c r="F667" i="7"/>
  <c r="F668" i="7"/>
  <c r="F669" i="7"/>
  <c r="F670" i="7"/>
  <c r="F671" i="7"/>
  <c r="F672" i="7"/>
  <c r="F673" i="7"/>
  <c r="F674" i="7"/>
  <c r="F675" i="7"/>
  <c r="F676" i="7"/>
  <c r="F677" i="7"/>
  <c r="I677" i="7" s="1"/>
  <c r="F678" i="7"/>
  <c r="J677" i="7" s="1"/>
  <c r="J8" i="5" s="1"/>
  <c r="F679" i="7"/>
  <c r="F680" i="7"/>
  <c r="F681" i="7"/>
  <c r="F682" i="7"/>
  <c r="F683" i="7"/>
  <c r="I683" i="7" s="1"/>
  <c r="F684" i="7"/>
  <c r="I684" i="7" s="1"/>
  <c r="F685" i="7"/>
  <c r="J684" i="7" s="1"/>
  <c r="F686" i="7"/>
  <c r="F687" i="7"/>
  <c r="F688" i="7"/>
  <c r="F689" i="7"/>
  <c r="F690" i="7"/>
  <c r="F691" i="7"/>
  <c r="F692" i="7"/>
  <c r="F693" i="7"/>
  <c r="F694" i="7"/>
  <c r="F695" i="7"/>
  <c r="F696" i="7"/>
  <c r="I696" i="7" s="1"/>
  <c r="F697" i="7"/>
  <c r="J696" i="7" s="1"/>
  <c r="F698" i="7"/>
  <c r="F699" i="7"/>
  <c r="F700" i="7"/>
  <c r="F701" i="7"/>
  <c r="F702" i="7"/>
  <c r="F703" i="7"/>
  <c r="F704" i="7"/>
  <c r="F705" i="7"/>
  <c r="I705" i="7" s="1"/>
  <c r="M21" i="5" s="1"/>
  <c r="F706" i="7"/>
  <c r="F707" i="7"/>
  <c r="F708" i="7"/>
  <c r="F709" i="7"/>
  <c r="I709" i="7" s="1"/>
  <c r="F710" i="7"/>
  <c r="F711" i="7"/>
  <c r="F712" i="7"/>
  <c r="F713" i="7"/>
  <c r="I713" i="7" s="1"/>
  <c r="F714" i="7"/>
  <c r="F715" i="7"/>
  <c r="F716" i="7"/>
  <c r="F717" i="7"/>
  <c r="F718" i="7"/>
  <c r="F719" i="7"/>
  <c r="F720" i="7"/>
  <c r="F721" i="7"/>
  <c r="I721" i="7" s="1"/>
  <c r="F722" i="7"/>
  <c r="F723" i="7"/>
  <c r="F724" i="7"/>
  <c r="F725" i="7"/>
  <c r="F726" i="7"/>
  <c r="F727" i="7"/>
  <c r="F728" i="7"/>
  <c r="F729" i="7"/>
  <c r="I729" i="7" s="1"/>
  <c r="F730" i="7"/>
  <c r="F731" i="7"/>
  <c r="F732" i="7"/>
  <c r="F733" i="7"/>
  <c r="F734" i="7"/>
  <c r="F735" i="7"/>
  <c r="F736" i="7"/>
  <c r="F737" i="7"/>
  <c r="F738" i="7"/>
  <c r="F739" i="7"/>
  <c r="I739" i="7" s="1"/>
  <c r="F740" i="7"/>
  <c r="J739" i="7" s="1"/>
  <c r="F741" i="7"/>
  <c r="F742" i="7"/>
  <c r="F743" i="7"/>
  <c r="F744" i="7"/>
  <c r="F745" i="7"/>
  <c r="F746" i="7"/>
  <c r="F747" i="7"/>
  <c r="I747" i="7" s="1"/>
  <c r="F748" i="7"/>
  <c r="J747" i="7" s="1"/>
  <c r="F749" i="7"/>
  <c r="F750" i="7"/>
  <c r="F751" i="7"/>
  <c r="F752" i="7"/>
  <c r="F753" i="7"/>
  <c r="F754" i="7"/>
  <c r="F755" i="7"/>
  <c r="F756" i="7"/>
  <c r="F757" i="7"/>
  <c r="F758" i="7"/>
  <c r="F759" i="7"/>
  <c r="F760" i="7"/>
  <c r="I760" i="7" s="1"/>
  <c r="I20" i="5" s="1"/>
  <c r="F761" i="7"/>
  <c r="J760" i="7" s="1"/>
  <c r="H5" i="5" s="1"/>
  <c r="F762" i="7"/>
  <c r="F763" i="7"/>
  <c r="F764" i="7"/>
  <c r="F765" i="7"/>
  <c r="I765" i="7" s="1"/>
  <c r="M19" i="5" s="1"/>
  <c r="F766" i="7"/>
  <c r="F767" i="7"/>
  <c r="I767" i="7" s="1"/>
  <c r="F768" i="7"/>
  <c r="I768" i="7" s="1"/>
  <c r="F769" i="7"/>
  <c r="J768" i="7" s="1"/>
  <c r="F770" i="7"/>
  <c r="F771" i="7"/>
  <c r="F772" i="7"/>
  <c r="F773" i="7"/>
  <c r="F774" i="7"/>
  <c r="F775" i="7"/>
  <c r="F776" i="7"/>
  <c r="F777" i="7"/>
  <c r="F778" i="7"/>
  <c r="F779" i="7"/>
  <c r="I779" i="7" s="1"/>
  <c r="F780" i="7"/>
  <c r="J779" i="7" s="1"/>
  <c r="G7" i="5" s="1"/>
  <c r="F781" i="7"/>
  <c r="F782" i="7"/>
  <c r="F783" i="7"/>
  <c r="F784" i="7"/>
  <c r="F785" i="7"/>
  <c r="I785" i="7" s="1"/>
  <c r="F786" i="7"/>
  <c r="F787" i="7"/>
  <c r="F788" i="7"/>
  <c r="F789" i="7"/>
  <c r="I789" i="7" s="1"/>
  <c r="F790" i="7"/>
  <c r="K789" i="7" s="1"/>
  <c r="F791" i="7"/>
  <c r="F792" i="7"/>
  <c r="F793" i="7"/>
  <c r="F794" i="7"/>
  <c r="F795" i="7"/>
  <c r="I795" i="7" s="1"/>
  <c r="M22" i="5" s="1"/>
  <c r="F796" i="7"/>
  <c r="J795" i="7" s="1"/>
  <c r="L7" i="5" s="1"/>
  <c r="F797" i="7"/>
  <c r="F798" i="7"/>
  <c r="F799" i="7"/>
  <c r="F800" i="7"/>
  <c r="F801" i="7"/>
  <c r="F802" i="7"/>
  <c r="F803" i="7"/>
  <c r="F804" i="7"/>
  <c r="F805" i="7"/>
  <c r="I805" i="7" s="1"/>
  <c r="F806" i="7"/>
  <c r="K805" i="7" s="1"/>
  <c r="F8" i="3" s="1"/>
  <c r="F807" i="7"/>
  <c r="F808" i="7"/>
  <c r="F809" i="7"/>
  <c r="F810" i="7"/>
  <c r="F811" i="7"/>
  <c r="F812" i="7"/>
  <c r="F813" i="7"/>
  <c r="F814" i="7"/>
  <c r="F815" i="7"/>
  <c r="F816" i="7"/>
  <c r="F817" i="7"/>
  <c r="I817" i="7" s="1"/>
  <c r="F818" i="7"/>
  <c r="J817" i="7" s="1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I832" i="7" s="1"/>
  <c r="F833" i="7"/>
  <c r="F834" i="7"/>
  <c r="F835" i="7"/>
  <c r="F836" i="7"/>
  <c r="I836" i="7" s="1"/>
  <c r="F837" i="7"/>
  <c r="J836" i="7" s="1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I851" i="7" s="1"/>
  <c r="F852" i="7"/>
  <c r="J851" i="7" s="1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I867" i="7" s="1"/>
  <c r="F868" i="7"/>
  <c r="J867" i="7" s="1"/>
  <c r="F869" i="7"/>
  <c r="F870" i="7"/>
  <c r="F871" i="7"/>
  <c r="F872" i="7"/>
  <c r="F873" i="7"/>
  <c r="F874" i="7"/>
  <c r="F875" i="7"/>
  <c r="F876" i="7"/>
  <c r="I876" i="7" s="1"/>
  <c r="F877" i="7"/>
  <c r="J876" i="7" s="1"/>
  <c r="F878" i="7"/>
  <c r="F879" i="7"/>
  <c r="F880" i="7"/>
  <c r="F881" i="7"/>
  <c r="F882" i="7"/>
  <c r="F883" i="7"/>
  <c r="F884" i="7"/>
  <c r="F885" i="7"/>
  <c r="F886" i="7"/>
  <c r="F887" i="7"/>
  <c r="F888" i="7"/>
  <c r="F889" i="7"/>
  <c r="I889" i="7" s="1"/>
  <c r="F890" i="7"/>
  <c r="F891" i="7"/>
  <c r="F892" i="7"/>
  <c r="F893" i="7"/>
  <c r="I893" i="7" s="1"/>
  <c r="F894" i="7"/>
  <c r="F895" i="7"/>
  <c r="F896" i="7"/>
  <c r="F897" i="7"/>
  <c r="F898" i="7"/>
  <c r="F899" i="7"/>
  <c r="F900" i="7"/>
  <c r="F901" i="7"/>
  <c r="F902" i="7"/>
  <c r="F903" i="7"/>
  <c r="F904" i="7"/>
  <c r="I904" i="7" s="1"/>
  <c r="F905" i="7"/>
  <c r="J904" i="7" s="1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I920" i="7" s="1"/>
  <c r="F921" i="7"/>
  <c r="J920" i="7" s="1"/>
  <c r="F922" i="7"/>
  <c r="F923" i="7"/>
  <c r="F924" i="7"/>
  <c r="F925" i="7"/>
  <c r="F926" i="7"/>
  <c r="F927" i="7"/>
  <c r="F928" i="7"/>
  <c r="I928" i="7" s="1"/>
  <c r="F929" i="7"/>
  <c r="F930" i="7"/>
  <c r="F931" i="7"/>
  <c r="I931" i="7" s="1"/>
  <c r="F932" i="7"/>
  <c r="F933" i="7"/>
  <c r="F934" i="7"/>
  <c r="I934" i="7" s="1"/>
  <c r="F935" i="7"/>
  <c r="F936" i="7"/>
  <c r="F937" i="7"/>
  <c r="F938" i="7"/>
  <c r="F939" i="7"/>
  <c r="F940" i="7"/>
  <c r="F941" i="7"/>
  <c r="F942" i="7"/>
  <c r="F943" i="7"/>
  <c r="F944" i="7"/>
  <c r="F945" i="7"/>
  <c r="I945" i="7" s="1"/>
  <c r="F946" i="7"/>
  <c r="J945" i="7" s="1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I961" i="7" s="1"/>
  <c r="F962" i="7"/>
  <c r="J961" i="7" s="1"/>
  <c r="F963" i="7"/>
  <c r="F964" i="7"/>
  <c r="F965" i="7"/>
  <c r="F966" i="7"/>
  <c r="F967" i="7"/>
  <c r="F968" i="7"/>
  <c r="F969" i="7"/>
  <c r="F970" i="7"/>
  <c r="F971" i="7"/>
  <c r="F972" i="7"/>
  <c r="F973" i="7"/>
  <c r="I973" i="7" s="1"/>
  <c r="F974" i="7"/>
  <c r="J973" i="7" s="1"/>
  <c r="F975" i="7"/>
  <c r="F976" i="7"/>
  <c r="F977" i="7"/>
  <c r="F978" i="7"/>
  <c r="F979" i="7"/>
  <c r="F980" i="7"/>
  <c r="F981" i="7"/>
  <c r="F982" i="7"/>
  <c r="F983" i="7"/>
  <c r="F984" i="7"/>
  <c r="F985" i="7"/>
  <c r="I985" i="7" s="1"/>
  <c r="F986" i="7"/>
  <c r="F987" i="7"/>
  <c r="F988" i="7"/>
  <c r="F989" i="7"/>
  <c r="F990" i="7"/>
  <c r="F991" i="7"/>
  <c r="I991" i="7" s="1"/>
  <c r="F992" i="7"/>
  <c r="F993" i="7"/>
  <c r="F994" i="7"/>
  <c r="I994" i="7" s="1"/>
  <c r="F995" i="7"/>
  <c r="F996" i="7"/>
  <c r="F997" i="7"/>
  <c r="F998" i="7"/>
  <c r="F999" i="7"/>
  <c r="F1000" i="7"/>
  <c r="I1000" i="7" s="1"/>
  <c r="F1001" i="7"/>
  <c r="J1000" i="7" s="1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I1015" i="7" s="1"/>
  <c r="F1016" i="7"/>
  <c r="J1015" i="7" s="1"/>
  <c r="F1017" i="7"/>
  <c r="F1018" i="7"/>
  <c r="F1019" i="7"/>
  <c r="F1020" i="7"/>
  <c r="F1021" i="7"/>
  <c r="F1022" i="7"/>
  <c r="F1023" i="7"/>
  <c r="F1024" i="7"/>
  <c r="F1025" i="7"/>
  <c r="F1026" i="7"/>
  <c r="I1026" i="7" s="1"/>
  <c r="F1027" i="7"/>
  <c r="F1028" i="7"/>
  <c r="F1029" i="7"/>
  <c r="F1030" i="7"/>
  <c r="I1030" i="7" s="1"/>
  <c r="F1031" i="7"/>
  <c r="J1030" i="7" s="1"/>
  <c r="F1032" i="7"/>
  <c r="F1033" i="7"/>
  <c r="F1034" i="7"/>
  <c r="F1035" i="7"/>
  <c r="F1036" i="7"/>
  <c r="F1037" i="7"/>
  <c r="F1038" i="7"/>
  <c r="F1039" i="7"/>
  <c r="I1039" i="7" s="1"/>
  <c r="F1040" i="7"/>
  <c r="J1039" i="7" s="1"/>
  <c r="F1041" i="7"/>
  <c r="F1042" i="7"/>
  <c r="F1043" i="7"/>
  <c r="F1044" i="7"/>
  <c r="F1045" i="7"/>
  <c r="I1045" i="7" s="1"/>
  <c r="F1046" i="7"/>
  <c r="I1046" i="7" s="1"/>
  <c r="F1047" i="7"/>
  <c r="J1046" i="7" s="1"/>
  <c r="F1048" i="7"/>
  <c r="F1049" i="7"/>
  <c r="F1050" i="7"/>
  <c r="F1051" i="7"/>
  <c r="F1052" i="7"/>
  <c r="F1053" i="7"/>
  <c r="F1054" i="7"/>
  <c r="F1055" i="7"/>
  <c r="F1056" i="7"/>
  <c r="I1056" i="7" s="1"/>
  <c r="F1057" i="7"/>
  <c r="J1056" i="7" s="1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I1071" i="7" s="1"/>
  <c r="F1072" i="7"/>
  <c r="I1072" i="7" s="1"/>
  <c r="F1073" i="7"/>
  <c r="F1074" i="7"/>
  <c r="F1075" i="7"/>
  <c r="I1075" i="7" s="1"/>
  <c r="F1076" i="7"/>
  <c r="J1075" i="7" s="1"/>
  <c r="F1077" i="7"/>
  <c r="F1078" i="7"/>
  <c r="F1079" i="7"/>
  <c r="I1079" i="7" s="1"/>
  <c r="F1080" i="7"/>
  <c r="J1079" i="7" s="1"/>
  <c r="F1081" i="7"/>
  <c r="F1082" i="7"/>
  <c r="I1082" i="7" s="1"/>
  <c r="F1083" i="7"/>
  <c r="J1082" i="7" s="1"/>
  <c r="F1084" i="7"/>
  <c r="F1085" i="7"/>
  <c r="F1086" i="7"/>
  <c r="F1087" i="7"/>
  <c r="F1088" i="7"/>
  <c r="I1088" i="7" s="1"/>
  <c r="F1089" i="7"/>
  <c r="J1088" i="7" s="1"/>
  <c r="F1090" i="7"/>
  <c r="F1091" i="7"/>
  <c r="F1092" i="7"/>
  <c r="F1093" i="7"/>
  <c r="F1094" i="7"/>
  <c r="F1095" i="7"/>
  <c r="F1096" i="7"/>
  <c r="F1097" i="7"/>
  <c r="F1098" i="7"/>
  <c r="I1098" i="7" s="1"/>
  <c r="F1099" i="7"/>
  <c r="F1100" i="7"/>
  <c r="F1101" i="7"/>
  <c r="F1102" i="7"/>
  <c r="F1103" i="7"/>
  <c r="F1104" i="7"/>
  <c r="I1104" i="7" s="1"/>
  <c r="F1105" i="7"/>
  <c r="F1106" i="7"/>
  <c r="F1107" i="7"/>
  <c r="F1108" i="7"/>
  <c r="F1109" i="7"/>
  <c r="I1109" i="7" s="1"/>
  <c r="M5" i="5" s="1"/>
  <c r="F1110" i="7"/>
  <c r="F1111" i="7"/>
  <c r="F1112" i="7"/>
  <c r="F1113" i="7"/>
  <c r="F1114" i="7"/>
  <c r="F1115" i="7"/>
  <c r="F1116" i="7"/>
  <c r="F1117" i="7"/>
  <c r="F1118" i="7"/>
  <c r="I1118" i="7" s="1"/>
  <c r="F1119" i="7"/>
  <c r="F1120" i="7"/>
  <c r="F1121" i="7"/>
  <c r="F1122" i="7"/>
  <c r="F1123" i="7"/>
  <c r="F1124" i="7"/>
  <c r="F1125" i="7"/>
  <c r="F1126" i="7"/>
  <c r="F1127" i="7"/>
  <c r="I1127" i="7" s="1"/>
  <c r="F1128" i="7"/>
  <c r="F1129" i="7"/>
  <c r="F1130" i="7"/>
  <c r="F1131" i="7"/>
  <c r="F1132" i="7"/>
  <c r="F1133" i="7"/>
  <c r="F1134" i="7"/>
  <c r="F1135" i="7"/>
  <c r="I1135" i="7" s="1"/>
  <c r="O25" i="5" s="1"/>
  <c r="F1136" i="7"/>
  <c r="J1135" i="7" s="1"/>
  <c r="F1137" i="7"/>
  <c r="F1138" i="7"/>
  <c r="F1139" i="7"/>
  <c r="F1140" i="7"/>
  <c r="F1141" i="7"/>
  <c r="F1142" i="7"/>
  <c r="F1143" i="7"/>
  <c r="F1144" i="7"/>
  <c r="F1145" i="7"/>
  <c r="F1146" i="7"/>
  <c r="F1147" i="7"/>
  <c r="I1147" i="7" s="1"/>
  <c r="F1148" i="7"/>
  <c r="J1147" i="7" s="1"/>
  <c r="F1149" i="7"/>
  <c r="F1150" i="7"/>
  <c r="F1151" i="7"/>
  <c r="F1152" i="7"/>
  <c r="F1153" i="7"/>
  <c r="F1154" i="7"/>
  <c r="F1155" i="7"/>
  <c r="F1156" i="7"/>
  <c r="F1157" i="7"/>
  <c r="I1157" i="7" s="1"/>
  <c r="F1158" i="7"/>
  <c r="K1157" i="7" s="1"/>
  <c r="F1159" i="7"/>
  <c r="F1160" i="7"/>
  <c r="F1161" i="7"/>
  <c r="F1162" i="7"/>
  <c r="F1163" i="7"/>
  <c r="F1164" i="7"/>
  <c r="F1165" i="7"/>
  <c r="F1166" i="7"/>
  <c r="I1166" i="7" s="1"/>
  <c r="F1167" i="7"/>
  <c r="K1166" i="7" s="1"/>
  <c r="F1168" i="7"/>
  <c r="F1169" i="7"/>
  <c r="F1170" i="7"/>
  <c r="I1170" i="7" s="1"/>
  <c r="O21" i="5" s="1"/>
  <c r="F1171" i="7"/>
  <c r="F1172" i="7"/>
  <c r="F1173" i="7"/>
  <c r="I1173" i="7" s="1"/>
  <c r="H24" i="5" s="1"/>
  <c r="F1174" i="7"/>
  <c r="J1173" i="7" s="1"/>
  <c r="G9" i="5" s="1"/>
  <c r="F1175" i="7"/>
  <c r="F1176" i="7"/>
  <c r="F1177" i="7"/>
  <c r="F1178" i="7"/>
  <c r="F1179" i="7"/>
  <c r="F1180" i="7"/>
  <c r="F1181" i="7"/>
  <c r="F1182" i="7"/>
  <c r="I1182" i="7" s="1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I1194" i="7" s="1"/>
  <c r="F1195" i="7"/>
  <c r="J1194" i="7" s="1"/>
  <c r="N6" i="5" s="1"/>
  <c r="F1196" i="7"/>
  <c r="F1197" i="7"/>
  <c r="F1198" i="7"/>
  <c r="F1199" i="7"/>
  <c r="F1200" i="7"/>
  <c r="F1201" i="7"/>
  <c r="F1202" i="7"/>
  <c r="F1203" i="7"/>
  <c r="F1204" i="7"/>
  <c r="F1205" i="7"/>
  <c r="F1206" i="7"/>
  <c r="I1206" i="7" s="1"/>
  <c r="F1207" i="7"/>
  <c r="F1208" i="7"/>
  <c r="I1208" i="7" s="1"/>
  <c r="F1209" i="7"/>
  <c r="F1210" i="7"/>
  <c r="F1211" i="7"/>
  <c r="I1211" i="7" s="1"/>
  <c r="F1212" i="7"/>
  <c r="F1213" i="7"/>
  <c r="I1213" i="7" s="1"/>
  <c r="F1214" i="7"/>
  <c r="K1213" i="7" s="1"/>
  <c r="F1215" i="7"/>
  <c r="I1215" i="7" s="1"/>
  <c r="F1216" i="7"/>
  <c r="K1215" i="7" s="1"/>
  <c r="F1217" i="7"/>
  <c r="F1218" i="7"/>
  <c r="F1219" i="7"/>
  <c r="I1219" i="7" s="1"/>
  <c r="O5" i="5" s="1"/>
  <c r="F1220" i="7"/>
  <c r="F1221" i="7"/>
  <c r="F1222" i="7"/>
  <c r="F1223" i="7"/>
  <c r="F1224" i="7"/>
  <c r="F1225" i="7"/>
  <c r="F1226" i="7"/>
  <c r="F1227" i="7"/>
  <c r="F1228" i="7"/>
  <c r="I1228" i="7" s="1"/>
  <c r="F1229" i="7"/>
  <c r="F1230" i="7"/>
  <c r="F1231" i="7"/>
  <c r="F1232" i="7"/>
  <c r="F1233" i="7"/>
  <c r="F1234" i="7"/>
  <c r="F1235" i="7"/>
  <c r="F1236" i="7"/>
  <c r="F1237" i="7"/>
  <c r="I1237" i="7" s="1"/>
  <c r="F1238" i="7"/>
  <c r="F1239" i="7"/>
  <c r="F1240" i="7"/>
  <c r="I1240" i="7" s="1"/>
  <c r="F1241" i="7"/>
  <c r="F1242" i="7"/>
  <c r="F1243" i="7"/>
  <c r="F1244" i="7"/>
  <c r="F1245" i="7"/>
  <c r="F1246" i="7"/>
  <c r="F1247" i="7"/>
  <c r="F1248" i="7"/>
  <c r="I1248" i="7" s="1"/>
  <c r="E10" i="5" s="1"/>
  <c r="F1249" i="7"/>
  <c r="K1248" i="7" s="1"/>
  <c r="F1250" i="7"/>
  <c r="F1251" i="7"/>
  <c r="F1252" i="7"/>
  <c r="F1253" i="7"/>
  <c r="F1254" i="7"/>
  <c r="F1255" i="7"/>
  <c r="F1256" i="7"/>
  <c r="F1257" i="7"/>
  <c r="F1258" i="7"/>
  <c r="F1259" i="7"/>
  <c r="F1260" i="7"/>
  <c r="F1261" i="7"/>
  <c r="F1262" i="7"/>
  <c r="F1263" i="7"/>
  <c r="F1264" i="7"/>
  <c r="F1265" i="7"/>
  <c r="F1266" i="7"/>
  <c r="F1267" i="7"/>
  <c r="F1268" i="7"/>
  <c r="I1268" i="7" s="1"/>
  <c r="G24" i="5" s="1"/>
  <c r="F1269" i="7"/>
  <c r="J1268" i="7" s="1"/>
  <c r="F9" i="5" s="1"/>
  <c r="F1270" i="7"/>
  <c r="F1271" i="7"/>
  <c r="F1272" i="7"/>
  <c r="F1273" i="7"/>
  <c r="F1274" i="7"/>
  <c r="F1275" i="7"/>
  <c r="F1276" i="7"/>
  <c r="F1277" i="7"/>
  <c r="F1278" i="7"/>
  <c r="F1279" i="7"/>
  <c r="F1280" i="7"/>
  <c r="I1280" i="7" s="1"/>
  <c r="F1281" i="7"/>
  <c r="J1280" i="7" s="1"/>
  <c r="F1282" i="7"/>
  <c r="F1283" i="7"/>
  <c r="F1284" i="7"/>
  <c r="F1285" i="7"/>
  <c r="F1286" i="7"/>
  <c r="F1287" i="7"/>
  <c r="I1287" i="7" s="1"/>
  <c r="F1288" i="7"/>
  <c r="J1287" i="7" s="1"/>
  <c r="F1289" i="7"/>
  <c r="F1290" i="7"/>
  <c r="F1291" i="7"/>
  <c r="F1292" i="7"/>
  <c r="F1293" i="7"/>
  <c r="F1294" i="7"/>
  <c r="F1295" i="7"/>
  <c r="F1296" i="7"/>
  <c r="F1297" i="7"/>
  <c r="F1298" i="7"/>
  <c r="I1298" i="7" s="1"/>
  <c r="F1299" i="7"/>
  <c r="F1300" i="7"/>
  <c r="F1301" i="7"/>
  <c r="F1302" i="7"/>
  <c r="I1302" i="7" s="1"/>
  <c r="F1303" i="7"/>
  <c r="F1304" i="7"/>
  <c r="F1305" i="7"/>
  <c r="F1306" i="7"/>
  <c r="F1307" i="7"/>
  <c r="F1308" i="7"/>
  <c r="F1309" i="7"/>
  <c r="F1310" i="7"/>
  <c r="F1311" i="7"/>
  <c r="I1311" i="7" s="1"/>
  <c r="F1312" i="7"/>
  <c r="J1311" i="7" s="1"/>
  <c r="F1313" i="7"/>
  <c r="F1314" i="7"/>
  <c r="F1315" i="7"/>
  <c r="F1316" i="7"/>
  <c r="F1317" i="7"/>
  <c r="F1318" i="7"/>
  <c r="F1319" i="7"/>
  <c r="F1320" i="7"/>
  <c r="F1321" i="7"/>
  <c r="F1322" i="7"/>
  <c r="F1323" i="7"/>
  <c r="I1323" i="7" s="1"/>
  <c r="F1324" i="7"/>
  <c r="J1323" i="7" s="1"/>
  <c r="F1325" i="7"/>
  <c r="F1326" i="7"/>
  <c r="F1327" i="7"/>
  <c r="F1328" i="7"/>
  <c r="F1329" i="7"/>
  <c r="F1330" i="7"/>
  <c r="F1331" i="7"/>
  <c r="F1332" i="7"/>
  <c r="I1332" i="7" s="1"/>
  <c r="F1333" i="7"/>
  <c r="F1334" i="7"/>
  <c r="I1334" i="7" s="1"/>
  <c r="F1335" i="7"/>
  <c r="J1334" i="7" s="1"/>
  <c r="F1336" i="7"/>
  <c r="F1337" i="7"/>
  <c r="F1338" i="7"/>
  <c r="F1339" i="7"/>
  <c r="F1340" i="7"/>
  <c r="F1341" i="7"/>
  <c r="F1342" i="7"/>
  <c r="F1343" i="7"/>
  <c r="F1344" i="7"/>
  <c r="F1345" i="7"/>
  <c r="F1346" i="7"/>
  <c r="F1347" i="7"/>
  <c r="I1347" i="7" s="1"/>
  <c r="F1348" i="7"/>
  <c r="J1347" i="7" s="1"/>
  <c r="F1349" i="7"/>
  <c r="F1350" i="7"/>
  <c r="F1351" i="7"/>
  <c r="F1352" i="7"/>
  <c r="F1353" i="7"/>
  <c r="F1354" i="7"/>
  <c r="F1355" i="7"/>
  <c r="F1356" i="7"/>
  <c r="F1357" i="7"/>
  <c r="F1358" i="7"/>
  <c r="I1358" i="7" s="1"/>
  <c r="F1359" i="7"/>
  <c r="J1358" i="7" s="1"/>
  <c r="F1360" i="7"/>
  <c r="F1361" i="7"/>
  <c r="F1362" i="7"/>
  <c r="F1363" i="7"/>
  <c r="F1364" i="7"/>
  <c r="F1365" i="7"/>
  <c r="F1366" i="7"/>
  <c r="F1367" i="7"/>
  <c r="F1368" i="7"/>
  <c r="F1369" i="7"/>
  <c r="F1370" i="7"/>
  <c r="F1371" i="7"/>
  <c r="I1371" i="7" s="1"/>
  <c r="F1372" i="7"/>
  <c r="J1371" i="7" s="1"/>
  <c r="F1373" i="7"/>
  <c r="F1374" i="7"/>
  <c r="F1375" i="7"/>
  <c r="F1376" i="7"/>
  <c r="F1377" i="7"/>
  <c r="F1378" i="7"/>
  <c r="F1379" i="7"/>
  <c r="F1380" i="7"/>
  <c r="F1381" i="7"/>
  <c r="F1382" i="7"/>
  <c r="F1383" i="7"/>
  <c r="F1384" i="7"/>
  <c r="F1385" i="7"/>
  <c r="I1385" i="7" s="1"/>
  <c r="F1386" i="7"/>
  <c r="J1385" i="7" s="1"/>
  <c r="F1387" i="7"/>
  <c r="F1388" i="7"/>
  <c r="F1389" i="7"/>
  <c r="F1390" i="7"/>
  <c r="F1391" i="7"/>
  <c r="F1392" i="7"/>
  <c r="I1392" i="7" s="1"/>
  <c r="F1393" i="7"/>
  <c r="J1392" i="7" s="1"/>
  <c r="F1394" i="7"/>
  <c r="F1395" i="7"/>
  <c r="F1396" i="7"/>
  <c r="F1397" i="7"/>
  <c r="F1398" i="7"/>
  <c r="I1398" i="7" s="1"/>
  <c r="F1399" i="7"/>
  <c r="K1398" i="7" s="1"/>
  <c r="F1400" i="7"/>
  <c r="F1401" i="7"/>
  <c r="F1402" i="7"/>
  <c r="F1403" i="7"/>
  <c r="F1404" i="7"/>
  <c r="F1405" i="7"/>
  <c r="I1405" i="7" s="1"/>
  <c r="F1406" i="7"/>
  <c r="J1405" i="7" s="1"/>
  <c r="F1407" i="7"/>
  <c r="I1407" i="7" s="1"/>
  <c r="F1408" i="7"/>
  <c r="J1407" i="7" s="1"/>
  <c r="F1409" i="7"/>
  <c r="I1409" i="7" s="1"/>
  <c r="F1410" i="7"/>
  <c r="J1409" i="7" s="1"/>
  <c r="F1411" i="7"/>
  <c r="F1412" i="7"/>
  <c r="F1413" i="7"/>
  <c r="F1414" i="7"/>
  <c r="F1415" i="7"/>
  <c r="F1416" i="7"/>
  <c r="F1417" i="7"/>
  <c r="F1418" i="7"/>
  <c r="F1419" i="7"/>
  <c r="F1420" i="7"/>
  <c r="F1421" i="7"/>
  <c r="I1421" i="7" s="1"/>
  <c r="F1422" i="7"/>
  <c r="J1421" i="7" s="1"/>
  <c r="F1423" i="7"/>
  <c r="F1424" i="7"/>
  <c r="F1425" i="7"/>
  <c r="F1426" i="7"/>
  <c r="F1427" i="7"/>
  <c r="F1428" i="7"/>
  <c r="F1429" i="7"/>
  <c r="F1430" i="7"/>
  <c r="F1431" i="7"/>
  <c r="F1432" i="7"/>
  <c r="F1433" i="7"/>
  <c r="F1434" i="7"/>
  <c r="I1434" i="7" s="1"/>
  <c r="F1435" i="7"/>
  <c r="J1434" i="7" s="1"/>
  <c r="F1436" i="7"/>
  <c r="F1437" i="7"/>
  <c r="F1438" i="7"/>
  <c r="F1439" i="7"/>
  <c r="F1440" i="7"/>
  <c r="F1441" i="7"/>
  <c r="F1442" i="7"/>
  <c r="F1443" i="7"/>
  <c r="F1444" i="7"/>
  <c r="F1445" i="7"/>
  <c r="F1446" i="7"/>
  <c r="F1447" i="7"/>
  <c r="F1448" i="7"/>
  <c r="I1448" i="7" s="1"/>
  <c r="O4" i="5" s="1"/>
  <c r="F1449" i="7"/>
  <c r="F1450" i="7"/>
  <c r="F1451" i="7"/>
  <c r="F1452" i="7"/>
  <c r="F1453" i="7"/>
  <c r="F1454" i="7"/>
  <c r="I1454" i="7" s="1"/>
  <c r="F1455" i="7"/>
  <c r="F1456" i="7"/>
  <c r="F1457" i="7"/>
  <c r="I1457" i="7" s="1"/>
  <c r="F1458" i="7"/>
  <c r="J1457" i="7" s="1"/>
  <c r="O6" i="5" s="1"/>
  <c r="F1459" i="7"/>
  <c r="F1460" i="7"/>
  <c r="F1461" i="7"/>
  <c r="F1462" i="7"/>
  <c r="F1463" i="7"/>
  <c r="F1464" i="7"/>
  <c r="F1465" i="7"/>
  <c r="F1466" i="7"/>
  <c r="F1467" i="7"/>
  <c r="F1468" i="7"/>
  <c r="F1469" i="7"/>
  <c r="F1470" i="7"/>
  <c r="F1471" i="7"/>
  <c r="F1472" i="7"/>
  <c r="F1473" i="7"/>
  <c r="F1474" i="7"/>
  <c r="F1475" i="7"/>
  <c r="I1475" i="7" s="1"/>
  <c r="F1476" i="7"/>
  <c r="J1475" i="7" s="1"/>
  <c r="F1477" i="7"/>
  <c r="F1478" i="7"/>
  <c r="F1479" i="7"/>
  <c r="F1480" i="7"/>
  <c r="F1481" i="7"/>
  <c r="F1482" i="7"/>
  <c r="F1483" i="7"/>
  <c r="F1484" i="7"/>
  <c r="F1485" i="7"/>
  <c r="F1486" i="7"/>
  <c r="F1487" i="7"/>
  <c r="F1488" i="7"/>
  <c r="F1489" i="7"/>
  <c r="F1490" i="7"/>
  <c r="F1491" i="7"/>
  <c r="I1491" i="7" s="1"/>
  <c r="F1492" i="7"/>
  <c r="I1492" i="7" s="1"/>
  <c r="F1493" i="7"/>
  <c r="J1492" i="7" s="1"/>
  <c r="F1494" i="7"/>
  <c r="I1494" i="7" s="1"/>
  <c r="F1495" i="7"/>
  <c r="I1495" i="7" s="1"/>
  <c r="F1496" i="7"/>
  <c r="J1495" i="7" s="1"/>
  <c r="F1497" i="7"/>
  <c r="F1498" i="7"/>
  <c r="F1499" i="7"/>
  <c r="F1500" i="7"/>
  <c r="F1501" i="7"/>
  <c r="F1502" i="7"/>
  <c r="I1502" i="7" s="1"/>
  <c r="F1503" i="7"/>
  <c r="J1502" i="7" s="1"/>
  <c r="F1504" i="7"/>
  <c r="F1505" i="7"/>
  <c r="F1506" i="7"/>
  <c r="F1507" i="7"/>
  <c r="F1508" i="7"/>
  <c r="F1509" i="7"/>
  <c r="F1510" i="7"/>
  <c r="F1511" i="7"/>
  <c r="F1512" i="7"/>
  <c r="F1513" i="7"/>
  <c r="F1514" i="7"/>
  <c r="I1514" i="7" s="1"/>
  <c r="F1515" i="7"/>
  <c r="J1514" i="7" s="1"/>
  <c r="F1516" i="7"/>
  <c r="F1517" i="7"/>
  <c r="F1518" i="7"/>
  <c r="I1518" i="7" s="1"/>
  <c r="F1519" i="7"/>
  <c r="J1518" i="7" s="1"/>
  <c r="F1520" i="7"/>
  <c r="F1521" i="7"/>
  <c r="F1522" i="7"/>
  <c r="I1522" i="7" s="1"/>
  <c r="F1523" i="7"/>
  <c r="J1522" i="7" s="1"/>
  <c r="F1524" i="7"/>
  <c r="F1525" i="7"/>
  <c r="F1526" i="7"/>
  <c r="F1527" i="7"/>
  <c r="I1527" i="7" s="1"/>
  <c r="F1528" i="7"/>
  <c r="F1529" i="7"/>
  <c r="I1529" i="7" s="1"/>
  <c r="F1530" i="7"/>
  <c r="I1530" i="7" s="1"/>
  <c r="F1531" i="7"/>
  <c r="J1530" i="7" s="1"/>
  <c r="O11" i="5" s="1"/>
  <c r="F1532" i="7"/>
  <c r="F1533" i="7"/>
  <c r="F1534" i="7"/>
  <c r="F1535" i="7"/>
  <c r="F1536" i="7"/>
  <c r="F1537" i="7"/>
  <c r="F1538" i="7"/>
  <c r="F1539" i="7"/>
  <c r="F1540" i="7"/>
  <c r="F1541" i="7"/>
  <c r="F1542" i="7"/>
  <c r="F1543" i="7"/>
  <c r="F1544" i="7"/>
  <c r="I1544" i="7" s="1"/>
  <c r="F1545" i="7"/>
  <c r="J1544" i="7" s="1"/>
  <c r="F1546" i="7"/>
  <c r="F1547" i="7"/>
  <c r="F1548" i="7"/>
  <c r="F1549" i="7"/>
  <c r="F1550" i="7"/>
  <c r="F1551" i="7"/>
  <c r="F1552" i="7"/>
  <c r="F1553" i="7"/>
  <c r="F1554" i="7"/>
  <c r="F1555" i="7"/>
  <c r="F1556" i="7"/>
  <c r="F1557" i="7"/>
  <c r="F1558" i="7"/>
  <c r="F1559" i="7"/>
  <c r="F1560" i="7"/>
  <c r="F1561" i="7"/>
  <c r="F1562" i="7"/>
  <c r="F1563" i="7"/>
  <c r="F1564" i="7"/>
  <c r="F1565" i="7"/>
  <c r="I1565" i="7" s="1"/>
  <c r="F1566" i="7"/>
  <c r="F1567" i="7"/>
  <c r="F1568" i="7"/>
  <c r="F1569" i="7"/>
  <c r="F1570" i="7"/>
  <c r="F1571" i="7"/>
  <c r="F1572" i="7"/>
  <c r="F1573" i="7"/>
  <c r="F1574" i="7"/>
  <c r="F1575" i="7"/>
  <c r="I1575" i="7" s="1"/>
  <c r="F1576" i="7"/>
  <c r="F1577" i="7"/>
  <c r="F1578" i="7"/>
  <c r="I1578" i="7" s="1"/>
  <c r="F1579" i="7"/>
  <c r="J1578" i="7" s="1"/>
  <c r="N4" i="5" s="1"/>
  <c r="F1580" i="7"/>
  <c r="F1581" i="7"/>
  <c r="F1582" i="7"/>
  <c r="F1583" i="7"/>
  <c r="I1583" i="7" s="1"/>
  <c r="F1584" i="7"/>
  <c r="F1585" i="7"/>
  <c r="F1586" i="7"/>
  <c r="F1587" i="7"/>
  <c r="F1588" i="7"/>
  <c r="I1588" i="7" s="1"/>
  <c r="F1589" i="7"/>
  <c r="F1590" i="7"/>
  <c r="I1590" i="7" s="1"/>
  <c r="F1591" i="7"/>
  <c r="J1590" i="7" s="1"/>
  <c r="F1592" i="7"/>
  <c r="F1593" i="7"/>
  <c r="F1594" i="7"/>
  <c r="F1595" i="7"/>
  <c r="F1596" i="7"/>
  <c r="F1597" i="7"/>
  <c r="F1598" i="7"/>
  <c r="F1599" i="7"/>
  <c r="F1600" i="7"/>
  <c r="F1601" i="7"/>
  <c r="F1602" i="7"/>
  <c r="F1603" i="7"/>
  <c r="F1604" i="7"/>
  <c r="F1605" i="7"/>
  <c r="F1606" i="7"/>
  <c r="I1606" i="7" s="1"/>
  <c r="F1607" i="7"/>
  <c r="J1606" i="7" s="1"/>
  <c r="F1608" i="7"/>
  <c r="F1609" i="7"/>
  <c r="F1610" i="7"/>
  <c r="F1611" i="7"/>
  <c r="F1612" i="7"/>
  <c r="F1613" i="7"/>
  <c r="F1614" i="7"/>
  <c r="F1615" i="7"/>
  <c r="F1616" i="7"/>
  <c r="F1617" i="7"/>
  <c r="F1618" i="7"/>
  <c r="F1619" i="7"/>
  <c r="F1620" i="7"/>
  <c r="F1621" i="7"/>
  <c r="F1622" i="7"/>
  <c r="F1623" i="7"/>
  <c r="F1624" i="7"/>
  <c r="F1625" i="7"/>
  <c r="F1626" i="7"/>
  <c r="I1626" i="7" s="1"/>
  <c r="K25" i="5" s="1"/>
  <c r="F1627" i="7"/>
  <c r="J1626" i="7" s="1"/>
  <c r="J10" i="5" s="1"/>
  <c r="F1628" i="7"/>
  <c r="F1629" i="7"/>
  <c r="F1630" i="7"/>
  <c r="F1631" i="7"/>
  <c r="F1632" i="7"/>
  <c r="F1633" i="7"/>
  <c r="F1634" i="7"/>
  <c r="F1635" i="7"/>
  <c r="F1636" i="7"/>
  <c r="F1637" i="7"/>
  <c r="F1638" i="7"/>
  <c r="F1639" i="7"/>
  <c r="F1640" i="7"/>
  <c r="F1641" i="7"/>
  <c r="F1642" i="7"/>
  <c r="F1643" i="7"/>
  <c r="F1644" i="7"/>
  <c r="I1644" i="7" s="1"/>
  <c r="F1645" i="7"/>
  <c r="J1644" i="7" s="1"/>
  <c r="F1646" i="7"/>
  <c r="F1647" i="7"/>
  <c r="F1648" i="7"/>
  <c r="F1649" i="7"/>
  <c r="F1650" i="7"/>
  <c r="F1651" i="7"/>
  <c r="F1652" i="7"/>
  <c r="F1653" i="7"/>
  <c r="F1654" i="7"/>
  <c r="F1655" i="7"/>
  <c r="F1656" i="7"/>
  <c r="F1657" i="7"/>
  <c r="F1658" i="7"/>
  <c r="F1659" i="7"/>
  <c r="F1660" i="7"/>
  <c r="I1660" i="7" s="1"/>
  <c r="F1661" i="7"/>
  <c r="J1660" i="7" s="1"/>
  <c r="F1662" i="7"/>
  <c r="F1663" i="7"/>
  <c r="F1664" i="7"/>
  <c r="F1665" i="7"/>
  <c r="F1666" i="7"/>
  <c r="F1667" i="7"/>
  <c r="F1668" i="7"/>
  <c r="F1669" i="7"/>
  <c r="F1670" i="7"/>
  <c r="F1671" i="7"/>
  <c r="F1672" i="7"/>
  <c r="F1673" i="7"/>
  <c r="F1674" i="7"/>
  <c r="F1675" i="7"/>
  <c r="F1676" i="7"/>
  <c r="F1677" i="7"/>
  <c r="I1677" i="7" s="1"/>
  <c r="F1678" i="7"/>
  <c r="J1677" i="7" s="1"/>
  <c r="F1679" i="7"/>
  <c r="F1680" i="7"/>
  <c r="F1681" i="7"/>
  <c r="I1681" i="7" s="1"/>
  <c r="F1682" i="7"/>
  <c r="J1681" i="7" s="1"/>
  <c r="F1683" i="7"/>
  <c r="F1684" i="7"/>
  <c r="F1685" i="7"/>
  <c r="F1686" i="7"/>
  <c r="F1687" i="7"/>
  <c r="F1688" i="7"/>
  <c r="F1689" i="7"/>
  <c r="F1690" i="7"/>
  <c r="F1691" i="7"/>
  <c r="F1692" i="7"/>
  <c r="F1693" i="7"/>
  <c r="F1694" i="7"/>
  <c r="F1695" i="7"/>
  <c r="F1696" i="7"/>
  <c r="F1697" i="7"/>
  <c r="F1698" i="7"/>
  <c r="F1699" i="7"/>
  <c r="F1700" i="7"/>
  <c r="F1701" i="7"/>
  <c r="F1702" i="7"/>
  <c r="F1703" i="7"/>
  <c r="F1704" i="7"/>
  <c r="F1705" i="7"/>
  <c r="I1705" i="7" s="1"/>
  <c r="F1706" i="7"/>
  <c r="J1705" i="7" s="1"/>
  <c r="F1707" i="7"/>
  <c r="F1708" i="7"/>
  <c r="F1709" i="7"/>
  <c r="F1710" i="7"/>
  <c r="F1711" i="7"/>
  <c r="F1712" i="7"/>
  <c r="F1713" i="7"/>
  <c r="F1714" i="7"/>
  <c r="F1715" i="7"/>
  <c r="I1715" i="7" s="1"/>
  <c r="F1716" i="7"/>
  <c r="F1717" i="7"/>
  <c r="F1718" i="7"/>
  <c r="F1719" i="7"/>
  <c r="I1719" i="7" s="1"/>
  <c r="F1720" i="7"/>
  <c r="F1721" i="7"/>
  <c r="I1721" i="7" s="1"/>
  <c r="F1722" i="7"/>
  <c r="J1721" i="7" s="1"/>
  <c r="D8" i="5" s="1"/>
  <c r="F1723" i="7"/>
  <c r="F1724" i="7"/>
  <c r="F1725" i="7"/>
  <c r="F1726" i="7"/>
  <c r="F1727" i="7"/>
  <c r="F1728" i="7"/>
  <c r="F1729" i="7"/>
  <c r="F1730" i="7"/>
  <c r="F1731" i="7"/>
  <c r="F1732" i="7"/>
  <c r="F1733" i="7"/>
  <c r="F1734" i="7"/>
  <c r="F1735" i="7"/>
  <c r="F1736" i="7"/>
  <c r="F1737" i="7"/>
  <c r="F1738" i="7"/>
  <c r="F1739" i="7"/>
  <c r="F1740" i="7"/>
  <c r="F1741" i="7"/>
  <c r="F1742" i="7"/>
  <c r="F1743" i="7"/>
  <c r="F1744" i="7"/>
  <c r="F1745" i="7"/>
  <c r="I1745" i="7" s="1"/>
  <c r="F1746" i="7"/>
  <c r="J1745" i="7" s="1"/>
  <c r="F1747" i="7"/>
  <c r="F1748" i="7"/>
  <c r="F1749" i="7"/>
  <c r="F1750" i="7"/>
  <c r="F1751" i="7"/>
  <c r="F1752" i="7"/>
  <c r="F1753" i="7"/>
  <c r="F1754" i="7"/>
  <c r="F1755" i="7"/>
  <c r="F1756" i="7"/>
  <c r="F1757" i="7"/>
  <c r="F1758" i="7"/>
  <c r="F1759" i="7"/>
  <c r="F1760" i="7"/>
  <c r="I1760" i="7" s="1"/>
  <c r="F1761" i="7"/>
  <c r="J1760" i="7" s="1"/>
  <c r="F1762" i="7"/>
  <c r="F1763" i="7"/>
  <c r="F1764" i="7"/>
  <c r="F1765" i="7"/>
  <c r="F1766" i="7"/>
  <c r="F1767" i="7"/>
  <c r="F1768" i="7"/>
  <c r="F1769" i="7"/>
  <c r="F1770" i="7"/>
  <c r="F1771" i="7"/>
  <c r="F1772" i="7"/>
  <c r="F1773" i="7"/>
  <c r="F1774" i="7"/>
  <c r="I1774" i="7" s="1"/>
  <c r="F1775" i="7"/>
  <c r="J1774" i="7" s="1"/>
  <c r="F1776" i="7"/>
  <c r="F1777" i="7"/>
  <c r="F1778" i="7"/>
  <c r="F1779" i="7"/>
  <c r="F1780" i="7"/>
  <c r="F1781" i="7"/>
  <c r="F1782" i="7"/>
  <c r="F1783" i="7"/>
  <c r="F1784" i="7"/>
  <c r="F1785" i="7"/>
  <c r="F1786" i="7"/>
  <c r="F1787" i="7"/>
  <c r="F1788" i="7"/>
  <c r="F1789" i="7"/>
  <c r="F1790" i="7"/>
  <c r="I1790" i="7" s="1"/>
  <c r="F1791" i="7"/>
  <c r="J1790" i="7" s="1"/>
  <c r="F1792" i="7"/>
  <c r="F1793" i="7"/>
  <c r="F1794" i="7"/>
  <c r="F1795" i="7"/>
  <c r="F1796" i="7"/>
  <c r="F1797" i="7"/>
  <c r="F1798" i="7"/>
  <c r="F1799" i="7"/>
  <c r="F1800" i="7"/>
  <c r="F1801" i="7"/>
  <c r="F1802" i="7"/>
  <c r="F1803" i="7"/>
  <c r="F1804" i="7"/>
  <c r="I1804" i="7" s="1"/>
  <c r="F1805" i="7"/>
  <c r="J1804" i="7" s="1"/>
  <c r="F1806" i="7"/>
  <c r="F1807" i="7"/>
  <c r="F1808" i="7"/>
  <c r="F1809" i="7"/>
  <c r="F1810" i="7"/>
  <c r="F1811" i="7"/>
  <c r="F1812" i="7"/>
  <c r="F1813" i="7"/>
  <c r="F1814" i="7"/>
  <c r="F1815" i="7"/>
  <c r="F1816" i="7"/>
  <c r="F1817" i="7"/>
  <c r="F1818" i="7"/>
  <c r="I1818" i="7" s="1"/>
  <c r="F1819" i="7"/>
  <c r="J1818" i="7" s="1"/>
  <c r="F1820" i="7"/>
  <c r="F1821" i="7"/>
  <c r="F1822" i="7"/>
  <c r="F1823" i="7"/>
  <c r="F1824" i="7"/>
  <c r="F1825" i="7"/>
  <c r="F1826" i="7"/>
  <c r="F1827" i="7"/>
  <c r="F1828" i="7"/>
  <c r="F1829" i="7"/>
  <c r="F1830" i="7"/>
  <c r="F1831" i="7"/>
  <c r="F1832" i="7"/>
  <c r="F1833" i="7"/>
  <c r="F1834" i="7"/>
  <c r="F1835" i="7"/>
  <c r="F1836" i="7"/>
  <c r="F1837" i="7"/>
  <c r="F1838" i="7"/>
  <c r="F1839" i="7"/>
  <c r="F1840" i="7"/>
  <c r="I1840" i="7" s="1"/>
  <c r="F1841" i="7"/>
  <c r="I1841" i="7" s="1"/>
  <c r="F1842" i="7"/>
  <c r="J1841" i="7" s="1"/>
  <c r="F1843" i="7"/>
  <c r="F1844" i="7"/>
  <c r="F1845" i="7"/>
  <c r="F1846" i="7"/>
  <c r="I1846" i="7" s="1"/>
  <c r="F1847" i="7"/>
  <c r="J1846" i="7" s="1"/>
  <c r="F1848" i="7"/>
  <c r="F1849" i="7"/>
  <c r="F1850" i="7"/>
  <c r="F1851" i="7"/>
  <c r="I1851" i="7" s="1"/>
  <c r="F1852" i="7"/>
  <c r="F1853" i="7"/>
  <c r="F1854" i="7"/>
  <c r="F1855" i="7"/>
  <c r="F1856" i="7"/>
  <c r="I1856" i="7" s="1"/>
  <c r="F1857" i="7"/>
  <c r="J1856" i="7" s="1"/>
  <c r="F1858" i="7"/>
  <c r="F1859" i="7"/>
  <c r="F1860" i="7"/>
  <c r="F1861" i="7"/>
  <c r="I1861" i="7" s="1"/>
  <c r="F1862" i="7"/>
  <c r="J1861" i="7" s="1"/>
  <c r="F1863" i="7"/>
  <c r="F1864" i="7"/>
  <c r="F1865" i="7"/>
  <c r="F1866" i="7"/>
  <c r="F1867" i="7"/>
  <c r="F1868" i="7"/>
  <c r="F1869" i="7"/>
  <c r="F1870" i="7"/>
  <c r="F1871" i="7"/>
  <c r="F1872" i="7"/>
  <c r="F1873" i="7"/>
  <c r="F1874" i="7"/>
  <c r="F1875" i="7"/>
  <c r="F1876" i="7"/>
  <c r="F1877" i="7"/>
  <c r="F1878" i="7"/>
  <c r="F1879" i="7"/>
  <c r="F1880" i="7"/>
  <c r="I1880" i="7" s="1"/>
  <c r="F1881" i="7"/>
  <c r="J1880" i="7" s="1"/>
  <c r="L4" i="5" s="1"/>
  <c r="F1882" i="7"/>
  <c r="F1883" i="7"/>
  <c r="F1884" i="7"/>
  <c r="F1885" i="7"/>
  <c r="F1886" i="7"/>
  <c r="F1887" i="7"/>
  <c r="F1888" i="7"/>
  <c r="F1889" i="7"/>
  <c r="F1890" i="7"/>
  <c r="F1891" i="7"/>
  <c r="F1892" i="7"/>
  <c r="F1893" i="7"/>
  <c r="F1894" i="7"/>
  <c r="I1894" i="7" s="1"/>
  <c r="F1895" i="7"/>
  <c r="J1894" i="7" s="1"/>
  <c r="F1896" i="7"/>
  <c r="F1897" i="7"/>
  <c r="F1898" i="7"/>
  <c r="F1899" i="7"/>
  <c r="F1900" i="7"/>
  <c r="F1901" i="7"/>
  <c r="F1902" i="7"/>
  <c r="F1903" i="7"/>
  <c r="F1904" i="7"/>
  <c r="F1905" i="7"/>
  <c r="F1906" i="7"/>
  <c r="F1907" i="7"/>
  <c r="I1907" i="7" s="1"/>
  <c r="F1908" i="7"/>
  <c r="J1907" i="7" s="1"/>
  <c r="F1909" i="7"/>
  <c r="F1910" i="7"/>
  <c r="F1911" i="7"/>
  <c r="F1912" i="7"/>
  <c r="I1912" i="7" s="1"/>
  <c r="F1913" i="7"/>
  <c r="J1912" i="7" s="1"/>
  <c r="D5" i="5" s="1"/>
  <c r="F1914" i="7"/>
  <c r="F1915" i="7"/>
  <c r="F1916" i="7"/>
  <c r="F1917" i="7"/>
  <c r="F1918" i="7"/>
  <c r="F1919" i="7"/>
  <c r="F1920" i="7"/>
  <c r="F1921" i="7"/>
  <c r="F1922" i="7"/>
  <c r="F1923" i="7"/>
  <c r="F1924" i="7"/>
  <c r="F1925" i="7"/>
  <c r="F1926" i="7"/>
  <c r="F1927" i="7"/>
  <c r="F1928" i="7"/>
  <c r="F1929" i="7"/>
  <c r="F1930" i="7"/>
  <c r="F1931" i="7"/>
  <c r="F1932" i="7"/>
  <c r="F1933" i="7"/>
  <c r="F1934" i="7"/>
  <c r="F1935" i="7"/>
  <c r="I1935" i="7" s="1"/>
  <c r="F1936" i="7"/>
  <c r="F1937" i="7"/>
  <c r="F1938" i="7"/>
  <c r="F1939" i="7"/>
  <c r="F1940" i="7"/>
  <c r="F1941" i="7"/>
  <c r="F1942" i="7"/>
  <c r="F1943" i="7"/>
  <c r="F1944" i="7"/>
  <c r="F1945" i="7"/>
  <c r="I1945" i="7" s="1"/>
  <c r="F1946" i="7"/>
  <c r="I1946" i="7" s="1"/>
  <c r="F1947" i="7"/>
  <c r="J1946" i="7" s="1"/>
  <c r="F1948" i="7"/>
  <c r="F1949" i="7"/>
  <c r="F1950" i="7"/>
  <c r="F1951" i="7"/>
  <c r="F1952" i="7"/>
  <c r="F1953" i="7"/>
  <c r="F1954" i="7"/>
  <c r="F1955" i="7"/>
  <c r="F1956" i="7"/>
  <c r="F1957" i="7"/>
  <c r="F1958" i="7"/>
  <c r="I1958" i="7" s="1"/>
  <c r="F1959" i="7"/>
  <c r="J1958" i="7" s="1"/>
  <c r="F1960" i="7"/>
  <c r="F1961" i="7"/>
  <c r="F1962" i="7"/>
  <c r="F1963" i="7"/>
  <c r="F1964" i="7"/>
  <c r="F1965" i="7"/>
  <c r="F1966" i="7"/>
  <c r="F1967" i="7"/>
  <c r="F1968" i="7"/>
  <c r="F1969" i="7"/>
  <c r="F1970" i="7"/>
  <c r="F1971" i="7"/>
  <c r="F1972" i="7"/>
  <c r="F1973" i="7"/>
  <c r="F1974" i="7"/>
  <c r="F1975" i="7"/>
  <c r="I1975" i="7" s="1"/>
  <c r="F1976" i="7"/>
  <c r="J1975" i="7" s="1"/>
  <c r="F1977" i="7"/>
  <c r="F1978" i="7"/>
  <c r="F1979" i="7"/>
  <c r="F1980" i="7"/>
  <c r="F1981" i="7"/>
  <c r="F1982" i="7"/>
  <c r="F1983" i="7"/>
  <c r="F1984" i="7"/>
  <c r="I1984" i="7" s="1"/>
  <c r="F1985" i="7"/>
  <c r="J1984" i="7" s="1"/>
  <c r="F1986" i="7"/>
  <c r="F1987" i="7"/>
  <c r="F1988" i="7"/>
  <c r="F1989" i="7"/>
  <c r="F1990" i="7"/>
  <c r="F1991" i="7"/>
  <c r="F1992" i="7"/>
  <c r="F1993" i="7"/>
  <c r="F1994" i="7"/>
  <c r="F1995" i="7"/>
  <c r="F1996" i="7"/>
  <c r="F1997" i="7"/>
  <c r="I1997" i="7" s="1"/>
  <c r="F1998" i="7"/>
  <c r="F1999" i="7"/>
  <c r="F2000" i="7"/>
  <c r="F2001" i="7"/>
  <c r="F2002" i="7"/>
  <c r="F2003" i="7"/>
  <c r="I2003" i="7" s="1"/>
  <c r="F2004" i="7"/>
  <c r="F2005" i="7"/>
  <c r="F2006" i="7"/>
  <c r="F2007" i="7"/>
  <c r="F2008" i="7"/>
  <c r="F2009" i="7"/>
  <c r="I2009" i="7" s="1"/>
  <c r="F2010" i="7"/>
  <c r="K2009" i="7" s="1"/>
  <c r="F2011" i="7"/>
  <c r="F2012" i="7"/>
  <c r="F2013" i="7"/>
  <c r="F2014" i="7"/>
  <c r="I2014" i="7" s="1"/>
  <c r="F2015" i="7"/>
  <c r="F2016" i="7"/>
  <c r="F2017" i="7"/>
  <c r="I2017" i="7" s="1"/>
  <c r="F2018" i="7"/>
  <c r="J2017" i="7" s="1"/>
  <c r="F2019" i="7"/>
  <c r="F2020" i="7"/>
  <c r="F2021" i="7"/>
  <c r="F2022" i="7"/>
  <c r="I2022" i="7" s="1"/>
  <c r="F2023" i="7"/>
  <c r="J2022" i="7" s="1"/>
  <c r="F2024" i="7"/>
  <c r="F2025" i="7"/>
  <c r="F2026" i="7"/>
  <c r="I2026" i="7" s="1"/>
  <c r="F2027" i="7"/>
  <c r="J2026" i="7" s="1"/>
  <c r="F2028" i="7"/>
  <c r="F2029" i="7"/>
  <c r="F2030" i="7"/>
  <c r="F2031" i="7"/>
  <c r="F2032" i="7"/>
  <c r="F2033" i="7"/>
  <c r="F2034" i="7"/>
  <c r="F2035" i="7"/>
  <c r="F2036" i="7"/>
  <c r="F2037" i="7"/>
  <c r="F2038" i="7"/>
  <c r="F2039" i="7"/>
  <c r="F2040" i="7"/>
  <c r="F2041" i="7"/>
  <c r="F2042" i="7"/>
  <c r="F2043" i="7"/>
  <c r="F2044" i="7"/>
  <c r="F2045" i="7"/>
  <c r="F2046" i="7"/>
  <c r="F2047" i="7"/>
  <c r="F2048" i="7"/>
  <c r="F2049" i="7"/>
  <c r="F2050" i="7"/>
  <c r="F2051" i="7"/>
  <c r="F2052" i="7"/>
  <c r="F2053" i="7"/>
  <c r="F2054" i="7"/>
  <c r="F2055" i="7"/>
  <c r="F2056" i="7"/>
  <c r="F2057" i="7"/>
  <c r="F2058" i="7"/>
  <c r="F2059" i="7"/>
  <c r="F2060" i="7"/>
  <c r="F2061" i="7"/>
  <c r="F2062" i="7"/>
  <c r="F2063" i="7"/>
  <c r="F2064" i="7"/>
  <c r="F2065" i="7"/>
  <c r="I2065" i="7" s="1"/>
  <c r="F2066" i="7"/>
  <c r="J2065" i="7" s="1"/>
  <c r="F2067" i="7"/>
  <c r="F2068" i="7"/>
  <c r="F2069" i="7"/>
  <c r="F2070" i="7"/>
  <c r="F2071" i="7"/>
  <c r="F2072" i="7"/>
  <c r="F2073" i="7"/>
  <c r="F2074" i="7"/>
  <c r="F2075" i="7"/>
  <c r="F2076" i="7"/>
  <c r="F2077" i="7"/>
  <c r="F2078" i="7"/>
  <c r="F2079" i="7"/>
  <c r="F2080" i="7"/>
  <c r="I2080" i="7" s="1"/>
  <c r="F2081" i="7"/>
  <c r="J2080" i="7" s="1"/>
  <c r="F2082" i="7"/>
  <c r="F2083" i="7"/>
  <c r="F2084" i="7"/>
  <c r="F2085" i="7"/>
  <c r="F2086" i="7"/>
  <c r="F2087" i="7"/>
  <c r="F2088" i="7"/>
  <c r="F2089" i="7"/>
  <c r="F2090" i="7"/>
  <c r="F2091" i="7"/>
  <c r="F2092" i="7"/>
  <c r="F2093" i="7"/>
  <c r="F2094" i="7"/>
  <c r="I2094" i="7" s="1"/>
  <c r="F2095" i="7"/>
  <c r="J2094" i="7" s="1"/>
  <c r="F2096" i="7"/>
  <c r="F2097" i="7"/>
  <c r="F2098" i="7"/>
  <c r="F2099" i="7"/>
  <c r="F2100" i="7"/>
  <c r="F2101" i="7"/>
  <c r="F2102" i="7"/>
  <c r="F2103" i="7"/>
  <c r="F2104" i="7"/>
  <c r="F2105" i="7"/>
  <c r="F2106" i="7"/>
  <c r="F2107" i="7"/>
  <c r="F2108" i="7"/>
  <c r="I2108" i="7" s="1"/>
  <c r="F2109" i="7"/>
  <c r="J2108" i="7" s="1"/>
  <c r="F2110" i="7"/>
  <c r="F2111" i="7"/>
  <c r="F2112" i="7"/>
  <c r="F2113" i="7"/>
  <c r="F2114" i="7"/>
  <c r="F2115" i="7"/>
  <c r="F2116" i="7"/>
  <c r="F2117" i="7"/>
  <c r="F2118" i="7"/>
  <c r="F2119" i="7"/>
  <c r="F2120" i="7"/>
  <c r="F2121" i="7"/>
  <c r="F2122" i="7"/>
  <c r="I2122" i="7" s="1"/>
  <c r="F2123" i="7"/>
  <c r="J2122" i="7" s="1"/>
  <c r="F2124" i="7"/>
  <c r="F2125" i="7"/>
  <c r="F2126" i="7"/>
  <c r="F2127" i="7"/>
  <c r="F2128" i="7"/>
  <c r="F2129" i="7"/>
  <c r="F2130" i="7"/>
  <c r="F2131" i="7"/>
  <c r="F2132" i="7"/>
  <c r="F2133" i="7"/>
  <c r="F2134" i="7"/>
  <c r="F2135" i="7"/>
  <c r="F2136" i="7"/>
  <c r="I2136" i="7" s="1"/>
  <c r="F2137" i="7"/>
  <c r="J2136" i="7" s="1"/>
  <c r="F2138" i="7"/>
  <c r="F2139" i="7"/>
  <c r="F2140" i="7"/>
  <c r="F2141" i="7"/>
  <c r="I2141" i="7" s="1"/>
  <c r="F2142" i="7"/>
  <c r="J2141" i="7" s="1"/>
  <c r="F2143" i="7"/>
  <c r="F2144" i="7"/>
  <c r="F2145" i="7"/>
  <c r="F2146" i="7"/>
  <c r="F2147" i="7"/>
  <c r="F2148" i="7"/>
  <c r="F2149" i="7"/>
  <c r="F2150" i="7"/>
  <c r="F2151" i="7"/>
  <c r="F2152" i="7"/>
  <c r="F2153" i="7"/>
  <c r="F2154" i="7"/>
  <c r="I2154" i="7" s="1"/>
  <c r="F2155" i="7"/>
  <c r="J2154" i="7" s="1"/>
  <c r="F2156" i="7"/>
  <c r="F2157" i="7"/>
  <c r="F2158" i="7"/>
  <c r="F2159" i="7"/>
  <c r="F2160" i="7"/>
  <c r="F2161" i="7"/>
  <c r="F2162" i="7"/>
  <c r="F2163" i="7"/>
  <c r="F2164" i="7"/>
  <c r="F2165" i="7"/>
  <c r="F2166" i="7"/>
  <c r="F2167" i="7"/>
  <c r="F2168" i="7"/>
  <c r="F2169" i="7"/>
  <c r="F2170" i="7"/>
  <c r="I2170" i="7" s="1"/>
  <c r="F2171" i="7"/>
  <c r="F2172" i="7"/>
  <c r="F2173" i="7"/>
  <c r="F2174" i="7"/>
  <c r="F2175" i="7"/>
  <c r="F2176" i="7"/>
  <c r="I2176" i="7" s="1"/>
  <c r="F2177" i="7"/>
  <c r="F2178" i="7"/>
  <c r="F2179" i="7"/>
  <c r="F2180" i="7"/>
  <c r="F2181" i="7"/>
  <c r="F2182" i="7"/>
  <c r="I2182" i="7" s="1"/>
  <c r="F2183" i="7"/>
  <c r="F2184" i="7"/>
  <c r="F2185" i="7"/>
  <c r="F2186" i="7"/>
  <c r="F2187" i="7"/>
  <c r="F2188" i="7"/>
  <c r="I2188" i="7" s="1"/>
  <c r="F2189" i="7"/>
  <c r="F2190" i="7"/>
  <c r="F2191" i="7"/>
  <c r="F2192" i="7"/>
  <c r="F2193" i="7"/>
  <c r="F2194" i="7"/>
  <c r="I2194" i="7" s="1"/>
  <c r="F2195" i="7"/>
  <c r="F2196" i="7"/>
  <c r="F2197" i="7"/>
  <c r="I2197" i="7" s="1"/>
  <c r="F2198" i="7"/>
  <c r="F2199" i="7"/>
  <c r="F2200" i="7"/>
  <c r="I2200" i="7" s="1"/>
  <c r="F2201" i="7"/>
  <c r="F2202" i="7"/>
  <c r="F2203" i="7"/>
  <c r="I2203" i="7" s="1"/>
  <c r="F2204" i="7"/>
  <c r="F2205" i="7"/>
  <c r="F2206" i="7"/>
  <c r="F2207" i="7"/>
  <c r="I2207" i="7" s="1"/>
  <c r="F2208" i="7"/>
  <c r="J2207" i="7" s="1"/>
  <c r="F2209" i="7"/>
  <c r="F2210" i="7"/>
  <c r="F2211" i="7"/>
  <c r="F2212" i="7"/>
  <c r="F2213" i="7"/>
  <c r="F2214" i="7"/>
  <c r="F2215" i="7"/>
  <c r="F2216" i="7"/>
  <c r="F2217" i="7"/>
  <c r="F2218" i="7"/>
  <c r="F2219" i="7"/>
  <c r="F2220" i="7"/>
  <c r="F2221" i="7"/>
  <c r="I2221" i="7" s="1"/>
  <c r="F2222" i="7"/>
  <c r="K2221" i="7" s="1"/>
  <c r="F2223" i="7"/>
  <c r="F2224" i="7"/>
  <c r="F2225" i="7"/>
  <c r="F2226" i="7"/>
  <c r="F2227" i="7"/>
  <c r="F2228" i="7"/>
  <c r="F2229" i="7"/>
  <c r="F2230" i="7"/>
  <c r="F2231" i="7"/>
  <c r="F2232" i="7"/>
  <c r="F2233" i="7"/>
  <c r="I2233" i="7" s="1"/>
  <c r="D25" i="5" s="1"/>
  <c r="F2234" i="7"/>
  <c r="J2233" i="7" s="1"/>
  <c r="F2235" i="7"/>
  <c r="F2236" i="7"/>
  <c r="F2237" i="7"/>
  <c r="F2238" i="7"/>
  <c r="F2239" i="7"/>
  <c r="F2240" i="7"/>
  <c r="F2241" i="7"/>
  <c r="F2242" i="7"/>
  <c r="F2243" i="7"/>
  <c r="F2244" i="7"/>
  <c r="F2245" i="7"/>
  <c r="F2246" i="7"/>
  <c r="F2247" i="7"/>
  <c r="F2248" i="7"/>
  <c r="F2249" i="7"/>
  <c r="F2250" i="7"/>
  <c r="F2251" i="7"/>
  <c r="F2252" i="7"/>
  <c r="F2253" i="7"/>
  <c r="F2254" i="7"/>
  <c r="F2255" i="7"/>
  <c r="F2256" i="7"/>
  <c r="F2257" i="7"/>
  <c r="I2257" i="7" s="1"/>
  <c r="F2258" i="7"/>
  <c r="J2257" i="7" s="1"/>
  <c r="F2259" i="7"/>
  <c r="F2260" i="7"/>
  <c r="F2261" i="7"/>
  <c r="F2262" i="7"/>
  <c r="F2263" i="7"/>
  <c r="I2263" i="7" s="1"/>
  <c r="M23" i="5" s="1"/>
  <c r="F2264" i="7"/>
  <c r="J2263" i="7" s="1"/>
  <c r="F2265" i="7"/>
  <c r="F2266" i="7"/>
  <c r="F2267" i="7"/>
  <c r="F2268" i="7"/>
  <c r="F2269" i="7"/>
  <c r="F2270" i="7"/>
  <c r="F2271" i="7"/>
  <c r="F2272" i="7"/>
  <c r="F2273" i="7"/>
  <c r="I2273" i="7" s="1"/>
  <c r="F2274" i="7"/>
  <c r="J2273" i="7" s="1"/>
  <c r="F2275" i="7"/>
  <c r="F2276" i="7"/>
  <c r="F2277" i="7"/>
  <c r="F2278" i="7"/>
  <c r="F2279" i="7"/>
  <c r="F2280" i="7"/>
  <c r="F2281" i="7"/>
  <c r="F2282" i="7"/>
  <c r="F2283" i="7"/>
  <c r="F2284" i="7"/>
  <c r="F2285" i="7"/>
  <c r="F2286" i="7"/>
  <c r="F2287" i="7"/>
  <c r="F2288" i="7"/>
  <c r="F2289" i="7"/>
  <c r="F2290" i="7"/>
  <c r="F2291" i="7"/>
  <c r="I2291" i="7" s="1"/>
  <c r="F2292" i="7"/>
  <c r="J2291" i="7" s="1"/>
  <c r="F2293" i="7"/>
  <c r="F2294" i="7"/>
  <c r="F2295" i="7"/>
  <c r="F2296" i="7"/>
  <c r="F2297" i="7"/>
  <c r="F2298" i="7"/>
  <c r="F2299" i="7"/>
  <c r="F2300" i="7"/>
  <c r="F2301" i="7"/>
  <c r="F2302" i="7"/>
  <c r="F2303" i="7"/>
  <c r="F2304" i="7"/>
  <c r="F2305" i="7"/>
  <c r="I2305" i="7" s="1"/>
  <c r="F2306" i="7"/>
  <c r="K2305" i="7" s="1"/>
  <c r="F2307" i="7"/>
  <c r="F2308" i="7"/>
  <c r="F2309" i="7"/>
  <c r="F2310" i="7"/>
  <c r="F2311" i="7"/>
  <c r="F2312" i="7"/>
  <c r="F2313" i="7"/>
  <c r="F2314" i="7"/>
  <c r="F2315" i="7"/>
  <c r="F2316" i="7"/>
  <c r="I2316" i="7" s="1"/>
  <c r="F2317" i="7"/>
  <c r="J2316" i="7" s="1"/>
  <c r="F2318" i="7"/>
  <c r="F2319" i="7"/>
  <c r="F2320" i="7"/>
  <c r="F2321" i="7"/>
  <c r="F2322" i="7"/>
  <c r="F2323" i="7"/>
  <c r="F2324" i="7"/>
  <c r="F2325" i="7"/>
  <c r="F2326" i="7"/>
  <c r="F2327" i="7"/>
  <c r="F2328" i="7"/>
  <c r="F2329" i="7"/>
  <c r="F2330" i="7"/>
  <c r="F2331" i="7"/>
  <c r="F2332" i="7"/>
  <c r="F2333" i="7"/>
  <c r="F2334" i="7"/>
  <c r="F2335" i="7"/>
  <c r="I2335" i="7" s="1"/>
  <c r="F2336" i="7"/>
  <c r="J2335" i="7" s="1"/>
  <c r="F2337" i="7"/>
  <c r="F2338" i="7"/>
  <c r="F2339" i="7"/>
  <c r="F2340" i="7"/>
  <c r="F2341" i="7"/>
  <c r="F2342" i="7"/>
  <c r="F2343" i="7"/>
  <c r="F2344" i="7"/>
  <c r="F2345" i="7"/>
  <c r="I2345" i="7" s="1"/>
  <c r="F2346" i="7"/>
  <c r="J2345" i="7" s="1"/>
  <c r="F2347" i="7"/>
  <c r="F2348" i="7"/>
  <c r="I2348" i="7" s="1"/>
  <c r="F2349" i="7"/>
  <c r="J2348" i="7" s="1"/>
  <c r="F2350" i="7"/>
  <c r="F2351" i="7"/>
  <c r="F2352" i="7"/>
  <c r="F2353" i="7"/>
  <c r="F2354" i="7"/>
  <c r="F2355" i="7"/>
  <c r="F2356" i="7"/>
  <c r="F2357" i="7"/>
  <c r="F2358" i="7"/>
  <c r="F2359" i="7"/>
  <c r="F2360" i="7"/>
  <c r="F2361" i="7"/>
  <c r="F2362" i="7"/>
  <c r="I2362" i="7" s="1"/>
  <c r="F2363" i="7"/>
  <c r="J2362" i="7" s="1"/>
  <c r="F2364" i="7"/>
  <c r="F2365" i="7"/>
  <c r="F2366" i="7"/>
  <c r="F2367" i="7"/>
  <c r="F2368" i="7"/>
  <c r="F2369" i="7"/>
  <c r="F2370" i="7"/>
  <c r="F2371" i="7"/>
  <c r="F2372" i="7"/>
  <c r="F2373" i="7"/>
  <c r="F2374" i="7"/>
  <c r="F2375" i="7"/>
  <c r="F2376" i="7"/>
  <c r="F2377" i="7"/>
  <c r="F2378" i="7"/>
  <c r="F2379" i="7"/>
  <c r="F2380" i="7"/>
  <c r="F2381" i="7"/>
  <c r="F2382" i="7"/>
  <c r="F2383" i="7"/>
  <c r="F2384" i="7"/>
  <c r="F2385" i="7"/>
  <c r="F2386" i="7"/>
  <c r="F2387" i="7"/>
  <c r="F2388" i="7"/>
  <c r="F2389" i="7"/>
  <c r="F2390" i="7"/>
  <c r="I2390" i="7" s="1"/>
  <c r="F2391" i="7"/>
  <c r="J2390" i="7" s="1"/>
  <c r="F2392" i="7"/>
  <c r="F2393" i="7"/>
  <c r="F2394" i="7"/>
  <c r="F2395" i="7"/>
  <c r="F2396" i="7"/>
  <c r="F2397" i="7"/>
  <c r="F2398" i="7"/>
  <c r="I2398" i="7" s="1"/>
  <c r="F2399" i="7"/>
  <c r="J2398" i="7" s="1"/>
  <c r="F2400" i="7"/>
  <c r="F2401" i="7"/>
  <c r="F2402" i="7"/>
  <c r="I2402" i="7" s="1"/>
  <c r="F2403" i="7"/>
  <c r="K2402" i="7" s="1"/>
  <c r="F2404" i="7"/>
  <c r="F2405" i="7"/>
  <c r="I2405" i="7" s="1"/>
  <c r="F2406" i="7"/>
  <c r="J2405" i="7" s="1"/>
  <c r="F2407" i="7"/>
  <c r="F2408" i="7"/>
  <c r="F2409" i="7"/>
  <c r="F2410" i="7"/>
  <c r="F2411" i="7"/>
  <c r="I2411" i="7" s="1"/>
  <c r="F2412" i="7"/>
  <c r="K2411" i="7" s="1"/>
  <c r="O24" i="5" s="1"/>
  <c r="F2413" i="7"/>
  <c r="F2414" i="7"/>
  <c r="F2415" i="7"/>
  <c r="I2415" i="7" s="1"/>
  <c r="F2416" i="7"/>
  <c r="J2415" i="7" s="1"/>
  <c r="F2417" i="7"/>
  <c r="F2418" i="7"/>
  <c r="F2419" i="7"/>
  <c r="F2420" i="7"/>
  <c r="F2421" i="7"/>
  <c r="F2422" i="7"/>
  <c r="F2423" i="7"/>
  <c r="F2424" i="7"/>
  <c r="F2425" i="7"/>
  <c r="F2426" i="7"/>
  <c r="F2427" i="7"/>
  <c r="F2428" i="7"/>
  <c r="F2429" i="7"/>
  <c r="F2430" i="7"/>
  <c r="F2431" i="7"/>
  <c r="I2431" i="7" s="1"/>
  <c r="F2432" i="7"/>
  <c r="J2431" i="7" s="1"/>
  <c r="F2433" i="7"/>
  <c r="F2434" i="7"/>
  <c r="F2435" i="7"/>
  <c r="F2436" i="7"/>
  <c r="F2437" i="7"/>
  <c r="F2438" i="7"/>
  <c r="F2439" i="7"/>
  <c r="F2440" i="7"/>
  <c r="F2441" i="7"/>
  <c r="F2442" i="7"/>
  <c r="F2443" i="7"/>
  <c r="F2444" i="7"/>
  <c r="F2445" i="7"/>
  <c r="F2446" i="7"/>
  <c r="F2447" i="7"/>
  <c r="F2448" i="7"/>
  <c r="F2449" i="7"/>
  <c r="F2450" i="7"/>
  <c r="F2451" i="7"/>
  <c r="F2452" i="7"/>
  <c r="F2453" i="7"/>
  <c r="F2454" i="7"/>
  <c r="I2454" i="7" s="1"/>
  <c r="F2455" i="7"/>
  <c r="F2456" i="7"/>
  <c r="F2457" i="7"/>
  <c r="F2458" i="7"/>
  <c r="F2459" i="7"/>
  <c r="I2459" i="7" s="1"/>
  <c r="F2460" i="7"/>
  <c r="F2461" i="7"/>
  <c r="F2462" i="7"/>
  <c r="F2463" i="7"/>
  <c r="F2464" i="7"/>
  <c r="F2465" i="7"/>
  <c r="F2466" i="7"/>
  <c r="F2467" i="7"/>
  <c r="F2468" i="7"/>
  <c r="I2468" i="7" s="1"/>
  <c r="F2469" i="7"/>
  <c r="F2470" i="7"/>
  <c r="F2471" i="7"/>
  <c r="F2472" i="7"/>
  <c r="I2472" i="7" s="1"/>
  <c r="F2473" i="7"/>
  <c r="F2474" i="7"/>
  <c r="F2475" i="7"/>
  <c r="F2476" i="7"/>
  <c r="F2477" i="7"/>
  <c r="F2478" i="7"/>
  <c r="F2479" i="7"/>
  <c r="F2480" i="7"/>
  <c r="F2481" i="7"/>
  <c r="F2482" i="7"/>
  <c r="F2483" i="7"/>
  <c r="I2483" i="7" s="1"/>
  <c r="F2484" i="7"/>
  <c r="F2485" i="7"/>
  <c r="F2486" i="7"/>
  <c r="F2487" i="7"/>
  <c r="F2488" i="7"/>
  <c r="F2489" i="7"/>
  <c r="F2490" i="7"/>
  <c r="F2491" i="7"/>
  <c r="F2492" i="7"/>
  <c r="F2493" i="7"/>
  <c r="F2494" i="7"/>
  <c r="I2494" i="7" s="1"/>
  <c r="F2495" i="7"/>
  <c r="F2496" i="7"/>
  <c r="F2497" i="7"/>
  <c r="F2498" i="7"/>
  <c r="F2499" i="7"/>
  <c r="F2500" i="7"/>
  <c r="F2501" i="7"/>
  <c r="F2502" i="7"/>
  <c r="F2503" i="7"/>
  <c r="F2504" i="7"/>
  <c r="F2505" i="7"/>
  <c r="I2505" i="7" s="1"/>
  <c r="F2506" i="7"/>
  <c r="F2507" i="7"/>
  <c r="F2508" i="7"/>
  <c r="F2509" i="7"/>
  <c r="F2510" i="7"/>
  <c r="F2511" i="7"/>
  <c r="F2512" i="7"/>
  <c r="F2513" i="7"/>
  <c r="F2514" i="7"/>
  <c r="F2515" i="7"/>
  <c r="F2516" i="7"/>
  <c r="I2516" i="7" s="1"/>
  <c r="F2517" i="7"/>
  <c r="F2518" i="7"/>
  <c r="I2518" i="7" s="1"/>
  <c r="I25" i="5" s="1"/>
  <c r="F2519" i="7"/>
  <c r="J2518" i="7" s="1"/>
  <c r="H10" i="5" s="1"/>
  <c r="F2520" i="7"/>
  <c r="F2521" i="7"/>
  <c r="F2522" i="7"/>
  <c r="F2523" i="7"/>
  <c r="F2524" i="7"/>
  <c r="F2525" i="7"/>
  <c r="F2526" i="7"/>
  <c r="F2527" i="7"/>
  <c r="F2528" i="7"/>
  <c r="F2529" i="7"/>
  <c r="F2530" i="7"/>
  <c r="I2530" i="7" s="1"/>
  <c r="L27" i="5" s="1"/>
  <c r="F2531" i="7"/>
  <c r="J2530" i="7" s="1"/>
  <c r="C11" i="4" s="1"/>
  <c r="F2532" i="7"/>
  <c r="F2533" i="7"/>
  <c r="F2534" i="7"/>
  <c r="F2535" i="7"/>
  <c r="F2536" i="7"/>
  <c r="F2537" i="7"/>
  <c r="I2537" i="7" s="1"/>
  <c r="F2538" i="7"/>
  <c r="J2537" i="7" s="1"/>
  <c r="F2539" i="7"/>
  <c r="F2540" i="7"/>
  <c r="F2541" i="7"/>
  <c r="F2542" i="7"/>
  <c r="I2542" i="7" s="1"/>
  <c r="F2543" i="7"/>
  <c r="J2542" i="7" s="1"/>
  <c r="F2544" i="7"/>
  <c r="F2545" i="7"/>
  <c r="F2546" i="7"/>
  <c r="F2547" i="7"/>
  <c r="F2548" i="7"/>
  <c r="I2548" i="7" s="1"/>
  <c r="F2549" i="7"/>
  <c r="F2550" i="7"/>
  <c r="I2550" i="7" s="1"/>
  <c r="F2551" i="7"/>
  <c r="F2552" i="7"/>
  <c r="I2552" i="7" s="1"/>
  <c r="F2553" i="7"/>
  <c r="J2552" i="7" s="1"/>
  <c r="F2554" i="7"/>
  <c r="F2555" i="7"/>
  <c r="F2556" i="7"/>
  <c r="F2557" i="7"/>
  <c r="F2558" i="7"/>
  <c r="F2559" i="7"/>
  <c r="F2560" i="7"/>
  <c r="F2561" i="7"/>
  <c r="F2562" i="7"/>
  <c r="F2563" i="7"/>
  <c r="F2564" i="7"/>
  <c r="F2565" i="7"/>
  <c r="F2566" i="7"/>
  <c r="F2567" i="7"/>
  <c r="F2568" i="7"/>
  <c r="I2568" i="7" s="1"/>
  <c r="F2569" i="7"/>
  <c r="J2568" i="7" s="1"/>
  <c r="F2570" i="7"/>
  <c r="F2571" i="7"/>
  <c r="F2572" i="7"/>
  <c r="F2573" i="7"/>
  <c r="F2574" i="7"/>
  <c r="F2575" i="7"/>
  <c r="I2575" i="7" s="1"/>
  <c r="F2576" i="7"/>
  <c r="J2575" i="7" s="1"/>
  <c r="F2577" i="7"/>
  <c r="F2578" i="7"/>
  <c r="F2579" i="7"/>
  <c r="F2580" i="7"/>
  <c r="F2581" i="7"/>
  <c r="F2582" i="7"/>
  <c r="F2583" i="7"/>
  <c r="F2584" i="7"/>
  <c r="F2585" i="7"/>
  <c r="F2586" i="7"/>
  <c r="F2587" i="7"/>
  <c r="F2588" i="7"/>
  <c r="F2589" i="7"/>
  <c r="F2590" i="7"/>
  <c r="F2591" i="7"/>
  <c r="I2591" i="7" s="1"/>
  <c r="D10" i="5" l="1"/>
  <c r="G8" i="5"/>
  <c r="L8" i="5"/>
  <c r="N10" i="5"/>
  <c r="L9" i="5"/>
  <c r="I22" i="5"/>
  <c r="F6" i="5"/>
  <c r="I7" i="5"/>
  <c r="G23" i="5"/>
  <c r="D23" i="5"/>
  <c r="G21" i="5"/>
  <c r="K21" i="5"/>
  <c r="C5" i="3"/>
  <c r="J24" i="5"/>
  <c r="I21" i="5"/>
  <c r="D21" i="5"/>
  <c r="K8" i="5"/>
  <c r="K19" i="5"/>
  <c r="H19" i="5"/>
  <c r="G19" i="5"/>
  <c r="F23" i="5"/>
  <c r="B5" i="3"/>
  <c r="N22" i="5"/>
  <c r="D9" i="5"/>
  <c r="L19" i="5"/>
  <c r="L23" i="5"/>
  <c r="J19" i="5"/>
  <c r="D19" i="5"/>
  <c r="O9" i="5"/>
  <c r="L21" i="5"/>
  <c r="O10" i="5"/>
  <c r="J4" i="5"/>
  <c r="J22" i="5"/>
  <c r="F4" i="5"/>
  <c r="D7" i="5"/>
  <c r="H8" i="5"/>
  <c r="H9" i="5"/>
  <c r="N24" i="5"/>
  <c r="N21" i="5"/>
  <c r="F10" i="5"/>
  <c r="G4" i="5"/>
  <c r="O8" i="5"/>
  <c r="N19" i="5"/>
  <c r="G25" i="5"/>
  <c r="N9" i="5"/>
  <c r="F14" i="3"/>
  <c r="K7" i="5"/>
  <c r="J20" i="5"/>
  <c r="I8" i="5"/>
  <c r="H23" i="5"/>
  <c r="D6" i="5"/>
  <c r="M6" i="5"/>
  <c r="M9" i="5"/>
  <c r="I24" i="5"/>
  <c r="F25" i="5"/>
  <c r="I9" i="5"/>
  <c r="N23" i="5"/>
  <c r="M24" i="5"/>
  <c r="F8" i="5"/>
  <c r="D4" i="5"/>
  <c r="H21" i="5"/>
  <c r="F24" i="5"/>
  <c r="L6" i="5"/>
  <c r="I23" i="5"/>
  <c r="H22" i="5"/>
  <c r="M8" i="5"/>
  <c r="J23" i="5"/>
  <c r="H6" i="5"/>
  <c r="J5" i="5"/>
  <c r="E8" i="5"/>
  <c r="K23" i="5"/>
  <c r="F6" i="3"/>
  <c r="E6" i="5"/>
  <c r="F16" i="3"/>
  <c r="I6" i="5"/>
  <c r="K6" i="5"/>
  <c r="K22" i="5"/>
  <c r="I4" i="5"/>
  <c r="K12" i="5"/>
  <c r="F7" i="5"/>
  <c r="F5" i="3"/>
  <c r="D22" i="5"/>
  <c r="B3" i="4"/>
  <c r="K24" i="5"/>
  <c r="M7" i="5"/>
  <c r="G10" i="5"/>
  <c r="B12" i="3"/>
  <c r="M4" i="5"/>
  <c r="L22" i="5"/>
  <c r="F10" i="3"/>
  <c r="I19" i="5"/>
  <c r="F11" i="3"/>
  <c r="N20" i="5"/>
  <c r="F7" i="3"/>
  <c r="B13" i="3"/>
  <c r="B10" i="3"/>
  <c r="B11" i="3"/>
  <c r="B8" i="3"/>
  <c r="B7" i="3"/>
  <c r="E16" i="3"/>
  <c r="B14" i="3"/>
  <c r="B9" i="3"/>
  <c r="E12" i="3"/>
  <c r="E8" i="3"/>
  <c r="E14" i="3"/>
  <c r="E5" i="3"/>
  <c r="B15" i="3"/>
  <c r="E13" i="3"/>
  <c r="E10" i="3"/>
  <c r="E7" i="3"/>
  <c r="B6" i="3"/>
  <c r="E9" i="3"/>
  <c r="E11" i="3"/>
  <c r="B16" i="3"/>
  <c r="E6" i="3"/>
  <c r="E15" i="3"/>
  <c r="E3" i="4"/>
  <c r="C10" i="4"/>
  <c r="C4" i="4"/>
  <c r="B11" i="4"/>
  <c r="D11" i="4" s="1"/>
  <c r="F7" i="4"/>
  <c r="F6" i="4"/>
  <c r="C8" i="4"/>
  <c r="E9" i="4"/>
  <c r="B8" i="4"/>
  <c r="C12" i="3"/>
  <c r="C6" i="4"/>
  <c r="C16" i="3"/>
  <c r="C7" i="4"/>
  <c r="F9" i="4"/>
  <c r="C9" i="4"/>
  <c r="C3" i="4"/>
  <c r="B9" i="4"/>
  <c r="E11" i="4"/>
  <c r="G11" i="4" s="1"/>
  <c r="E4" i="4"/>
  <c r="G4" i="4" s="1"/>
  <c r="B4" i="4"/>
  <c r="C9" i="3"/>
  <c r="C11" i="3"/>
  <c r="C6" i="3"/>
  <c r="B6" i="4"/>
  <c r="C13" i="3"/>
  <c r="C10" i="3"/>
  <c r="B7" i="4"/>
  <c r="E7" i="4"/>
  <c r="C5" i="4"/>
  <c r="E6" i="4"/>
  <c r="E5" i="4"/>
  <c r="G5" i="4" s="1"/>
  <c r="B5" i="4"/>
  <c r="C15" i="3"/>
  <c r="B10" i="4"/>
  <c r="E10" i="4"/>
  <c r="G10" i="4" s="1"/>
  <c r="F3" i="4"/>
  <c r="E8" i="4"/>
  <c r="C14" i="3"/>
  <c r="C7" i="3"/>
  <c r="B12" i="4"/>
  <c r="D12" i="4" s="1"/>
  <c r="C8" i="3"/>
  <c r="F8" i="4"/>
  <c r="E12" i="4"/>
  <c r="G12" i="4" s="1"/>
  <c r="G9" i="3"/>
  <c r="G12" i="3"/>
  <c r="G8" i="3"/>
  <c r="D10" i="4" l="1"/>
  <c r="D12" i="3"/>
  <c r="D16" i="3"/>
  <c r="D10" i="3"/>
  <c r="G13" i="3"/>
  <c r="G5" i="3"/>
  <c r="D6" i="3"/>
  <c r="D9" i="3"/>
  <c r="G10" i="3"/>
  <c r="G15" i="3"/>
  <c r="D14" i="3"/>
  <c r="D15" i="3"/>
  <c r="G14" i="3"/>
  <c r="D11" i="3"/>
  <c r="G9" i="4"/>
  <c r="G7" i="3"/>
  <c r="G8" i="4"/>
  <c r="G7" i="4"/>
  <c r="G6" i="3"/>
  <c r="D9" i="4"/>
  <c r="D8" i="4"/>
  <c r="D13" i="3"/>
  <c r="D7" i="3"/>
  <c r="D8" i="3"/>
  <c r="G11" i="3"/>
  <c r="G16" i="3"/>
  <c r="D4" i="4"/>
  <c r="D3" i="4"/>
  <c r="D6" i="4"/>
  <c r="D5" i="4"/>
  <c r="D7" i="4"/>
  <c r="G6" i="4"/>
  <c r="D5" i="3"/>
  <c r="G3" i="4"/>
</calcChain>
</file>

<file path=xl/connections.xml><?xml version="1.0" encoding="utf-8"?>
<connections xmlns="http://schemas.openxmlformats.org/spreadsheetml/2006/main">
  <connection id="1" keepAlive="1" name="Запрос — Таблицаx" description="Соединение с запросом &quot;Таблицаx&quot; в книге." type="5" refreshedVersion="6" background="1" saveData="1">
    <dbPr connection="Provider=Microsoft.Mashup.OleDb.1;Data Source=$Workbook$;Location=Таблицаx;Extended Properties=&quot;&quot;" command="SELECT * FROM [Таблицаx]"/>
  </connection>
</connections>
</file>

<file path=xl/sharedStrings.xml><?xml version="1.0" encoding="utf-8"?>
<sst xmlns="http://schemas.openxmlformats.org/spreadsheetml/2006/main" count="6687" uniqueCount="70">
  <si>
    <t>id</t>
  </si>
  <si>
    <t>month</t>
  </si>
  <si>
    <t>AM</t>
  </si>
  <si>
    <t>ноябрь 2022</t>
  </si>
  <si>
    <t>Васильев Артем Александрович</t>
  </si>
  <si>
    <t>Михайлов Андрей Сергеевич</t>
  </si>
  <si>
    <t>Соколова Анастасия Викторовна</t>
  </si>
  <si>
    <t>Иванова Мария Сергеевна</t>
  </si>
  <si>
    <t>Попова Екатерина Николаевна</t>
  </si>
  <si>
    <t>декабрь 2022</t>
  </si>
  <si>
    <t>Смирнова Ольга Владимировна</t>
  </si>
  <si>
    <t>Кузнецов Михаил Иванович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</si>
  <si>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</si>
  <si>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</si>
  <si>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</si>
  <si>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</si>
  <si>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</si>
  <si>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</si>
  <si>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</si>
  <si>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без А/М</t>
  </si>
  <si>
    <t>август 2023</t>
  </si>
  <si>
    <t>сентябрь 2023</t>
  </si>
  <si>
    <t>октябрь 2023</t>
  </si>
  <si>
    <t>ноябрь 2023</t>
  </si>
  <si>
    <t>Петрова Анна Дмитриевна</t>
  </si>
  <si>
    <t>декабрь 2023</t>
  </si>
  <si>
    <t>Федорова Марина Васильевна</t>
  </si>
  <si>
    <t>Причина дубля</t>
  </si>
  <si>
    <t>Ноябрь 2022</t>
  </si>
  <si>
    <t>Декабрь 2022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</si>
  <si>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</si>
  <si>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</si>
  <si>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</si>
  <si>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</si>
  <si>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</si>
  <si>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</si>
  <si>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</si>
  <si>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</si>
  <si>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</si>
  <si>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</si>
  <si>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</si>
  <si>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</si>
  <si>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Январь 2024</t>
  </si>
  <si>
    <t>Февраль 2024</t>
  </si>
  <si>
    <t>Account</t>
  </si>
  <si>
    <t>первая часть оплаты</t>
  </si>
  <si>
    <t>стоп</t>
  </si>
  <si>
    <t>вторая часть оплаты</t>
  </si>
  <si>
    <t>в ноль</t>
  </si>
  <si>
    <t>изменение ЮЛ</t>
  </si>
  <si>
    <t>доп работы</t>
  </si>
  <si>
    <t>end</t>
  </si>
  <si>
    <t>основные работы</t>
  </si>
  <si>
    <t>карты, банки</t>
  </si>
  <si>
    <t>Месяц</t>
  </si>
  <si>
    <t>Пролонгация в первый месяц</t>
  </si>
  <si>
    <t>Пролонгация во второй месяц</t>
  </si>
  <si>
    <t>к пролонгации</t>
  </si>
  <si>
    <t>пролонгировано</t>
  </si>
  <si>
    <t>Коэффицент</t>
  </si>
  <si>
    <t>Менеджер</t>
  </si>
  <si>
    <t>Коэффицент 1</t>
  </si>
  <si>
    <t>Коэффицент 2</t>
  </si>
  <si>
    <t>Значение</t>
  </si>
  <si>
    <t>Значения числа</t>
  </si>
  <si>
    <t>Значение окончания</t>
  </si>
  <si>
    <t>Месяц окончания</t>
  </si>
  <si>
    <t>month (prolongations)</t>
  </si>
  <si>
    <t>Значение пролонгации2</t>
  </si>
  <si>
    <t>Значение пролонгации1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</si>
</sst>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 &quot;mmmm&quot; &quot;yyyy&quot; г.&quot;"/>
    <numFmt numFmtId="165" formatCode="[$-419]mmmm\ yyyy;@"/>
  </numFmts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name val="Arial"/>
    </font>
    <font>
      <sz val="10"/>
      <color rgb="FF000000"/>
      <name val="Arial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4" fontId="1" fillId="0" borderId="0" xfId="0" applyNumberFormat="1" applyFont="1" applyAlignment="1">
      <alignment horizontal="right"/>
    </xf>
    <xf numFmtId="0" fontId="2" fillId="2" borderId="6" xfId="0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0" fontId="0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165" fontId="0" fillId="0" borderId="0" xfId="0" applyNumberFormat="1" applyFont="1" applyAlignment="1">
      <alignment horizontal="left" vertical="top"/>
    </xf>
    <xf numFmtId="0" fontId="2" fillId="3" borderId="0" xfId="0" applyFont="1" applyFill="1" applyBorder="1" applyAlignment="1">
      <alignment horizontal="center" vertical="center"/>
    </xf>
    <xf numFmtId="0" fontId="1" fillId="3" borderId="0" xfId="0" applyFont="1" applyFill="1" applyAlignment="1"/>
    <xf numFmtId="0" fontId="0" fillId="3" borderId="0" xfId="0" applyFont="1" applyFill="1" applyAlignment="1"/>
    <xf numFmtId="0" fontId="2" fillId="2" borderId="1" xfId="0" applyFont="1" applyFill="1" applyBorder="1" applyAlignment="1">
      <alignment horizontal="center" vertical="center"/>
    </xf>
    <xf numFmtId="0" fontId="3" fillId="0" borderId="5" xfId="0" applyFont="1" applyBorder="1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2" borderId="9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</cellXfs>
  <cellStyles count="1">
    <cellStyle name="Обычный" xfId="0" builtinId="0"/>
  </cellStyles>
  <dxfs count="62">
    <dxf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5" formatCode="[$-419]mmmm\ yyyy;@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5" formatCode="[$-419]mmmm\ yyyy;@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Коэффицент пролонгации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'Весь отдел'!$B$1:$D$1</c:f>
              <c:strCache>
                <c:ptCount val="1"/>
                <c:pt idx="0">
                  <c:v>Пролонгация в первый месяц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'Весь отдел'!$A$3:$A$16</c15:sqref>
                  </c15:fullRef>
                </c:ext>
              </c:extLst>
              <c:f>'Весь отдел'!$A$5:$A$16</c:f>
              <c:numCache>
                <c:formatCode>" "mmmm" "yyyy" г."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'Весь отдел'!$D$3:$D$16</c15:sqref>
                  </c15:fullRef>
                </c:ext>
              </c:extLst>
              <c:f>'Весь отдел'!$D$5:$D$16</c:f>
              <c:numCache>
                <c:formatCode>General</c:formatCode>
                <c:ptCount val="12"/>
                <c:pt idx="0">
                  <c:v>0.43188363109232553</c:v>
                </c:pt>
                <c:pt idx="1">
                  <c:v>0.18219423468923499</c:v>
                </c:pt>
                <c:pt idx="2">
                  <c:v>0.66486881798164987</c:v>
                </c:pt>
                <c:pt idx="3">
                  <c:v>0.40790471317676436</c:v>
                </c:pt>
                <c:pt idx="4">
                  <c:v>0.40947818375275219</c:v>
                </c:pt>
                <c:pt idx="5">
                  <c:v>0.10215402857518308</c:v>
                </c:pt>
                <c:pt idx="6">
                  <c:v>0.26115425395105685</c:v>
                </c:pt>
                <c:pt idx="7">
                  <c:v>0.34730955215536063</c:v>
                </c:pt>
                <c:pt idx="8">
                  <c:v>0.43836631149297034</c:v>
                </c:pt>
                <c:pt idx="9">
                  <c:v>0.86185493654237821</c:v>
                </c:pt>
                <c:pt idx="10">
                  <c:v>0.66872426787485983</c:v>
                </c:pt>
                <c:pt idx="11">
                  <c:v>0.20297453476089466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9C-4C42-A0B1-FFBA51713F08}"/>
            </c:ext>
          </c:extLst>
        </c:ser>
        <c:ser>
          <c:idx val="5"/>
          <c:order val="5"/>
          <c:tx>
            <c:strRef>
              <c:f>'Весь отдел'!$E$1:$G$1</c:f>
              <c:strCache>
                <c:ptCount val="1"/>
                <c:pt idx="0">
                  <c:v>Пролонгация во второй месяц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'Весь отдел'!$A$3:$A$16</c15:sqref>
                  </c15:fullRef>
                </c:ext>
              </c:extLst>
              <c:f>'Весь отдел'!$A$5:$A$16</c:f>
              <c:numCache>
                <c:formatCode>" "mmmm" "yyyy" г."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'Весь отдел'!$G$3:$G$16</c15:sqref>
                  </c15:fullRef>
                </c:ext>
              </c:extLst>
              <c:f>'Весь отдел'!$G$5:$G$16</c:f>
              <c:numCache>
                <c:formatCode>General</c:formatCode>
                <c:ptCount val="12"/>
                <c:pt idx="0">
                  <c:v>3.8641817524048452E-2</c:v>
                </c:pt>
                <c:pt idx="1">
                  <c:v>4.3866749138783072E-2</c:v>
                </c:pt>
                <c:pt idx="2">
                  <c:v>0.1633897652151215</c:v>
                </c:pt>
                <c:pt idx="3">
                  <c:v>1.5922794801974016E-2</c:v>
                </c:pt>
                <c:pt idx="4">
                  <c:v>0</c:v>
                </c:pt>
                <c:pt idx="5">
                  <c:v>2.5539303555273347E-2</c:v>
                </c:pt>
                <c:pt idx="6">
                  <c:v>9.2517610351980056E-2</c:v>
                </c:pt>
                <c:pt idx="7">
                  <c:v>0</c:v>
                </c:pt>
                <c:pt idx="8">
                  <c:v>0</c:v>
                </c:pt>
                <c:pt idx="9">
                  <c:v>3.8763390011298235E-2</c:v>
                </c:pt>
                <c:pt idx="10">
                  <c:v>0</c:v>
                </c:pt>
                <c:pt idx="11">
                  <c:v>0.14475312203438739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E9C-4C42-A0B1-FFBA51713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9433248"/>
        <c:axId val="96943029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'Весь отдел'!$B$1:$B$2</c15:sqref>
                        </c15:formulaRef>
                      </c:ext>
                    </c:extLst>
                    <c:strCache>
                      <c:ptCount val="2"/>
                      <c:pt idx="0">
                        <c:v>Пролонгация в первый месяц</c:v>
                      </c:pt>
                      <c:pt idx="1">
                        <c:v>к пролонгации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ullRef>
                          <c15:sqref>'Весь отдел'!$A$3:$A$16</c15:sqref>
                        </c15:fullRef>
                        <c15:formulaRef>
                          <c15:sqref>'Весь отдел'!$A$5:$A$16</c15:sqref>
                        </c15:formulaRef>
                      </c:ext>
                    </c:extLst>
                    <c:numCache>
                      <c:formatCode>" "mmmm" "yyyy" г."</c:formatCode>
                      <c:ptCount val="12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'Весь отдел'!$B$3:$B$16</c15:sqref>
                        </c15:fullRef>
                        <c15:formulaRef>
                          <c15:sqref>'Весь отдел'!$B$5:$B$16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5986766.8599999994</c:v>
                      </c:pt>
                      <c:pt idx="1">
                        <c:v>752795.5</c:v>
                      </c:pt>
                      <c:pt idx="2">
                        <c:v>1114126.02</c:v>
                      </c:pt>
                      <c:pt idx="3">
                        <c:v>2147978</c:v>
                      </c:pt>
                      <c:pt idx="4">
                        <c:v>1512668.5</c:v>
                      </c:pt>
                      <c:pt idx="5">
                        <c:v>1025588.5299999999</c:v>
                      </c:pt>
                      <c:pt idx="6">
                        <c:v>1153571.1000000001</c:v>
                      </c:pt>
                      <c:pt idx="7">
                        <c:v>1222393.33</c:v>
                      </c:pt>
                      <c:pt idx="8">
                        <c:v>2115914.0100000002</c:v>
                      </c:pt>
                      <c:pt idx="9">
                        <c:v>1663092.58</c:v>
                      </c:pt>
                      <c:pt idx="10">
                        <c:v>1075209.97</c:v>
                      </c:pt>
                      <c:pt idx="11">
                        <c:v>1119808.06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E9C-4C42-A0B1-FFBA51713F08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'Весь отдел'!$C$1:$C$2</c15:sqref>
                        </c15:formulaRef>
                      </c:ext>
                    </c:extLst>
                    <c:strCache>
                      <c:ptCount val="2"/>
                      <c:pt idx="0">
                        <c:v>Пролонгация в первый месяц</c:v>
                      </c:pt>
                      <c:pt idx="1">
                        <c:v>пролонгировано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'Весь отдел'!$A$3:$A$16</c15:sqref>
                        </c15:fullRef>
                        <c15:formulaRef>
                          <c15:sqref>'Весь отдел'!$A$5:$A$16</c15:sqref>
                        </c15:formulaRef>
                      </c:ext>
                    </c:extLst>
                    <c:numCache>
                      <c:formatCode>" "mmmm" "yyyy" г."</c:formatCode>
                      <c:ptCount val="12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'Весь отдел'!$C$3:$C$16</c15:sqref>
                        </c15:fullRef>
                        <c15:formulaRef>
                          <c15:sqref>'Весь отдел'!$C$5:$C$16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2585586.61</c:v>
                      </c:pt>
                      <c:pt idx="1">
                        <c:v>137155</c:v>
                      </c:pt>
                      <c:pt idx="2">
                        <c:v>740747.65</c:v>
                      </c:pt>
                      <c:pt idx="3">
                        <c:v>876170.35</c:v>
                      </c:pt>
                      <c:pt idx="4">
                        <c:v>619404.75</c:v>
                      </c:pt>
                      <c:pt idx="5">
                        <c:v>104768</c:v>
                      </c:pt>
                      <c:pt idx="6">
                        <c:v>301260</c:v>
                      </c:pt>
                      <c:pt idx="7">
                        <c:v>424548.88</c:v>
                      </c:pt>
                      <c:pt idx="8">
                        <c:v>927545.42</c:v>
                      </c:pt>
                      <c:pt idx="9">
                        <c:v>1433344.55</c:v>
                      </c:pt>
                      <c:pt idx="10">
                        <c:v>719019</c:v>
                      </c:pt>
                      <c:pt idx="11">
                        <c:v>227292.52000000002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E9C-4C42-A0B1-FFBA51713F0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'Весь отдел'!$E$1:$E$2</c15:sqref>
                        </c15:formulaRef>
                      </c:ext>
                    </c:extLst>
                    <c:strCache>
                      <c:ptCount val="2"/>
                      <c:pt idx="0">
                        <c:v>Пролонгация во второй месяц</c:v>
                      </c:pt>
                      <c:pt idx="1">
                        <c:v>к пролонгации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'Весь отдел'!$A$3:$A$16</c15:sqref>
                        </c15:fullRef>
                        <c15:formulaRef>
                          <c15:sqref>'Весь отдел'!$A$5:$A$16</c15:sqref>
                        </c15:formulaRef>
                      </c:ext>
                    </c:extLst>
                    <c:numCache>
                      <c:formatCode>" "mmmm" "yyyy" г."</c:formatCode>
                      <c:ptCount val="12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'Весь отдел'!$E$3:$E$16</c15:sqref>
                        </c15:fullRef>
                        <c15:formulaRef>
                          <c15:sqref>'Весь отдел'!$E$5:$E$16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1898979</c:v>
                      </c:pt>
                      <c:pt idx="1">
                        <c:v>5986766.8599999994</c:v>
                      </c:pt>
                      <c:pt idx="2">
                        <c:v>752795.5</c:v>
                      </c:pt>
                      <c:pt idx="3">
                        <c:v>1114126.02</c:v>
                      </c:pt>
                      <c:pt idx="4">
                        <c:v>2147978</c:v>
                      </c:pt>
                      <c:pt idx="5">
                        <c:v>1512668.5</c:v>
                      </c:pt>
                      <c:pt idx="6">
                        <c:v>1025588.5299999999</c:v>
                      </c:pt>
                      <c:pt idx="7">
                        <c:v>1153571.1000000001</c:v>
                      </c:pt>
                      <c:pt idx="8">
                        <c:v>1222393.33</c:v>
                      </c:pt>
                      <c:pt idx="9">
                        <c:v>2115914.0100000002</c:v>
                      </c:pt>
                      <c:pt idx="10">
                        <c:v>1663092.58</c:v>
                      </c:pt>
                      <c:pt idx="11">
                        <c:v>1075209.97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E9C-4C42-A0B1-FFBA51713F0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'Весь отдел'!$F$1:$F$2</c15:sqref>
                        </c15:formulaRef>
                      </c:ext>
                    </c:extLst>
                    <c:strCache>
                      <c:ptCount val="2"/>
                      <c:pt idx="0">
                        <c:v>Пролонгация во второй месяц</c:v>
                      </c:pt>
                      <c:pt idx="1">
                        <c:v>пролонгировано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'Весь отдел'!$A$3:$A$16</c15:sqref>
                        </c15:fullRef>
                        <c15:formulaRef>
                          <c15:sqref>'Весь отдел'!$A$5:$A$16</c15:sqref>
                        </c15:formulaRef>
                      </c:ext>
                    </c:extLst>
                    <c:numCache>
                      <c:formatCode>" "mmmm" "yyyy" г."</c:formatCode>
                      <c:ptCount val="12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'Весь отдел'!$F$3:$F$16</c15:sqref>
                        </c15:fullRef>
                        <c15:formulaRef>
                          <c15:sqref>'Весь отдел'!$F$5:$F$16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73380</c:v>
                      </c:pt>
                      <c:pt idx="1">
                        <c:v>262620</c:v>
                      </c:pt>
                      <c:pt idx="2">
                        <c:v>122999.08</c:v>
                      </c:pt>
                      <c:pt idx="3">
                        <c:v>17740</c:v>
                      </c:pt>
                      <c:pt idx="4">
                        <c:v>0</c:v>
                      </c:pt>
                      <c:pt idx="5">
                        <c:v>38632.5</c:v>
                      </c:pt>
                      <c:pt idx="6">
                        <c:v>94885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82020</c:v>
                      </c:pt>
                      <c:pt idx="10">
                        <c:v>0</c:v>
                      </c:pt>
                      <c:pt idx="11">
                        <c:v>155640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3E9C-4C42-A0B1-FFBA51713F08}"/>
                  </c:ext>
                </c:extLst>
              </c15:ser>
            </c15:filteredLineSeries>
          </c:ext>
        </c:extLst>
      </c:lineChart>
      <c:dateAx>
        <c:axId val="969433248"/>
        <c:scaling>
          <c:orientation val="minMax"/>
        </c:scaling>
        <c:delete val="0"/>
        <c:axPos val="b"/>
        <c:numFmt formatCode="[$-419]mmmm\ 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9430296"/>
        <c:crosses val="autoZero"/>
        <c:auto val="1"/>
        <c:lblOffset val="100"/>
        <c:baseTimeUnit val="months"/>
      </c:dateAx>
      <c:valAx>
        <c:axId val="969430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943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5400000" vert="horz"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Коэффицент</a:t>
            </a:r>
            <a:r>
              <a:rPr lang="ru-RU" baseline="0"/>
              <a:t> пролонгации по менеджерам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5"/>
          <c:order val="0"/>
          <c:tx>
            <c:strRef>
              <c:f>'Менеджер за год'!$E$1:$G$1</c:f>
              <c:strCache>
                <c:ptCount val="1"/>
                <c:pt idx="0">
                  <c:v>Пролонгация во второй месяц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'Менеджер за год'!$A$3:$A$12</c:f>
              <c:strCache>
                <c:ptCount val="10"/>
                <c:pt idx="0">
                  <c:v>Васильев Артем Александрович</c:v>
                </c:pt>
                <c:pt idx="1">
                  <c:v>Михайлов Андрей Сергеевич</c:v>
                </c:pt>
                <c:pt idx="2">
                  <c:v>Соколова Анастасия Викторовна</c:v>
                </c:pt>
                <c:pt idx="3">
                  <c:v>Иванова Мария Сергеевна</c:v>
                </c:pt>
                <c:pt idx="4">
                  <c:v>Попова Екатерина Николаевна</c:v>
                </c:pt>
                <c:pt idx="5">
                  <c:v>Смирнова Ольга Владимировна</c:v>
                </c:pt>
                <c:pt idx="6">
                  <c:v>Кузнецов Михаил Иванович</c:v>
                </c:pt>
                <c:pt idx="7">
                  <c:v>Петрова Анна Дмитриевна</c:v>
                </c:pt>
                <c:pt idx="8">
                  <c:v>Федорова Марина Васильевна</c:v>
                </c:pt>
                <c:pt idx="9">
                  <c:v>без А/М</c:v>
                </c:pt>
              </c:strCache>
            </c:strRef>
          </c:cat>
          <c:val>
            <c:numRef>
              <c:f>'Менеджер за год'!$G$3:$G$12</c:f>
              <c:numCache>
                <c:formatCode>General</c:formatCode>
                <c:ptCount val="10"/>
                <c:pt idx="0">
                  <c:v>4.0074707364095699E-2</c:v>
                </c:pt>
                <c:pt idx="1">
                  <c:v>0</c:v>
                </c:pt>
                <c:pt idx="2">
                  <c:v>1.038895289041936E-2</c:v>
                </c:pt>
                <c:pt idx="3">
                  <c:v>3.2677780230574417E-2</c:v>
                </c:pt>
                <c:pt idx="4">
                  <c:v>2.1493232621649282E-2</c:v>
                </c:pt>
                <c:pt idx="5">
                  <c:v>9.5292917795377435E-2</c:v>
                </c:pt>
                <c:pt idx="6">
                  <c:v>8.95711483272012E-2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32-4FB1-8C74-44A1C4399B91}"/>
            </c:ext>
          </c:extLst>
        </c:ser>
        <c:ser>
          <c:idx val="2"/>
          <c:order val="3"/>
          <c:tx>
            <c:strRef>
              <c:f>'Менеджер за год'!$B$1:$D$1</c:f>
              <c:strCache>
                <c:ptCount val="1"/>
                <c:pt idx="0">
                  <c:v>Пролонгация в первый месяц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'Менеджер за год'!$A$3:$A$12</c:f>
              <c:strCache>
                <c:ptCount val="10"/>
                <c:pt idx="0">
                  <c:v>Васильев Артем Александрович</c:v>
                </c:pt>
                <c:pt idx="1">
                  <c:v>Михайлов Андрей Сергеевич</c:v>
                </c:pt>
                <c:pt idx="2">
                  <c:v>Соколова Анастасия Викторовна</c:v>
                </c:pt>
                <c:pt idx="3">
                  <c:v>Иванова Мария Сергеевна</c:v>
                </c:pt>
                <c:pt idx="4">
                  <c:v>Попова Екатерина Николаевна</c:v>
                </c:pt>
                <c:pt idx="5">
                  <c:v>Смирнова Ольга Владимировна</c:v>
                </c:pt>
                <c:pt idx="6">
                  <c:v>Кузнецов Михаил Иванович</c:v>
                </c:pt>
                <c:pt idx="7">
                  <c:v>Петрова Анна Дмитриевна</c:v>
                </c:pt>
                <c:pt idx="8">
                  <c:v>Федорова Марина Васильевна</c:v>
                </c:pt>
                <c:pt idx="9">
                  <c:v>без А/М</c:v>
                </c:pt>
              </c:strCache>
            </c:strRef>
          </c:cat>
          <c:val>
            <c:numRef>
              <c:f>'Менеджер за год'!$D$3:$D$12</c:f>
              <c:numCache>
                <c:formatCode>General</c:formatCode>
                <c:ptCount val="10"/>
                <c:pt idx="0">
                  <c:v>0.45125843835053187</c:v>
                </c:pt>
                <c:pt idx="1">
                  <c:v>0.73887940347056691</c:v>
                </c:pt>
                <c:pt idx="2">
                  <c:v>0.42200225520855944</c:v>
                </c:pt>
                <c:pt idx="3">
                  <c:v>0.16916282898027959</c:v>
                </c:pt>
                <c:pt idx="4">
                  <c:v>0.46058620833926961</c:v>
                </c:pt>
                <c:pt idx="5">
                  <c:v>0.619374494230436</c:v>
                </c:pt>
                <c:pt idx="6">
                  <c:v>0.41434432123444809</c:v>
                </c:pt>
                <c:pt idx="7">
                  <c:v>1.1111818218738578</c:v>
                </c:pt>
                <c:pt idx="8">
                  <c:v>0.56959064327485376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32-4FB1-8C74-44A1C4399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0515984"/>
        <c:axId val="250517952"/>
        <c:extLst>
          <c:ext xmlns:c15="http://schemas.microsoft.com/office/drawing/2012/chart" uri="{02D57815-91ED-43cb-92C2-25804820EDAC}">
            <c15:filteredBa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'Менеджер за год'!$B$1:$B$2</c15:sqref>
                        </c15:formulaRef>
                      </c:ext>
                    </c:extLst>
                    <c:strCache>
                      <c:ptCount val="2"/>
                      <c:pt idx="0">
                        <c:v>Пролонгация в первый месяц</c:v>
                      </c:pt>
                      <c:pt idx="1">
                        <c:v>к пролонгации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'Менеджер за год'!$A$3:$A$12</c15:sqref>
                        </c15:formulaRef>
                      </c:ext>
                    </c:extLst>
                    <c:strCache>
                      <c:ptCount val="10"/>
                      <c:pt idx="0">
                        <c:v>Васильев Артем Александрович</c:v>
                      </c:pt>
                      <c:pt idx="1">
                        <c:v>Михайлов Андрей Сергеевич</c:v>
                      </c:pt>
                      <c:pt idx="2">
                        <c:v>Соколова Анастасия Викторовна</c:v>
                      </c:pt>
                      <c:pt idx="3">
                        <c:v>Иванова Мария Сергеевна</c:v>
                      </c:pt>
                      <c:pt idx="4">
                        <c:v>Попова Екатерина Николаевна</c:v>
                      </c:pt>
                      <c:pt idx="5">
                        <c:v>Смирнова Ольга Владимировна</c:v>
                      </c:pt>
                      <c:pt idx="6">
                        <c:v>Кузнецов Михаил Иванович</c:v>
                      </c:pt>
                      <c:pt idx="7">
                        <c:v>Петрова Анна Дмитриевна</c:v>
                      </c:pt>
                      <c:pt idx="8">
                        <c:v>Федорова Марина Васильевна</c:v>
                      </c:pt>
                      <c:pt idx="9">
                        <c:v>без А/М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'Менеджер за год'!$B$3:$B$12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8380223.3899999997</c:v>
                      </c:pt>
                      <c:pt idx="1">
                        <c:v>1645180.1800000002</c:v>
                      </c:pt>
                      <c:pt idx="2">
                        <c:v>4523555.0199999996</c:v>
                      </c:pt>
                      <c:pt idx="3">
                        <c:v>3427787.91</c:v>
                      </c:pt>
                      <c:pt idx="4">
                        <c:v>3973343.6799999997</c:v>
                      </c:pt>
                      <c:pt idx="5">
                        <c:v>3454191.64</c:v>
                      </c:pt>
                      <c:pt idx="6">
                        <c:v>1307609.4500000002</c:v>
                      </c:pt>
                      <c:pt idx="7">
                        <c:v>98492</c:v>
                      </c:pt>
                      <c:pt idx="8">
                        <c:v>128250</c:v>
                      </c:pt>
                      <c:pt idx="9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332-4FB1-8C74-44A1C4399B91}"/>
                  </c:ext>
                </c:extLst>
              </c15:ser>
            </c15:filteredBarSeries>
            <c15:filteredBarSeries>
              <c15:ser>
                <c:idx val="1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'Менеджер за год'!$C$1:$C$2</c15:sqref>
                        </c15:formulaRef>
                      </c:ext>
                    </c:extLst>
                    <c:strCache>
                      <c:ptCount val="2"/>
                      <c:pt idx="0">
                        <c:v>Пролонгация в первый месяц</c:v>
                      </c:pt>
                      <c:pt idx="1">
                        <c:v>пролонгировано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'Менеджер за год'!$A$3:$A$12</c15:sqref>
                        </c15:formulaRef>
                      </c:ext>
                    </c:extLst>
                    <c:strCache>
                      <c:ptCount val="10"/>
                      <c:pt idx="0">
                        <c:v>Васильев Артем Александрович</c:v>
                      </c:pt>
                      <c:pt idx="1">
                        <c:v>Михайлов Андрей Сергеевич</c:v>
                      </c:pt>
                      <c:pt idx="2">
                        <c:v>Соколова Анастасия Викторовна</c:v>
                      </c:pt>
                      <c:pt idx="3">
                        <c:v>Иванова Мария Сергеевна</c:v>
                      </c:pt>
                      <c:pt idx="4">
                        <c:v>Попова Екатерина Николаевна</c:v>
                      </c:pt>
                      <c:pt idx="5">
                        <c:v>Смирнова Ольга Владимировна</c:v>
                      </c:pt>
                      <c:pt idx="6">
                        <c:v>Кузнецов Михаил Иванович</c:v>
                      </c:pt>
                      <c:pt idx="7">
                        <c:v>Петрова Анна Дмитриевна</c:v>
                      </c:pt>
                      <c:pt idx="8">
                        <c:v>Федорова Марина Васильевна</c:v>
                      </c:pt>
                      <c:pt idx="9">
                        <c:v>без А/М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'Менеджер за год'!$C$3:$C$12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3781646.52</c:v>
                      </c:pt>
                      <c:pt idx="1">
                        <c:v>1215589.75</c:v>
                      </c:pt>
                      <c:pt idx="2">
                        <c:v>1908950.42</c:v>
                      </c:pt>
                      <c:pt idx="3">
                        <c:v>579854.30000000005</c:v>
                      </c:pt>
                      <c:pt idx="4">
                        <c:v>1830067.3</c:v>
                      </c:pt>
                      <c:pt idx="5">
                        <c:v>2139438.2000000002</c:v>
                      </c:pt>
                      <c:pt idx="6">
                        <c:v>541800.55000000005</c:v>
                      </c:pt>
                      <c:pt idx="7">
                        <c:v>109442.52</c:v>
                      </c:pt>
                      <c:pt idx="8">
                        <c:v>73050</c:v>
                      </c:pt>
                      <c:pt idx="9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332-4FB1-8C74-44A1C4399B91}"/>
                  </c:ext>
                </c:extLst>
              </c15:ser>
            </c15:filteredBarSeries>
            <c15:filteredBarSeries>
              <c15:ser>
                <c:idx val="3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'Менеджер за год'!$E$1:$E$2</c15:sqref>
                        </c15:formulaRef>
                      </c:ext>
                    </c:extLst>
                    <c:strCache>
                      <c:ptCount val="2"/>
                      <c:pt idx="0">
                        <c:v>Пролонгация во второй месяц</c:v>
                      </c:pt>
                      <c:pt idx="1">
                        <c:v>к пролонгации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'Менеджер за год'!$A$3:$A$12</c15:sqref>
                        </c15:formulaRef>
                      </c:ext>
                    </c:extLst>
                    <c:strCache>
                      <c:ptCount val="10"/>
                      <c:pt idx="0">
                        <c:v>Васильев Артем Александрович</c:v>
                      </c:pt>
                      <c:pt idx="1">
                        <c:v>Михайлов Андрей Сергеевич</c:v>
                      </c:pt>
                      <c:pt idx="2">
                        <c:v>Соколова Анастасия Викторовна</c:v>
                      </c:pt>
                      <c:pt idx="3">
                        <c:v>Иванова Мария Сергеевна</c:v>
                      </c:pt>
                      <c:pt idx="4">
                        <c:v>Попова Екатерина Николаевна</c:v>
                      </c:pt>
                      <c:pt idx="5">
                        <c:v>Смирнова Ольга Владимировна</c:v>
                      </c:pt>
                      <c:pt idx="6">
                        <c:v>Кузнецов Михаил Иванович</c:v>
                      </c:pt>
                      <c:pt idx="7">
                        <c:v>Петрова Анна Дмитриевна</c:v>
                      </c:pt>
                      <c:pt idx="8">
                        <c:v>Федорова Марина Васильевна</c:v>
                      </c:pt>
                      <c:pt idx="9">
                        <c:v>без А/М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'Менеджер за год'!$E$3:$E$12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8380223.3899999997</c:v>
                      </c:pt>
                      <c:pt idx="1">
                        <c:v>1645180.1800000002</c:v>
                      </c:pt>
                      <c:pt idx="2">
                        <c:v>4523555.0199999996</c:v>
                      </c:pt>
                      <c:pt idx="3">
                        <c:v>3427787.91</c:v>
                      </c:pt>
                      <c:pt idx="4">
                        <c:v>3973343.6799999997</c:v>
                      </c:pt>
                      <c:pt idx="5">
                        <c:v>3454191.64</c:v>
                      </c:pt>
                      <c:pt idx="6">
                        <c:v>1307609.4500000002</c:v>
                      </c:pt>
                      <c:pt idx="7">
                        <c:v>98492</c:v>
                      </c:pt>
                      <c:pt idx="8">
                        <c:v>128250</c:v>
                      </c:pt>
                      <c:pt idx="9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A332-4FB1-8C74-44A1C4399B91}"/>
                  </c:ext>
                </c:extLst>
              </c15:ser>
            </c15:filteredBarSeries>
            <c15:filteredBarSeries>
              <c15:ser>
                <c:idx val="4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'Менеджер за год'!$F$1:$F$2</c15:sqref>
                        </c15:formulaRef>
                      </c:ext>
                    </c:extLst>
                    <c:strCache>
                      <c:ptCount val="2"/>
                      <c:pt idx="0">
                        <c:v>Пролонгация во второй месяц</c:v>
                      </c:pt>
                      <c:pt idx="1">
                        <c:v>пролонгировано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'Менеджер за год'!$A$3:$A$12</c15:sqref>
                        </c15:formulaRef>
                      </c:ext>
                    </c:extLst>
                    <c:strCache>
                      <c:ptCount val="10"/>
                      <c:pt idx="0">
                        <c:v>Васильев Артем Александрович</c:v>
                      </c:pt>
                      <c:pt idx="1">
                        <c:v>Михайлов Андрей Сергеевич</c:v>
                      </c:pt>
                      <c:pt idx="2">
                        <c:v>Соколова Анастасия Викторовна</c:v>
                      </c:pt>
                      <c:pt idx="3">
                        <c:v>Иванова Мария Сергеевна</c:v>
                      </c:pt>
                      <c:pt idx="4">
                        <c:v>Попова Екатерина Николаевна</c:v>
                      </c:pt>
                      <c:pt idx="5">
                        <c:v>Смирнова Ольга Владимировна</c:v>
                      </c:pt>
                      <c:pt idx="6">
                        <c:v>Кузнецов Михаил Иванович</c:v>
                      </c:pt>
                      <c:pt idx="7">
                        <c:v>Петрова Анна Дмитриевна</c:v>
                      </c:pt>
                      <c:pt idx="8">
                        <c:v>Федорова Марина Васильевна</c:v>
                      </c:pt>
                      <c:pt idx="9">
                        <c:v>без А/М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'Менеджер за год'!$F$3:$F$12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335835</c:v>
                      </c:pt>
                      <c:pt idx="1">
                        <c:v>0</c:v>
                      </c:pt>
                      <c:pt idx="2">
                        <c:v>46995</c:v>
                      </c:pt>
                      <c:pt idx="3">
                        <c:v>112012.5</c:v>
                      </c:pt>
                      <c:pt idx="4">
                        <c:v>85400</c:v>
                      </c:pt>
                      <c:pt idx="5">
                        <c:v>329160</c:v>
                      </c:pt>
                      <c:pt idx="6">
                        <c:v>117124.08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A332-4FB1-8C74-44A1C4399B91}"/>
                  </c:ext>
                </c:extLst>
              </c15:ser>
            </c15:filteredBarSeries>
          </c:ext>
        </c:extLst>
      </c:barChart>
      <c:catAx>
        <c:axId val="250515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0517952"/>
        <c:crosses val="autoZero"/>
        <c:auto val="1"/>
        <c:lblAlgn val="ctr"/>
        <c:lblOffset val="100"/>
        <c:noMultiLvlLbl val="0"/>
      </c:catAx>
      <c:valAx>
        <c:axId val="25051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051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828674</xdr:colOff>
      <xdr:row>1</xdr:row>
      <xdr:rowOff>4761</xdr:rowOff>
    </xdr:from>
    <xdr:to>
      <xdr:col>15</xdr:col>
      <xdr:colOff>428625</xdr:colOff>
      <xdr:row>19</xdr:row>
      <xdr:rowOff>1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4762</xdr:rowOff>
    </xdr:from>
    <xdr:to>
      <xdr:col>14</xdr:col>
      <xdr:colOff>819150</xdr:colOff>
      <xdr:row>17</xdr:row>
      <xdr:rowOff>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5;&#1088;&#1086;&#1076;&#1072;&#1078;&#1080;%20&#1087;&#1086;%20&#1084;&#1077;&#1089;&#1103;&#1094;&#1072;&#1084;%2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дажи по месяцам "/>
    </sheetNames>
    <sheetDataSet>
      <sheetData sheetId="0" refreshError="1"/>
    </sheetDataSet>
  </externalBook>
</externalLink>
</file>

<file path=xl/persons/person.xml><?xml version="1.0" encoding="utf-8"?>
<x18tc:personList xmlns:x18tc="http://schemas.microsoft.com/office/spreadsheetml/2018/threadedcomments"/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21" unboundColumnsRight="6">
    <queryTableFields count="11">
      <queryTableField id="1" name="id" tableColumnId="15"/>
      <queryTableField id="2" name="Причина дубля" tableColumnId="16"/>
      <queryTableField id="3" name="Account" tableColumnId="17"/>
      <queryTableField id="17" dataBound="0" tableColumnId="4"/>
      <queryTableField id="7" name="Значение" tableColumnId="21"/>
      <queryTableField id="8" dataBound="0" tableColumnId="22"/>
      <queryTableField id="19" dataBound="0" tableColumnId="7"/>
      <queryTableField id="10" dataBound="0" tableColumnId="24"/>
      <queryTableField id="11" dataBound="0" tableColumnId="25"/>
      <queryTableField id="20" dataBound="0" tableColumnId="10"/>
      <queryTableField id="14" dataBound="0" tableColumnId="28"/>
    </queryTableFields>
    <queryTableDeletedFields count="3">
      <deletedField name="Column20"/>
      <deletedField name="Column21"/>
      <deletedField name="Атрибут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Таблицаx" displayName="Таблицаx" ref="A1:U452" headerRowCount="0" totalsRowShown="0" headerRowDxfId="61" dataDxfId="60">
  <tableColumns count="21">
    <tableColumn id="1" name="Столбец1" headerRowDxfId="59" dataDxfId="58"/>
    <tableColumn id="2" name="Столбец2" headerRowDxfId="57" dataDxfId="56"/>
    <tableColumn id="3" name="Столбец3" headerRowDxfId="55" dataDxfId="54"/>
    <tableColumn id="4" name="Столбец4" headerRowDxfId="53" dataDxfId="52"/>
    <tableColumn id="5" name="Столбец5" headerRowDxfId="51" dataDxfId="50"/>
    <tableColumn id="6" name="Столбец6" headerRowDxfId="49" dataDxfId="48"/>
    <tableColumn id="7" name="Столбец7" headerRowDxfId="47" dataDxfId="46"/>
    <tableColumn id="8" name="Столбец8" headerRowDxfId="45" dataDxfId="44"/>
    <tableColumn id="9" name="Столбец9" headerRowDxfId="43" dataDxfId="42"/>
    <tableColumn id="10" name="Столбец10" headerRowDxfId="41" dataDxfId="40"/>
    <tableColumn id="11" name="Столбец11" headerRowDxfId="39" dataDxfId="38"/>
    <tableColumn id="12" name="Столбец12" headerRowDxfId="37" dataDxfId="36"/>
    <tableColumn id="13" name="Столбец13" headerRowDxfId="35" dataDxfId="34"/>
    <tableColumn id="14" name="Столбец14" headerRowDxfId="33" dataDxfId="32"/>
    <tableColumn id="15" name="Столбец15" headerRowDxfId="31" dataDxfId="30"/>
    <tableColumn id="16" name="Столбец16" headerRowDxfId="29" dataDxfId="28"/>
    <tableColumn id="17" name="Столбец17" headerRowDxfId="27" dataDxfId="26"/>
    <tableColumn id="18" name="Столбец18" headerRowDxfId="25" dataDxfId="24"/>
    <tableColumn id="19" name="Столбец19" headerRowDxfId="23" dataDxfId="22"/>
    <tableColumn id="20" name="Столбец20" headerRowDxfId="21" dataDxfId="20"/>
    <tableColumn id="21" name="Столбец21" headerRowDxfId="19" dataDxfId="1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1" name="Таблица1" displayName="Таблица1" ref="A1:C1000" totalsRowShown="0" headerRowDxfId="17" dataDxfId="16">
  <autoFilter ref="A1:C1000"/>
  <sortState ref="A2:C1000">
    <sortCondition ref="A1:A1000"/>
  </sortState>
  <tableColumns count="3">
    <tableColumn id="1" name="id" dataDxfId="15"/>
    <tableColumn id="2" name="month" dataDxfId="14"/>
    <tableColumn id="3" name="AM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Таблицаx_2" displayName="Таблицаx_2" ref="A1:K2597" tableType="queryTable" totalsRowShown="0" headerRowDxfId="12" dataDxfId="11">
  <autoFilter ref="A1:K2597">
    <filterColumn colId="2">
      <filters>
        <filter val="Смирнова Ольга Владимировна"/>
      </filters>
    </filterColumn>
    <filterColumn colId="6">
      <filters>
        <dateGroupItem year="2023" month="10" dateTimeGrouping="month"/>
      </filters>
    </filterColumn>
  </autoFilter>
  <tableColumns count="11">
    <tableColumn id="15" uniqueName="15" name="id" queryTableFieldId="1" dataDxfId="10"/>
    <tableColumn id="16" uniqueName="16" name="Причина дубля" queryTableFieldId="2" dataDxfId="9"/>
    <tableColumn id="17" uniqueName="17" name="Account" queryTableFieldId="3" dataDxfId="8"/>
    <tableColumn id="4" uniqueName="4" name="Месяц" queryTableFieldId="17" dataDxfId="7"/>
    <tableColumn id="21" uniqueName="21" name="Значение" queryTableFieldId="7" dataDxfId="6"/>
    <tableColumn id="22" uniqueName="22" name="Значения числа" queryTableFieldId="8" dataDxfId="5">
      <calculatedColumnFormula>IF(ISTEXT(Таблицаx_2[[#This Row],[Значение]]), 0, Таблицаx_2[[#This Row],[Значение]])</calculatedColumnFormula>
    </tableColumn>
    <tableColumn id="7" uniqueName="7" name="Месяц окончания" queryTableFieldId="19" dataDxfId="4"/>
    <tableColumn id="24" uniqueName="24" name="month (prolongations)" queryTableFieldId="10" dataDxfId="3">
      <calculatedColumnFormula>IFERROR(VLOOKUP(Таблицаx_2[[#This Row],[id]],prolongations!A:C,2,)," ")</calculatedColumnFormula>
    </tableColumn>
    <tableColumn id="25" uniqueName="25" name="Значение окончания" queryTableFieldId="11" dataDxfId="2">
      <calculatedColumnFormula>IF(Таблицаx_2[[#This Row],[Месяц окончания]]=Таблицаx_2[[#This Row],[Месяц]],Таблицаx_2[[#This Row],[Значения числа]],0)</calculatedColumnFormula>
    </tableColumn>
    <tableColumn id="10" uniqueName="10" name="Значение пролонгации1" queryTableFieldId="20" dataDxfId="1"/>
    <tableColumn id="28" uniqueName="28" name="Значение пролонгации2" queryTableFieldId="14" dataDxfId="0">
      <calculatedColumnFormula>IF(AND(Таблицаx_2[[#This Row],[Месяц окончания]]=Таблицаx_2[[#This Row],[Месяц]],Таблицаx_2[[#This Row],[id]]=A3,EDATE(Таблицаx_2[[#This Row],[Месяц]],2)=D3),F3,0)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9"/>
  <sheetViews>
    <sheetView workbookViewId="0">
      <selection activeCell="H32" sqref="H32"/>
    </sheetView>
  </sheetViews>
  <sheetFormatPr defaultColWidth="12.5703125" defaultRowHeight="15.75" customHeight="1" x14ac:dyDescent="0.2"/>
  <cols>
    <col min="10" max="21" width="13" customWidth="1"/>
  </cols>
  <sheetData>
    <row r="1" spans="1:26" x14ac:dyDescent="0.2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/>
      <c r="U1" s="1"/>
      <c r="V1" s="1"/>
      <c r="W1" s="1"/>
      <c r="X1" s="1"/>
      <c r="Y1" s="1"/>
      <c r="Z1" s="1"/>
    </row>
    <row r="2" spans="1:26" x14ac:dyDescent="0.2">
      <c r="A2" s="2">
        <v>42</v>
      </c>
      <c r="B2" s="1"/>
      <c r="C2" s="3">
        <v>36220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4</v>
      </c>
      <c r="T2" s="1"/>
      <c r="U2" s="1"/>
      <c r="V2" s="1"/>
      <c r="W2" s="1"/>
      <c r="X2" s="1"/>
      <c r="Y2" s="1"/>
      <c r="Z2" s="1"/>
    </row>
    <row r="3" spans="1:26" x14ac:dyDescent="0.2">
      <c r="A3" s="2">
        <v>657</v>
      </c>
      <c r="B3" s="1" t="s">
        <v>45</v>
      </c>
      <c r="C3" s="1" t="s">
        <v>46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 t="s">
        <v>4</v>
      </c>
      <c r="T3" s="1"/>
      <c r="U3" s="1"/>
      <c r="V3" s="1"/>
      <c r="W3" s="1"/>
      <c r="X3" s="1"/>
      <c r="Y3" s="1"/>
      <c r="Z3" s="1"/>
    </row>
    <row r="4" spans="1:26" x14ac:dyDescent="0.2">
      <c r="A4" s="2">
        <v>657</v>
      </c>
      <c r="B4" s="1" t="s">
        <v>47</v>
      </c>
      <c r="C4" s="1" t="s">
        <v>46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 t="s">
        <v>4</v>
      </c>
      <c r="T4" s="1"/>
      <c r="U4" s="1"/>
      <c r="V4" s="1"/>
      <c r="W4" s="1"/>
      <c r="X4" s="1"/>
      <c r="Y4" s="1"/>
      <c r="Z4" s="1"/>
    </row>
    <row r="5" spans="1:26" x14ac:dyDescent="0.2">
      <c r="A5" s="2">
        <v>594</v>
      </c>
      <c r="B5" s="1"/>
      <c r="C5" s="1" t="s">
        <v>46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 t="s">
        <v>4</v>
      </c>
      <c r="T5" s="1"/>
      <c r="U5" s="1"/>
      <c r="V5" s="1"/>
      <c r="W5" s="1"/>
      <c r="X5" s="1"/>
      <c r="Y5" s="1"/>
      <c r="Z5" s="1"/>
    </row>
    <row r="6" spans="1:26" x14ac:dyDescent="0.2">
      <c r="A6" s="2">
        <v>665</v>
      </c>
      <c r="B6" s="1"/>
      <c r="C6" s="3">
        <v>10000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 t="s">
        <v>4</v>
      </c>
      <c r="T6" s="1"/>
      <c r="U6" s="1"/>
      <c r="V6" s="1"/>
      <c r="W6" s="1"/>
      <c r="X6" s="1"/>
      <c r="Y6" s="1"/>
      <c r="Z6" s="1"/>
    </row>
    <row r="7" spans="1:26" x14ac:dyDescent="0.2">
      <c r="A7" s="2">
        <v>637</v>
      </c>
      <c r="B7" s="1"/>
      <c r="C7" s="3">
        <v>38045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 t="s">
        <v>6</v>
      </c>
      <c r="T7" s="1"/>
      <c r="U7" s="1"/>
      <c r="V7" s="1"/>
      <c r="W7" s="1"/>
      <c r="X7" s="1"/>
      <c r="Y7" s="1"/>
      <c r="Z7" s="1"/>
    </row>
    <row r="8" spans="1:26" x14ac:dyDescent="0.2">
      <c r="A8" s="2">
        <v>419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 t="s">
        <v>5</v>
      </c>
      <c r="T8" s="1"/>
      <c r="U8" s="1"/>
      <c r="V8" s="1"/>
      <c r="W8" s="1"/>
      <c r="X8" s="1"/>
      <c r="Y8" s="1"/>
      <c r="Z8" s="1"/>
    </row>
    <row r="9" spans="1:26" x14ac:dyDescent="0.2">
      <c r="A9" s="2">
        <v>578</v>
      </c>
      <c r="B9" s="1"/>
      <c r="C9" s="3">
        <v>82800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 t="s">
        <v>8</v>
      </c>
      <c r="T9" s="1"/>
      <c r="U9" s="1"/>
      <c r="V9" s="1"/>
      <c r="W9" s="1"/>
      <c r="X9" s="1"/>
      <c r="Y9" s="1"/>
      <c r="Z9" s="1"/>
    </row>
    <row r="10" spans="1:26" x14ac:dyDescent="0.2">
      <c r="A10" s="2">
        <v>579</v>
      </c>
      <c r="B10" s="1"/>
      <c r="C10" s="1" t="s">
        <v>48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 t="s">
        <v>4</v>
      </c>
      <c r="T10" s="1"/>
      <c r="U10" s="1"/>
      <c r="V10" s="1"/>
      <c r="W10" s="1"/>
      <c r="X10" s="1"/>
      <c r="Y10" s="1"/>
      <c r="Z10" s="1"/>
    </row>
    <row r="11" spans="1:26" x14ac:dyDescent="0.2">
      <c r="A11" s="2">
        <v>592</v>
      </c>
      <c r="B11" s="1" t="s">
        <v>45</v>
      </c>
      <c r="C11" s="3">
        <v>92302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 t="s">
        <v>4</v>
      </c>
      <c r="T11" s="1"/>
      <c r="U11" s="1"/>
      <c r="V11" s="1"/>
      <c r="W11" s="1"/>
      <c r="X11" s="1"/>
      <c r="Y11" s="1"/>
      <c r="Z11" s="1"/>
    </row>
    <row r="12" spans="1:26" x14ac:dyDescent="0.2">
      <c r="A12" s="2">
        <v>592</v>
      </c>
      <c r="B12" s="1" t="s">
        <v>47</v>
      </c>
      <c r="C12" s="3">
        <v>12340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 t="s">
        <v>4</v>
      </c>
      <c r="T12" s="1"/>
      <c r="U12" s="1"/>
      <c r="V12" s="1"/>
      <c r="W12" s="1"/>
      <c r="X12" s="1"/>
      <c r="Y12" s="1"/>
      <c r="Z12" s="1"/>
    </row>
    <row r="13" spans="1:26" x14ac:dyDescent="0.2">
      <c r="A13" s="2">
        <v>666</v>
      </c>
      <c r="B13" s="1"/>
      <c r="C13" s="3">
        <v>110000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 t="s">
        <v>4</v>
      </c>
      <c r="T13" s="1"/>
      <c r="U13" s="1"/>
      <c r="V13" s="1"/>
      <c r="W13" s="1"/>
      <c r="X13" s="1"/>
      <c r="Y13" s="1"/>
      <c r="Z13" s="1"/>
    </row>
    <row r="14" spans="1:26" x14ac:dyDescent="0.2">
      <c r="A14" s="2">
        <v>620</v>
      </c>
      <c r="B14" s="1"/>
      <c r="C14" s="1" t="s">
        <v>48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 t="s">
        <v>4</v>
      </c>
      <c r="T14" s="1"/>
      <c r="U14" s="1"/>
      <c r="V14" s="1"/>
      <c r="W14" s="1"/>
      <c r="X14" s="1"/>
      <c r="Y14" s="1"/>
      <c r="Z14" s="1"/>
    </row>
    <row r="15" spans="1:26" x14ac:dyDescent="0.2">
      <c r="A15" s="2">
        <v>704</v>
      </c>
      <c r="B15" s="1" t="s">
        <v>45</v>
      </c>
      <c r="C15" s="3">
        <v>35365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 t="s">
        <v>5</v>
      </c>
      <c r="T15" s="1"/>
      <c r="U15" s="1"/>
      <c r="V15" s="1"/>
      <c r="W15" s="1"/>
      <c r="X15" s="1"/>
      <c r="Y15" s="1"/>
      <c r="Z15" s="1"/>
    </row>
    <row r="16" spans="1:26" x14ac:dyDescent="0.2">
      <c r="A16" s="2">
        <v>704</v>
      </c>
      <c r="B16" s="1" t="s">
        <v>47</v>
      </c>
      <c r="C16" s="2">
        <v>945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 t="s">
        <v>5</v>
      </c>
      <c r="T16" s="1"/>
      <c r="U16" s="1"/>
      <c r="V16" s="1"/>
      <c r="W16" s="1"/>
      <c r="X16" s="1"/>
      <c r="Y16" s="1"/>
      <c r="Z16" s="1"/>
    </row>
    <row r="17" spans="1:26" x14ac:dyDescent="0.2">
      <c r="A17" s="2">
        <v>704</v>
      </c>
      <c r="B17" s="1" t="s">
        <v>47</v>
      </c>
      <c r="C17" s="3">
        <v>4715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 t="s">
        <v>5</v>
      </c>
      <c r="T17" s="1"/>
      <c r="U17" s="1"/>
      <c r="V17" s="1"/>
      <c r="W17" s="1"/>
      <c r="X17" s="1"/>
      <c r="Y17" s="1"/>
      <c r="Z17" s="1"/>
    </row>
    <row r="18" spans="1:26" x14ac:dyDescent="0.2">
      <c r="A18" s="2">
        <v>16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 t="s">
        <v>7</v>
      </c>
      <c r="T18" s="1"/>
      <c r="U18" s="1"/>
      <c r="V18" s="1"/>
      <c r="W18" s="1"/>
      <c r="X18" s="1"/>
      <c r="Y18" s="1"/>
      <c r="Z18" s="1"/>
    </row>
    <row r="19" spans="1:26" x14ac:dyDescent="0.2">
      <c r="A19" s="2">
        <v>379</v>
      </c>
      <c r="B19" s="1"/>
      <c r="C19" s="3">
        <v>55195</v>
      </c>
      <c r="D19" s="3">
        <v>55195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 t="s">
        <v>7</v>
      </c>
      <c r="T19" s="1"/>
      <c r="U19" s="1"/>
      <c r="V19" s="1"/>
      <c r="W19" s="1"/>
      <c r="X19" s="1"/>
      <c r="Y19" s="1"/>
      <c r="Z19" s="1"/>
    </row>
    <row r="20" spans="1:26" x14ac:dyDescent="0.2">
      <c r="A20" s="2">
        <v>31</v>
      </c>
      <c r="B20" s="1"/>
      <c r="C20" s="3">
        <v>55100</v>
      </c>
      <c r="D20" s="3">
        <v>55100</v>
      </c>
      <c r="E20" s="1"/>
      <c r="F20" s="3">
        <v>44775</v>
      </c>
      <c r="G20" s="3">
        <v>44775</v>
      </c>
      <c r="H20" s="3">
        <v>44775</v>
      </c>
      <c r="I20" s="3">
        <v>44775</v>
      </c>
      <c r="J20" s="3">
        <v>44775</v>
      </c>
      <c r="K20" s="3">
        <v>44775</v>
      </c>
      <c r="L20" s="3">
        <v>44775</v>
      </c>
      <c r="M20" s="3">
        <v>44775</v>
      </c>
      <c r="N20" s="3">
        <v>44775</v>
      </c>
      <c r="O20" s="3">
        <v>44775</v>
      </c>
      <c r="P20" s="3">
        <v>44775</v>
      </c>
      <c r="Q20" s="3">
        <v>44775</v>
      </c>
      <c r="R20" s="3">
        <v>46200</v>
      </c>
      <c r="S20" s="1" t="s">
        <v>4</v>
      </c>
      <c r="T20" s="1"/>
      <c r="U20" s="1"/>
      <c r="V20" s="1"/>
      <c r="W20" s="1"/>
      <c r="X20" s="1"/>
      <c r="Y20" s="1"/>
      <c r="Z20" s="1"/>
    </row>
    <row r="21" spans="1:26" x14ac:dyDescent="0.2">
      <c r="A21" s="2">
        <v>572</v>
      </c>
      <c r="B21" s="1" t="s">
        <v>49</v>
      </c>
      <c r="C21" s="3">
        <v>56200</v>
      </c>
      <c r="D21" s="1" t="s">
        <v>46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 t="s">
        <v>4</v>
      </c>
      <c r="T21" s="1"/>
      <c r="U21" s="1"/>
      <c r="V21" s="1"/>
      <c r="W21" s="1"/>
      <c r="X21" s="1"/>
      <c r="Y21" s="1"/>
      <c r="Z21" s="1"/>
    </row>
    <row r="22" spans="1:26" x14ac:dyDescent="0.2">
      <c r="A22" s="2">
        <v>573</v>
      </c>
      <c r="B22" s="1" t="s">
        <v>49</v>
      </c>
      <c r="C22" s="3">
        <v>69210</v>
      </c>
      <c r="D22" s="1" t="s">
        <v>46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 t="s">
        <v>4</v>
      </c>
      <c r="T22" s="1"/>
      <c r="U22" s="1"/>
      <c r="V22" s="1"/>
      <c r="W22" s="1"/>
      <c r="X22" s="1"/>
      <c r="Y22" s="1"/>
      <c r="Z22" s="1"/>
    </row>
    <row r="23" spans="1:26" x14ac:dyDescent="0.2">
      <c r="A23" s="2">
        <v>574</v>
      </c>
      <c r="B23" s="1" t="s">
        <v>49</v>
      </c>
      <c r="C23" s="3">
        <v>46755</v>
      </c>
      <c r="D23" s="1" t="s">
        <v>46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 t="s">
        <v>4</v>
      </c>
      <c r="T23" s="1"/>
      <c r="U23" s="1"/>
      <c r="V23" s="1"/>
      <c r="W23" s="1"/>
      <c r="X23" s="1"/>
      <c r="Y23" s="1"/>
      <c r="Z23" s="1"/>
    </row>
    <row r="24" spans="1:26" x14ac:dyDescent="0.2">
      <c r="A24" s="2">
        <v>575</v>
      </c>
      <c r="B24" s="1" t="s">
        <v>49</v>
      </c>
      <c r="C24" s="3">
        <v>25020</v>
      </c>
      <c r="D24" s="1" t="s">
        <v>46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 t="s">
        <v>4</v>
      </c>
      <c r="T24" s="1"/>
      <c r="U24" s="1"/>
      <c r="V24" s="1"/>
      <c r="W24" s="1"/>
      <c r="X24" s="1"/>
      <c r="Y24" s="1"/>
      <c r="Z24" s="1"/>
    </row>
    <row r="25" spans="1:26" x14ac:dyDescent="0.2">
      <c r="A25" s="2">
        <v>576</v>
      </c>
      <c r="B25" s="1" t="s">
        <v>49</v>
      </c>
      <c r="C25" s="3">
        <v>36365</v>
      </c>
      <c r="D25" s="1" t="s">
        <v>46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 t="s">
        <v>4</v>
      </c>
      <c r="T25" s="1"/>
      <c r="U25" s="1"/>
      <c r="V25" s="1"/>
      <c r="W25" s="1"/>
      <c r="X25" s="1"/>
      <c r="Y25" s="1"/>
      <c r="Z25" s="1"/>
    </row>
    <row r="26" spans="1:26" x14ac:dyDescent="0.2">
      <c r="A26" s="2">
        <v>328</v>
      </c>
      <c r="B26" s="1"/>
      <c r="C26" s="3">
        <v>116473.5</v>
      </c>
      <c r="D26" s="3">
        <v>110700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 t="s">
        <v>7</v>
      </c>
      <c r="T26" s="1"/>
      <c r="U26" s="1"/>
      <c r="V26" s="1"/>
      <c r="W26" s="1"/>
      <c r="X26" s="1"/>
      <c r="Y26" s="1"/>
      <c r="Z26" s="1"/>
    </row>
    <row r="27" spans="1:26" x14ac:dyDescent="0.2">
      <c r="A27" s="2">
        <v>716</v>
      </c>
      <c r="B27" s="1" t="s">
        <v>45</v>
      </c>
      <c r="C27" s="3">
        <v>18640</v>
      </c>
      <c r="D27" s="3">
        <v>18710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 t="s">
        <v>6</v>
      </c>
      <c r="T27" s="1"/>
      <c r="U27" s="1"/>
      <c r="V27" s="1"/>
      <c r="W27" s="1"/>
      <c r="X27" s="1"/>
      <c r="Y27" s="1"/>
      <c r="Z27" s="1"/>
    </row>
    <row r="28" spans="1:26" x14ac:dyDescent="0.2">
      <c r="A28" s="2">
        <v>716</v>
      </c>
      <c r="B28" s="1" t="s">
        <v>47</v>
      </c>
      <c r="C28" s="3">
        <v>3165</v>
      </c>
      <c r="D28" s="3">
        <v>2110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 t="s">
        <v>6</v>
      </c>
      <c r="T28" s="1"/>
      <c r="U28" s="1"/>
      <c r="V28" s="1"/>
      <c r="W28" s="1"/>
      <c r="X28" s="1"/>
      <c r="Y28" s="1"/>
      <c r="Z28" s="1"/>
    </row>
    <row r="29" spans="1:26" x14ac:dyDescent="0.2">
      <c r="A29" s="2">
        <v>613</v>
      </c>
      <c r="B29" s="1" t="s">
        <v>45</v>
      </c>
      <c r="C29" s="1" t="s">
        <v>48</v>
      </c>
      <c r="D29" s="1" t="s">
        <v>46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 t="s">
        <v>4</v>
      </c>
      <c r="T29" s="1"/>
      <c r="U29" s="1"/>
      <c r="V29" s="1"/>
      <c r="W29" s="1"/>
      <c r="X29" s="1"/>
      <c r="Y29" s="1"/>
      <c r="Z29" s="1"/>
    </row>
    <row r="30" spans="1:26" x14ac:dyDescent="0.2">
      <c r="A30" s="2">
        <v>615</v>
      </c>
      <c r="B30" s="1" t="s">
        <v>45</v>
      </c>
      <c r="C30" s="1" t="s">
        <v>48</v>
      </c>
      <c r="D30" s="1" t="s">
        <v>46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 t="s">
        <v>4</v>
      </c>
      <c r="T30" s="1"/>
      <c r="U30" s="1"/>
      <c r="V30" s="1"/>
      <c r="W30" s="1"/>
      <c r="X30" s="1"/>
      <c r="Y30" s="1"/>
      <c r="Z30" s="1"/>
    </row>
    <row r="31" spans="1:26" x14ac:dyDescent="0.2">
      <c r="A31" s="2">
        <v>617</v>
      </c>
      <c r="B31" s="1" t="s">
        <v>45</v>
      </c>
      <c r="C31" s="1" t="s">
        <v>48</v>
      </c>
      <c r="D31" s="1" t="s">
        <v>46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 t="s">
        <v>4</v>
      </c>
      <c r="T31" s="1"/>
      <c r="U31" s="1"/>
      <c r="V31" s="1"/>
      <c r="W31" s="1"/>
      <c r="X31" s="1"/>
      <c r="Y31" s="1"/>
      <c r="Z31" s="1"/>
    </row>
    <row r="32" spans="1:26" x14ac:dyDescent="0.2">
      <c r="A32" s="2">
        <v>643</v>
      </c>
      <c r="B32" s="1" t="s">
        <v>45</v>
      </c>
      <c r="C32" s="1" t="s">
        <v>48</v>
      </c>
      <c r="D32" s="1" t="s">
        <v>46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 t="s">
        <v>4</v>
      </c>
      <c r="T32" s="1"/>
      <c r="U32" s="1"/>
      <c r="V32" s="1"/>
      <c r="W32" s="1"/>
      <c r="X32" s="1"/>
      <c r="Y32" s="1"/>
      <c r="Z32" s="1"/>
    </row>
    <row r="33" spans="1:26" x14ac:dyDescent="0.2">
      <c r="A33" s="2">
        <v>318</v>
      </c>
      <c r="B33" s="1"/>
      <c r="C33" s="3">
        <v>17950</v>
      </c>
      <c r="D33" s="3">
        <v>20590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 t="s">
        <v>8</v>
      </c>
      <c r="T33" s="1"/>
      <c r="U33" s="1"/>
      <c r="V33" s="1"/>
      <c r="W33" s="1"/>
      <c r="X33" s="1"/>
      <c r="Y33" s="1"/>
      <c r="Z33" s="1"/>
    </row>
    <row r="34" spans="1:26" x14ac:dyDescent="0.2">
      <c r="A34" s="2">
        <v>603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 t="s">
        <v>5</v>
      </c>
      <c r="T34" s="1"/>
      <c r="U34" s="1"/>
      <c r="V34" s="1"/>
      <c r="W34" s="1"/>
      <c r="X34" s="1"/>
      <c r="Y34" s="1"/>
      <c r="Z34" s="1"/>
    </row>
    <row r="35" spans="1:26" x14ac:dyDescent="0.2">
      <c r="A35" s="2">
        <v>461</v>
      </c>
      <c r="B35" s="1" t="s">
        <v>45</v>
      </c>
      <c r="C35" s="3">
        <v>103230</v>
      </c>
      <c r="D35" s="3">
        <v>103230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 t="s">
        <v>7</v>
      </c>
      <c r="T35" s="1"/>
      <c r="U35" s="1"/>
      <c r="V35" s="1"/>
      <c r="W35" s="1"/>
      <c r="X35" s="1"/>
      <c r="Y35" s="1"/>
      <c r="Z35" s="1"/>
    </row>
    <row r="36" spans="1:26" x14ac:dyDescent="0.2">
      <c r="A36" s="2">
        <v>461</v>
      </c>
      <c r="B36" s="1" t="s">
        <v>47</v>
      </c>
      <c r="C36" s="3">
        <v>27720</v>
      </c>
      <c r="D36" s="3">
        <v>27180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 t="s">
        <v>7</v>
      </c>
      <c r="T36" s="1"/>
      <c r="U36" s="1"/>
      <c r="V36" s="1"/>
      <c r="W36" s="1"/>
      <c r="X36" s="1"/>
      <c r="Y36" s="1"/>
      <c r="Z36" s="1"/>
    </row>
    <row r="37" spans="1:26" x14ac:dyDescent="0.2">
      <c r="A37" s="2">
        <v>717</v>
      </c>
      <c r="B37" s="1"/>
      <c r="C37" s="1"/>
      <c r="D37" s="3">
        <v>34100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 t="s">
        <v>8</v>
      </c>
      <c r="T37" s="1"/>
      <c r="U37" s="1"/>
      <c r="V37" s="1"/>
      <c r="W37" s="1"/>
      <c r="X37" s="1"/>
      <c r="Y37" s="1"/>
      <c r="Z37" s="1"/>
    </row>
    <row r="38" spans="1:26" x14ac:dyDescent="0.2">
      <c r="A38" s="2">
        <v>418</v>
      </c>
      <c r="B38" s="1"/>
      <c r="C38" s="3">
        <v>160420</v>
      </c>
      <c r="D38" s="1" t="s">
        <v>46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 t="s">
        <v>5</v>
      </c>
      <c r="T38" s="1"/>
      <c r="U38" s="1"/>
      <c r="V38" s="1"/>
      <c r="W38" s="1"/>
      <c r="X38" s="1"/>
      <c r="Y38" s="1"/>
      <c r="Z38" s="1"/>
    </row>
    <row r="39" spans="1:26" x14ac:dyDescent="0.2">
      <c r="A39" s="2">
        <v>456</v>
      </c>
      <c r="B39" s="1"/>
      <c r="C39" s="3">
        <v>91240</v>
      </c>
      <c r="D39" s="1" t="s">
        <v>46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 t="s">
        <v>5</v>
      </c>
      <c r="T39" s="1"/>
      <c r="U39" s="1"/>
      <c r="V39" s="1"/>
      <c r="W39" s="1"/>
      <c r="X39" s="1"/>
      <c r="Y39" s="1"/>
      <c r="Z39" s="1"/>
    </row>
    <row r="40" spans="1:26" x14ac:dyDescent="0.2">
      <c r="A40" s="2">
        <v>457</v>
      </c>
      <c r="B40" s="1"/>
      <c r="C40" s="3">
        <v>104675</v>
      </c>
      <c r="D40" s="1" t="s">
        <v>46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 t="s">
        <v>5</v>
      </c>
      <c r="T40" s="1"/>
      <c r="U40" s="1"/>
      <c r="V40" s="1"/>
      <c r="W40" s="1"/>
      <c r="X40" s="1"/>
      <c r="Y40" s="1"/>
      <c r="Z40" s="1"/>
    </row>
    <row r="41" spans="1:26" x14ac:dyDescent="0.2">
      <c r="A41" s="2">
        <v>454</v>
      </c>
      <c r="B41" s="1"/>
      <c r="C41" s="3">
        <v>88540</v>
      </c>
      <c r="D41" s="3">
        <v>92140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 t="s">
        <v>5</v>
      </c>
      <c r="T41" s="1"/>
      <c r="U41" s="1"/>
      <c r="V41" s="1"/>
      <c r="W41" s="1"/>
      <c r="X41" s="1"/>
      <c r="Y41" s="1"/>
      <c r="Z41" s="1"/>
    </row>
    <row r="42" spans="1:26" x14ac:dyDescent="0.2">
      <c r="A42" s="2">
        <v>455</v>
      </c>
      <c r="B42" s="1"/>
      <c r="C42" s="3">
        <v>55000</v>
      </c>
      <c r="D42" s="3">
        <v>55000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 t="s">
        <v>5</v>
      </c>
      <c r="T42" s="1"/>
      <c r="U42" s="1"/>
      <c r="V42" s="1"/>
      <c r="W42" s="1"/>
      <c r="X42" s="1"/>
      <c r="Y42" s="1"/>
      <c r="Z42" s="1"/>
    </row>
    <row r="43" spans="1:26" x14ac:dyDescent="0.2">
      <c r="A43" s="2">
        <v>693</v>
      </c>
      <c r="B43" s="1" t="s">
        <v>49</v>
      </c>
      <c r="C43" s="3">
        <v>81085</v>
      </c>
      <c r="D43" s="3">
        <v>82435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 t="s">
        <v>8</v>
      </c>
      <c r="T43" s="1"/>
      <c r="U43" s="1"/>
      <c r="V43" s="1"/>
      <c r="W43" s="1"/>
      <c r="X43" s="1"/>
      <c r="Y43" s="1"/>
      <c r="Z43" s="1"/>
    </row>
    <row r="44" spans="1:26" x14ac:dyDescent="0.2">
      <c r="A44" s="2">
        <v>654</v>
      </c>
      <c r="B44" s="1"/>
      <c r="C44" s="3">
        <v>150685.21</v>
      </c>
      <c r="D44" s="3">
        <v>231057.76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 t="s">
        <v>6</v>
      </c>
      <c r="T44" s="1"/>
      <c r="U44" s="1"/>
      <c r="V44" s="1"/>
      <c r="W44" s="1"/>
      <c r="X44" s="1"/>
      <c r="Y44" s="1"/>
      <c r="Z44" s="1"/>
    </row>
    <row r="45" spans="1:26" x14ac:dyDescent="0.2">
      <c r="A45" s="2">
        <v>475</v>
      </c>
      <c r="B45" s="1"/>
      <c r="C45" s="3">
        <v>100485</v>
      </c>
      <c r="D45" s="3">
        <v>100485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 t="s">
        <v>6</v>
      </c>
      <c r="T45" s="1"/>
      <c r="U45" s="1"/>
      <c r="V45" s="1"/>
      <c r="W45" s="1"/>
      <c r="X45" s="1"/>
      <c r="Y45" s="1"/>
      <c r="Z45" s="1"/>
    </row>
    <row r="46" spans="1:26" x14ac:dyDescent="0.2">
      <c r="A46" s="2">
        <v>193</v>
      </c>
      <c r="B46" s="1" t="s">
        <v>45</v>
      </c>
      <c r="C46" s="3">
        <v>164000</v>
      </c>
      <c r="D46" s="3">
        <v>190280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 t="s">
        <v>7</v>
      </c>
      <c r="T46" s="1"/>
      <c r="U46" s="1"/>
      <c r="V46" s="1"/>
      <c r="W46" s="1"/>
      <c r="X46" s="1"/>
      <c r="Y46" s="1"/>
      <c r="Z46" s="1"/>
    </row>
    <row r="47" spans="1:26" x14ac:dyDescent="0.2">
      <c r="A47" s="2">
        <v>390</v>
      </c>
      <c r="B47" s="1"/>
      <c r="C47" s="3">
        <v>221830</v>
      </c>
      <c r="D47" s="3">
        <v>220830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 t="s">
        <v>7</v>
      </c>
      <c r="T47" s="1"/>
      <c r="U47" s="1"/>
      <c r="V47" s="1"/>
      <c r="W47" s="1"/>
      <c r="X47" s="1"/>
      <c r="Y47" s="1"/>
      <c r="Z47" s="1"/>
    </row>
    <row r="48" spans="1:26" x14ac:dyDescent="0.2">
      <c r="A48" s="2">
        <v>477</v>
      </c>
      <c r="B48" s="1"/>
      <c r="C48" s="3">
        <v>7000</v>
      </c>
      <c r="D48" s="1" t="s">
        <v>46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 t="s">
        <v>7</v>
      </c>
      <c r="T48" s="1"/>
      <c r="U48" s="1"/>
      <c r="V48" s="1"/>
      <c r="W48" s="1"/>
      <c r="X48" s="1"/>
      <c r="Y48" s="1"/>
      <c r="Z48" s="1"/>
    </row>
    <row r="49" spans="1:26" x14ac:dyDescent="0.2">
      <c r="A49" s="2">
        <v>478</v>
      </c>
      <c r="B49" s="1"/>
      <c r="C49" s="3">
        <v>76760</v>
      </c>
      <c r="D49" s="3">
        <v>90935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 t="s">
        <v>7</v>
      </c>
      <c r="T49" s="1"/>
      <c r="U49" s="1"/>
      <c r="V49" s="1"/>
      <c r="W49" s="1"/>
      <c r="X49" s="1"/>
      <c r="Y49" s="1"/>
      <c r="Z49" s="1"/>
    </row>
    <row r="50" spans="1:26" x14ac:dyDescent="0.2">
      <c r="A50" s="2">
        <v>535</v>
      </c>
      <c r="B50" s="1" t="s">
        <v>45</v>
      </c>
      <c r="C50" s="3">
        <v>44570</v>
      </c>
      <c r="D50" s="3">
        <v>44570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 t="s">
        <v>7</v>
      </c>
      <c r="T50" s="1"/>
      <c r="U50" s="1"/>
      <c r="V50" s="1"/>
      <c r="W50" s="1"/>
      <c r="X50" s="1"/>
      <c r="Y50" s="1"/>
      <c r="Z50" s="1"/>
    </row>
    <row r="51" spans="1:26" x14ac:dyDescent="0.2">
      <c r="A51" s="2">
        <v>535</v>
      </c>
      <c r="B51" s="1" t="s">
        <v>47</v>
      </c>
      <c r="C51" s="3">
        <v>29685</v>
      </c>
      <c r="D51" s="3">
        <v>65020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 t="s">
        <v>7</v>
      </c>
      <c r="T51" s="1"/>
      <c r="U51" s="1"/>
      <c r="V51" s="1"/>
      <c r="W51" s="1"/>
      <c r="X51" s="1"/>
      <c r="Y51" s="1"/>
      <c r="Z51" s="1"/>
    </row>
    <row r="52" spans="1:26" x14ac:dyDescent="0.2">
      <c r="A52" s="2">
        <v>709</v>
      </c>
      <c r="B52" s="1"/>
      <c r="C52" s="3">
        <v>13885</v>
      </c>
      <c r="D52" s="3">
        <v>20450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 t="s">
        <v>7</v>
      </c>
      <c r="T52" s="1"/>
      <c r="U52" s="1"/>
      <c r="V52" s="1"/>
      <c r="W52" s="1"/>
      <c r="X52" s="1"/>
      <c r="Y52" s="1"/>
      <c r="Z52" s="1"/>
    </row>
    <row r="53" spans="1:26" x14ac:dyDescent="0.2">
      <c r="A53" s="2">
        <v>581</v>
      </c>
      <c r="B53" s="1" t="s">
        <v>45</v>
      </c>
      <c r="C53" s="3">
        <v>66280</v>
      </c>
      <c r="D53" s="3">
        <v>66280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 t="s">
        <v>7</v>
      </c>
      <c r="T53" s="1"/>
      <c r="U53" s="1"/>
      <c r="V53" s="1"/>
      <c r="W53" s="1"/>
      <c r="X53" s="1"/>
      <c r="Y53" s="1"/>
      <c r="Z53" s="1"/>
    </row>
    <row r="54" spans="1:26" x14ac:dyDescent="0.2">
      <c r="A54" s="2">
        <v>581</v>
      </c>
      <c r="B54" s="1" t="s">
        <v>47</v>
      </c>
      <c r="C54" s="3">
        <v>85000</v>
      </c>
      <c r="D54" s="3">
        <v>85000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 t="s">
        <v>7</v>
      </c>
      <c r="T54" s="1"/>
      <c r="U54" s="1"/>
      <c r="V54" s="1"/>
      <c r="W54" s="1"/>
      <c r="X54" s="1"/>
      <c r="Y54" s="1"/>
      <c r="Z54" s="1"/>
    </row>
    <row r="55" spans="1:26" x14ac:dyDescent="0.2">
      <c r="A55" s="2">
        <v>623</v>
      </c>
      <c r="B55" s="1"/>
      <c r="C55" s="3">
        <v>152155</v>
      </c>
      <c r="D55" s="3">
        <v>149765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 t="s">
        <v>7</v>
      </c>
      <c r="T55" s="1"/>
      <c r="U55" s="1"/>
      <c r="V55" s="1"/>
      <c r="W55" s="1"/>
      <c r="X55" s="1"/>
      <c r="Y55" s="1"/>
      <c r="Z55" s="1"/>
    </row>
    <row r="56" spans="1:26" x14ac:dyDescent="0.2">
      <c r="A56" s="2">
        <v>705</v>
      </c>
      <c r="B56" s="1" t="s">
        <v>45</v>
      </c>
      <c r="C56" s="3">
        <v>33960</v>
      </c>
      <c r="D56" s="3">
        <v>31965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 t="s">
        <v>10</v>
      </c>
      <c r="T56" s="1"/>
      <c r="U56" s="1"/>
      <c r="V56" s="1"/>
      <c r="W56" s="1"/>
      <c r="X56" s="1"/>
      <c r="Y56" s="1"/>
      <c r="Z56" s="1"/>
    </row>
    <row r="57" spans="1:26" x14ac:dyDescent="0.2">
      <c r="A57" s="2">
        <v>705</v>
      </c>
      <c r="B57" s="1" t="s">
        <v>47</v>
      </c>
      <c r="C57" s="1"/>
      <c r="D57" s="3">
        <v>2110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 t="s">
        <v>10</v>
      </c>
      <c r="T57" s="1"/>
      <c r="U57" s="1"/>
      <c r="V57" s="1"/>
      <c r="W57" s="1"/>
      <c r="X57" s="1"/>
      <c r="Y57" s="1"/>
      <c r="Z57" s="1"/>
    </row>
    <row r="58" spans="1:26" x14ac:dyDescent="0.2">
      <c r="A58" s="2">
        <v>705</v>
      </c>
      <c r="B58" s="1" t="s">
        <v>47</v>
      </c>
      <c r="C58" s="1" t="s">
        <v>48</v>
      </c>
      <c r="D58" s="3">
        <v>4220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 t="s">
        <v>10</v>
      </c>
      <c r="T58" s="1"/>
      <c r="U58" s="1"/>
      <c r="V58" s="1"/>
      <c r="W58" s="1"/>
      <c r="X58" s="1"/>
      <c r="Y58" s="1"/>
      <c r="Z58" s="1"/>
    </row>
    <row r="59" spans="1:26" x14ac:dyDescent="0.2">
      <c r="A59" s="2">
        <v>720</v>
      </c>
      <c r="B59" s="1" t="s">
        <v>45</v>
      </c>
      <c r="C59" s="1"/>
      <c r="D59" s="3">
        <v>29127.5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 t="s">
        <v>4</v>
      </c>
      <c r="T59" s="1"/>
      <c r="U59" s="1"/>
      <c r="V59" s="1"/>
      <c r="W59" s="1"/>
      <c r="X59" s="1"/>
      <c r="Y59" s="1"/>
      <c r="Z59" s="1"/>
    </row>
    <row r="60" spans="1:26" x14ac:dyDescent="0.2">
      <c r="A60" s="2">
        <v>720</v>
      </c>
      <c r="B60" s="1" t="s">
        <v>47</v>
      </c>
      <c r="C60" s="1"/>
      <c r="D60" s="3">
        <v>29127.5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 t="s">
        <v>4</v>
      </c>
      <c r="T60" s="1"/>
      <c r="U60" s="1"/>
      <c r="V60" s="1"/>
      <c r="W60" s="1"/>
      <c r="X60" s="1"/>
      <c r="Y60" s="1"/>
      <c r="Z60" s="1"/>
    </row>
    <row r="61" spans="1:26" x14ac:dyDescent="0.2">
      <c r="A61" s="2">
        <v>242</v>
      </c>
      <c r="B61" s="1"/>
      <c r="C61" s="3">
        <v>96400</v>
      </c>
      <c r="D61" s="3">
        <v>88850</v>
      </c>
      <c r="E61" s="3">
        <v>83880</v>
      </c>
      <c r="F61" s="3">
        <v>90965</v>
      </c>
      <c r="G61" s="3">
        <v>86975</v>
      </c>
      <c r="H61" s="3">
        <v>84160</v>
      </c>
      <c r="I61" s="3">
        <v>75900</v>
      </c>
      <c r="J61" s="3">
        <v>95105</v>
      </c>
      <c r="K61" s="1"/>
      <c r="L61" s="1"/>
      <c r="M61" s="1"/>
      <c r="N61" s="1"/>
      <c r="O61" s="1"/>
      <c r="P61" s="1"/>
      <c r="Q61" s="1"/>
      <c r="R61" s="1"/>
      <c r="S61" s="1" t="s">
        <v>6</v>
      </c>
      <c r="T61" s="1"/>
      <c r="U61" s="1"/>
      <c r="V61" s="1"/>
      <c r="W61" s="1"/>
      <c r="X61" s="1"/>
      <c r="Y61" s="1"/>
      <c r="Z61" s="1"/>
    </row>
    <row r="62" spans="1:26" x14ac:dyDescent="0.2">
      <c r="A62" s="2">
        <v>596</v>
      </c>
      <c r="B62" s="1"/>
      <c r="C62" s="3">
        <v>41565</v>
      </c>
      <c r="D62" s="3">
        <v>29960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 t="s">
        <v>4</v>
      </c>
      <c r="T62" s="1"/>
      <c r="U62" s="1"/>
      <c r="V62" s="1"/>
      <c r="W62" s="1"/>
      <c r="X62" s="1"/>
      <c r="Y62" s="1"/>
      <c r="Z62" s="1"/>
    </row>
    <row r="63" spans="1:26" x14ac:dyDescent="0.2">
      <c r="A63" s="2">
        <v>266</v>
      </c>
      <c r="B63" s="1"/>
      <c r="C63" s="3">
        <v>45950</v>
      </c>
      <c r="D63" s="3">
        <v>45950</v>
      </c>
      <c r="E63" s="1"/>
      <c r="F63" s="3">
        <v>46995</v>
      </c>
      <c r="G63" s="3">
        <v>46995</v>
      </c>
      <c r="H63" s="3">
        <v>46995</v>
      </c>
      <c r="I63" s="3">
        <v>46995</v>
      </c>
      <c r="J63" s="3">
        <v>46995</v>
      </c>
      <c r="K63" s="3">
        <v>46995</v>
      </c>
      <c r="L63" s="3">
        <v>46995</v>
      </c>
      <c r="M63" s="3">
        <v>46995</v>
      </c>
      <c r="N63" s="3">
        <v>46995</v>
      </c>
      <c r="O63" s="3">
        <v>46995</v>
      </c>
      <c r="P63" s="3">
        <v>46995</v>
      </c>
      <c r="Q63" s="3">
        <v>46995</v>
      </c>
      <c r="R63" s="1"/>
      <c r="S63" s="1" t="s">
        <v>6</v>
      </c>
      <c r="T63" s="1"/>
      <c r="U63" s="1"/>
      <c r="V63" s="1"/>
      <c r="W63" s="1"/>
      <c r="X63" s="1"/>
      <c r="Y63" s="1"/>
      <c r="Z63" s="1"/>
    </row>
    <row r="64" spans="1:26" x14ac:dyDescent="0.2">
      <c r="A64" s="2">
        <v>498</v>
      </c>
      <c r="B64" s="1"/>
      <c r="C64" s="3">
        <v>70650</v>
      </c>
      <c r="D64" s="3">
        <v>74650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 t="s">
        <v>4</v>
      </c>
      <c r="T64" s="1"/>
      <c r="U64" s="1"/>
      <c r="V64" s="1"/>
      <c r="W64" s="1"/>
      <c r="X64" s="1"/>
      <c r="Y64" s="1"/>
      <c r="Z64" s="1"/>
    </row>
    <row r="65" spans="1:26" x14ac:dyDescent="0.2">
      <c r="A65" s="2">
        <v>524</v>
      </c>
      <c r="B65" s="1"/>
      <c r="C65" s="3">
        <v>252293.75</v>
      </c>
      <c r="D65" s="3">
        <v>296130.71000000002</v>
      </c>
      <c r="E65" s="3">
        <v>243591.67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 t="s">
        <v>7</v>
      </c>
      <c r="T65" s="1"/>
      <c r="U65" s="1"/>
      <c r="V65" s="1"/>
      <c r="W65" s="1"/>
      <c r="X65" s="1"/>
      <c r="Y65" s="1"/>
      <c r="Z65" s="1"/>
    </row>
    <row r="66" spans="1:26" x14ac:dyDescent="0.2">
      <c r="A66" s="2">
        <v>626</v>
      </c>
      <c r="B66" s="1"/>
      <c r="C66" s="1" t="s">
        <v>46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 t="s">
        <v>4</v>
      </c>
      <c r="T66" s="1"/>
      <c r="U66" s="1"/>
      <c r="V66" s="1"/>
      <c r="W66" s="1"/>
      <c r="X66" s="1"/>
      <c r="Y66" s="1"/>
      <c r="Z66" s="1"/>
    </row>
    <row r="67" spans="1:26" x14ac:dyDescent="0.2">
      <c r="A67" s="2">
        <v>684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 t="s">
        <v>4</v>
      </c>
      <c r="T67" s="1"/>
      <c r="U67" s="1"/>
      <c r="V67" s="1"/>
      <c r="W67" s="1"/>
      <c r="X67" s="1"/>
      <c r="Y67" s="1"/>
      <c r="Z67" s="1"/>
    </row>
    <row r="68" spans="1:26" x14ac:dyDescent="0.2">
      <c r="A68" s="2">
        <v>548</v>
      </c>
      <c r="B68" s="1"/>
      <c r="C68" s="3">
        <v>674000</v>
      </c>
      <c r="D68" s="3">
        <v>674000</v>
      </c>
      <c r="E68" s="3">
        <v>674000</v>
      </c>
      <c r="F68" s="3">
        <v>674000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 t="s">
        <v>5</v>
      </c>
      <c r="T68" s="1"/>
      <c r="U68" s="1"/>
      <c r="V68" s="1"/>
      <c r="W68" s="1"/>
      <c r="X68" s="1"/>
      <c r="Y68" s="1"/>
      <c r="Z68" s="1"/>
    </row>
    <row r="69" spans="1:26" x14ac:dyDescent="0.2">
      <c r="A69" s="2">
        <v>493</v>
      </c>
      <c r="B69" s="1" t="s">
        <v>45</v>
      </c>
      <c r="C69" s="3">
        <v>36950</v>
      </c>
      <c r="D69" s="3">
        <v>36950</v>
      </c>
      <c r="E69" s="3">
        <v>36950</v>
      </c>
      <c r="F69" s="1"/>
      <c r="G69" s="3">
        <v>55225</v>
      </c>
      <c r="H69" s="3">
        <v>55225</v>
      </c>
      <c r="I69" s="3">
        <v>55225</v>
      </c>
      <c r="J69" s="3">
        <v>55225</v>
      </c>
      <c r="K69" s="3">
        <v>55225</v>
      </c>
      <c r="L69" s="3">
        <v>55225</v>
      </c>
      <c r="M69" s="3">
        <v>55225</v>
      </c>
      <c r="N69" s="3">
        <v>55225</v>
      </c>
      <c r="O69" s="3">
        <v>55225</v>
      </c>
      <c r="P69" s="3">
        <v>55225</v>
      </c>
      <c r="Q69" s="3">
        <v>55225</v>
      </c>
      <c r="R69" s="3">
        <v>55225</v>
      </c>
      <c r="S69" s="1" t="s">
        <v>10</v>
      </c>
      <c r="T69" s="1"/>
      <c r="U69" s="1"/>
      <c r="V69" s="1"/>
      <c r="W69" s="1"/>
      <c r="X69" s="1"/>
      <c r="Y69" s="1"/>
      <c r="Z69" s="1"/>
    </row>
    <row r="70" spans="1:26" x14ac:dyDescent="0.2">
      <c r="A70" s="2">
        <v>493</v>
      </c>
      <c r="B70" s="1" t="s">
        <v>47</v>
      </c>
      <c r="C70" s="3">
        <v>10200</v>
      </c>
      <c r="D70" s="3">
        <v>11900</v>
      </c>
      <c r="E70" s="3">
        <v>11050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 t="s">
        <v>10</v>
      </c>
      <c r="T70" s="1"/>
      <c r="U70" s="1"/>
      <c r="V70" s="1"/>
      <c r="W70" s="1"/>
      <c r="X70" s="1"/>
      <c r="Y70" s="1"/>
      <c r="Z70" s="1"/>
    </row>
    <row r="71" spans="1:26" x14ac:dyDescent="0.2">
      <c r="A71" s="2">
        <v>674</v>
      </c>
      <c r="B71" s="1" t="s">
        <v>45</v>
      </c>
      <c r="C71" s="3">
        <v>89020</v>
      </c>
      <c r="D71" s="3">
        <v>95035</v>
      </c>
      <c r="E71" s="3">
        <v>100355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 t="s">
        <v>8</v>
      </c>
      <c r="T71" s="1"/>
      <c r="U71" s="1"/>
      <c r="V71" s="1"/>
      <c r="W71" s="1"/>
      <c r="X71" s="1"/>
      <c r="Y71" s="1"/>
      <c r="Z71" s="1"/>
    </row>
    <row r="72" spans="1:26" x14ac:dyDescent="0.2">
      <c r="A72" s="2">
        <v>674</v>
      </c>
      <c r="B72" s="1" t="s">
        <v>47</v>
      </c>
      <c r="C72" s="3">
        <v>17351</v>
      </c>
      <c r="D72" s="3">
        <v>26034</v>
      </c>
      <c r="E72" s="3">
        <v>27422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 t="s">
        <v>8</v>
      </c>
      <c r="T72" s="1"/>
      <c r="U72" s="1"/>
      <c r="V72" s="1"/>
      <c r="W72" s="1"/>
      <c r="X72" s="1"/>
      <c r="Y72" s="1"/>
      <c r="Z72" s="1"/>
    </row>
    <row r="73" spans="1:26" x14ac:dyDescent="0.2">
      <c r="A73" s="2">
        <v>624</v>
      </c>
      <c r="B73" s="1" t="s">
        <v>45</v>
      </c>
      <c r="C73" s="3">
        <v>18000</v>
      </c>
      <c r="D73" s="3">
        <v>18000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 t="s">
        <v>8</v>
      </c>
      <c r="T73" s="1"/>
      <c r="U73" s="1"/>
      <c r="V73" s="1"/>
      <c r="W73" s="1"/>
      <c r="X73" s="1"/>
      <c r="Y73" s="1"/>
      <c r="Z73" s="1"/>
    </row>
    <row r="74" spans="1:26" x14ac:dyDescent="0.2">
      <c r="A74" s="2">
        <v>624</v>
      </c>
      <c r="B74" s="1" t="s">
        <v>47</v>
      </c>
      <c r="C74" s="3">
        <v>16880</v>
      </c>
      <c r="D74" s="3">
        <v>21100</v>
      </c>
      <c r="E74" s="3">
        <v>30400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 t="s">
        <v>8</v>
      </c>
      <c r="T74" s="1"/>
      <c r="U74" s="1"/>
      <c r="V74" s="1"/>
      <c r="W74" s="1"/>
      <c r="X74" s="1"/>
      <c r="Y74" s="1"/>
      <c r="Z74" s="1"/>
    </row>
    <row r="75" spans="1:26" x14ac:dyDescent="0.2">
      <c r="A75" s="2">
        <v>721</v>
      </c>
      <c r="B75" s="1" t="s">
        <v>45</v>
      </c>
      <c r="C75" s="1"/>
      <c r="D75" s="3">
        <v>21000</v>
      </c>
      <c r="E75" s="3">
        <v>21000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 t="s">
        <v>8</v>
      </c>
      <c r="T75" s="1"/>
      <c r="U75" s="1"/>
      <c r="V75" s="1"/>
      <c r="W75" s="1"/>
      <c r="X75" s="1"/>
      <c r="Y75" s="1"/>
      <c r="Z75" s="1"/>
    </row>
    <row r="76" spans="1:26" x14ac:dyDescent="0.2">
      <c r="A76" s="2">
        <v>721</v>
      </c>
      <c r="B76" s="1" t="s">
        <v>47</v>
      </c>
      <c r="C76" s="1"/>
      <c r="D76" s="3">
        <v>10500</v>
      </c>
      <c r="E76" s="3">
        <v>14700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 t="s">
        <v>8</v>
      </c>
      <c r="T76" s="1"/>
      <c r="U76" s="1"/>
      <c r="V76" s="1"/>
      <c r="W76" s="1"/>
      <c r="X76" s="1"/>
      <c r="Y76" s="1"/>
      <c r="Z76" s="1"/>
    </row>
    <row r="77" spans="1:26" x14ac:dyDescent="0.2">
      <c r="A77" s="2">
        <v>509</v>
      </c>
      <c r="B77" s="1" t="s">
        <v>45</v>
      </c>
      <c r="C77" s="3">
        <v>59600</v>
      </c>
      <c r="D77" s="3">
        <v>59600</v>
      </c>
      <c r="E77" s="3">
        <v>59600</v>
      </c>
      <c r="F77" s="3">
        <v>39600</v>
      </c>
      <c r="G77" s="3">
        <v>39600</v>
      </c>
      <c r="H77" s="3">
        <v>39600</v>
      </c>
      <c r="I77" s="3">
        <v>39600</v>
      </c>
      <c r="J77" s="3">
        <v>39600</v>
      </c>
      <c r="K77" s="3">
        <v>39600</v>
      </c>
      <c r="L77" s="3">
        <v>39600</v>
      </c>
      <c r="M77" s="3">
        <v>39600</v>
      </c>
      <c r="N77" s="3">
        <v>39600</v>
      </c>
      <c r="O77" s="3">
        <v>39600</v>
      </c>
      <c r="P77" s="3">
        <v>39600</v>
      </c>
      <c r="Q77" s="3">
        <v>39600</v>
      </c>
      <c r="R77" s="3">
        <v>40100</v>
      </c>
      <c r="S77" s="1" t="s">
        <v>6</v>
      </c>
      <c r="T77" s="1"/>
      <c r="U77" s="1"/>
      <c r="V77" s="1"/>
      <c r="W77" s="1"/>
      <c r="X77" s="1"/>
      <c r="Y77" s="1"/>
      <c r="Z77" s="1"/>
    </row>
    <row r="78" spans="1:26" x14ac:dyDescent="0.2">
      <c r="A78" s="2">
        <v>509</v>
      </c>
      <c r="B78" s="1" t="s">
        <v>47</v>
      </c>
      <c r="C78" s="3">
        <v>65450</v>
      </c>
      <c r="D78" s="3">
        <v>50150</v>
      </c>
      <c r="E78" s="3">
        <v>34000</v>
      </c>
      <c r="F78" s="3">
        <v>97555</v>
      </c>
      <c r="G78" s="3">
        <v>54595</v>
      </c>
      <c r="H78" s="3">
        <v>53700</v>
      </c>
      <c r="I78" s="3">
        <v>50120</v>
      </c>
      <c r="J78" s="3">
        <v>8055</v>
      </c>
      <c r="K78" s="3">
        <v>53700</v>
      </c>
      <c r="L78" s="3">
        <v>53700</v>
      </c>
      <c r="M78" s="3">
        <v>25060</v>
      </c>
      <c r="N78" s="3">
        <v>53700</v>
      </c>
      <c r="O78" s="3">
        <v>56385</v>
      </c>
      <c r="P78" s="3">
        <v>75180</v>
      </c>
      <c r="Q78" s="3">
        <v>8950</v>
      </c>
      <c r="R78" s="3">
        <v>56385</v>
      </c>
      <c r="S78" s="1" t="s">
        <v>6</v>
      </c>
      <c r="T78" s="1"/>
      <c r="U78" s="1"/>
      <c r="V78" s="1"/>
      <c r="W78" s="1"/>
      <c r="X78" s="1"/>
      <c r="Y78" s="1"/>
      <c r="Z78" s="1"/>
    </row>
    <row r="79" spans="1:26" x14ac:dyDescent="0.2">
      <c r="A79" s="2">
        <v>509</v>
      </c>
      <c r="B79" s="1" t="s">
        <v>50</v>
      </c>
      <c r="C79" s="3">
        <v>67485</v>
      </c>
      <c r="D79" s="3">
        <v>67485</v>
      </c>
      <c r="E79" s="3">
        <v>67485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 t="s">
        <v>6</v>
      </c>
      <c r="T79" s="1"/>
      <c r="U79" s="1"/>
      <c r="V79" s="1"/>
      <c r="W79" s="1"/>
      <c r="X79" s="1"/>
      <c r="Y79" s="1"/>
      <c r="Z79" s="1"/>
    </row>
    <row r="80" spans="1:26" x14ac:dyDescent="0.2">
      <c r="A80" s="2">
        <v>687</v>
      </c>
      <c r="B80" s="1"/>
      <c r="C80" s="3">
        <v>99783</v>
      </c>
      <c r="D80" s="3">
        <v>99958.5</v>
      </c>
      <c r="E80" s="3">
        <v>99958.5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 t="s">
        <v>6</v>
      </c>
      <c r="T80" s="1"/>
      <c r="U80" s="1"/>
      <c r="V80" s="1"/>
      <c r="W80" s="1"/>
      <c r="X80" s="1"/>
      <c r="Y80" s="1"/>
      <c r="Z80" s="1"/>
    </row>
    <row r="81" spans="1:26" x14ac:dyDescent="0.2">
      <c r="A81" s="2">
        <v>230</v>
      </c>
      <c r="B81" s="1" t="s">
        <v>45</v>
      </c>
      <c r="C81" s="3">
        <v>40745</v>
      </c>
      <c r="D81" s="3">
        <v>40745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 t="s">
        <v>6</v>
      </c>
      <c r="T81" s="1"/>
      <c r="U81" s="1"/>
      <c r="V81" s="1"/>
      <c r="W81" s="1"/>
      <c r="X81" s="1"/>
      <c r="Y81" s="1"/>
      <c r="Z81" s="1"/>
    </row>
    <row r="82" spans="1:26" x14ac:dyDescent="0.2">
      <c r="A82" s="2">
        <v>230</v>
      </c>
      <c r="B82" s="1" t="s">
        <v>47</v>
      </c>
      <c r="C82" s="3">
        <v>17325</v>
      </c>
      <c r="D82" s="3">
        <v>21480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 t="s">
        <v>6</v>
      </c>
      <c r="T82" s="1"/>
      <c r="U82" s="1"/>
      <c r="V82" s="1"/>
      <c r="W82" s="1"/>
      <c r="X82" s="1"/>
      <c r="Y82" s="1"/>
      <c r="Z82" s="1"/>
    </row>
    <row r="83" spans="1:26" x14ac:dyDescent="0.2">
      <c r="A83" s="2">
        <v>703</v>
      </c>
      <c r="B83" s="1"/>
      <c r="C83" s="1"/>
      <c r="D83" s="3">
        <v>72900</v>
      </c>
      <c r="E83" s="3">
        <v>60900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 t="s">
        <v>4</v>
      </c>
      <c r="T83" s="1"/>
      <c r="U83" s="1"/>
      <c r="V83" s="1"/>
      <c r="W83" s="1"/>
      <c r="X83" s="1"/>
      <c r="Y83" s="1"/>
      <c r="Z83" s="1"/>
    </row>
    <row r="84" spans="1:26" x14ac:dyDescent="0.2">
      <c r="A84" s="2">
        <v>529</v>
      </c>
      <c r="B84" s="1" t="s">
        <v>49</v>
      </c>
      <c r="C84" s="3">
        <v>75310</v>
      </c>
      <c r="D84" s="3">
        <v>71060</v>
      </c>
      <c r="E84" s="3">
        <v>71060</v>
      </c>
      <c r="F84" s="3">
        <v>76500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 t="s">
        <v>4</v>
      </c>
      <c r="T84" s="1"/>
      <c r="U84" s="1"/>
      <c r="V84" s="1"/>
      <c r="W84" s="1"/>
      <c r="X84" s="1"/>
      <c r="Y84" s="1"/>
      <c r="Z84" s="1"/>
    </row>
    <row r="85" spans="1:26" x14ac:dyDescent="0.2">
      <c r="A85" s="2">
        <v>453</v>
      </c>
      <c r="B85" s="1"/>
      <c r="C85" s="1" t="s">
        <v>48</v>
      </c>
      <c r="D85" s="3">
        <v>39245</v>
      </c>
      <c r="E85" s="3">
        <v>44320</v>
      </c>
      <c r="F85" s="3">
        <v>177635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 t="s">
        <v>4</v>
      </c>
      <c r="T85" s="1"/>
      <c r="U85" s="1"/>
      <c r="V85" s="1"/>
      <c r="W85" s="1"/>
      <c r="X85" s="1"/>
      <c r="Y85" s="1"/>
      <c r="Z85" s="1"/>
    </row>
    <row r="86" spans="1:26" x14ac:dyDescent="0.2">
      <c r="A86" s="2">
        <v>429</v>
      </c>
      <c r="B86" s="1"/>
      <c r="C86" s="3">
        <v>30280</v>
      </c>
      <c r="D86" s="3">
        <v>35580</v>
      </c>
      <c r="E86" s="3">
        <v>35830</v>
      </c>
      <c r="F86" s="3">
        <v>42830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 t="s">
        <v>6</v>
      </c>
      <c r="T86" s="1"/>
      <c r="U86" s="1"/>
      <c r="V86" s="1"/>
      <c r="W86" s="1"/>
      <c r="X86" s="1"/>
      <c r="Y86" s="1"/>
      <c r="Z86" s="1"/>
    </row>
    <row r="87" spans="1:26" x14ac:dyDescent="0.2">
      <c r="A87" s="2">
        <v>381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 t="s">
        <v>7</v>
      </c>
      <c r="T87" s="1"/>
      <c r="U87" s="1"/>
      <c r="V87" s="1"/>
      <c r="W87" s="1"/>
      <c r="X87" s="1"/>
      <c r="Y87" s="1"/>
      <c r="Z87" s="1"/>
    </row>
    <row r="88" spans="1:26" x14ac:dyDescent="0.2">
      <c r="A88" s="2">
        <v>556</v>
      </c>
      <c r="B88" s="1"/>
      <c r="C88" s="3">
        <v>34225</v>
      </c>
      <c r="D88" s="1" t="s">
        <v>46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 t="s">
        <v>7</v>
      </c>
      <c r="T88" s="1"/>
      <c r="U88" s="1"/>
      <c r="V88" s="1"/>
      <c r="W88" s="1"/>
      <c r="X88" s="1"/>
      <c r="Y88" s="1"/>
      <c r="Z88" s="1"/>
    </row>
    <row r="89" spans="1:26" x14ac:dyDescent="0.2">
      <c r="A89" s="2">
        <v>640</v>
      </c>
      <c r="B89" s="1" t="s">
        <v>45</v>
      </c>
      <c r="C89" s="3">
        <v>65820</v>
      </c>
      <c r="D89" s="3">
        <v>65820</v>
      </c>
      <c r="E89" s="3">
        <v>71735</v>
      </c>
      <c r="F89" s="3">
        <v>71735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 t="s">
        <v>8</v>
      </c>
      <c r="T89" s="1"/>
      <c r="U89" s="1"/>
      <c r="V89" s="1"/>
      <c r="W89" s="1"/>
      <c r="X89" s="1"/>
      <c r="Y89" s="1"/>
      <c r="Z89" s="1"/>
    </row>
    <row r="90" spans="1:26" x14ac:dyDescent="0.2">
      <c r="A90" s="2">
        <v>640</v>
      </c>
      <c r="B90" s="1" t="s">
        <v>47</v>
      </c>
      <c r="C90" s="3">
        <v>4220</v>
      </c>
      <c r="D90" s="3">
        <v>3165</v>
      </c>
      <c r="E90" s="3">
        <v>3165</v>
      </c>
      <c r="F90" s="3">
        <v>6330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 t="s">
        <v>8</v>
      </c>
      <c r="T90" s="1"/>
      <c r="U90" s="1"/>
      <c r="V90" s="1"/>
      <c r="W90" s="1"/>
      <c r="X90" s="1"/>
      <c r="Y90" s="1"/>
      <c r="Z90" s="1"/>
    </row>
    <row r="91" spans="1:26" x14ac:dyDescent="0.2">
      <c r="A91" s="2">
        <v>101</v>
      </c>
      <c r="B91" s="1"/>
      <c r="C91" s="3">
        <v>43800</v>
      </c>
      <c r="D91" s="3">
        <v>43800</v>
      </c>
      <c r="E91" s="3">
        <v>43800</v>
      </c>
      <c r="F91" s="1" t="s">
        <v>46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 t="s">
        <v>8</v>
      </c>
      <c r="T91" s="1"/>
      <c r="U91" s="1"/>
      <c r="V91" s="1"/>
      <c r="W91" s="1"/>
      <c r="X91" s="1"/>
      <c r="Y91" s="1"/>
      <c r="Z91" s="1"/>
    </row>
    <row r="92" spans="1:26" x14ac:dyDescent="0.2">
      <c r="A92" s="2">
        <v>653</v>
      </c>
      <c r="B92" s="1"/>
      <c r="C92" s="3">
        <v>68285</v>
      </c>
      <c r="D92" s="3">
        <v>70445</v>
      </c>
      <c r="E92" s="3">
        <v>70445</v>
      </c>
      <c r="F92" s="3">
        <v>70445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 t="s">
        <v>4</v>
      </c>
      <c r="T92" s="1"/>
      <c r="U92" s="1"/>
      <c r="V92" s="1"/>
      <c r="W92" s="1"/>
      <c r="X92" s="1"/>
      <c r="Y92" s="1"/>
      <c r="Z92" s="1"/>
    </row>
    <row r="93" spans="1:26" x14ac:dyDescent="0.2">
      <c r="A93" s="2">
        <v>174</v>
      </c>
      <c r="B93" s="1"/>
      <c r="C93" s="3">
        <v>127200</v>
      </c>
      <c r="D93" s="3">
        <v>127200</v>
      </c>
      <c r="E93" s="3">
        <v>127200</v>
      </c>
      <c r="F93" s="3">
        <v>127200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 t="s">
        <v>7</v>
      </c>
      <c r="T93" s="1"/>
      <c r="U93" s="1"/>
      <c r="V93" s="1"/>
      <c r="W93" s="1"/>
      <c r="X93" s="1"/>
      <c r="Y93" s="1"/>
      <c r="Z93" s="1"/>
    </row>
    <row r="94" spans="1:26" x14ac:dyDescent="0.2">
      <c r="A94" s="2">
        <v>714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 t="s">
        <v>8</v>
      </c>
      <c r="T94" s="1"/>
      <c r="U94" s="1"/>
      <c r="V94" s="1"/>
      <c r="W94" s="1"/>
      <c r="X94" s="1"/>
      <c r="Y94" s="1"/>
      <c r="Z94" s="1"/>
    </row>
    <row r="95" spans="1:26" x14ac:dyDescent="0.2">
      <c r="A95" s="2">
        <v>649</v>
      </c>
      <c r="B95" s="1" t="s">
        <v>45</v>
      </c>
      <c r="C95" s="1"/>
      <c r="D95" s="3">
        <v>83050</v>
      </c>
      <c r="E95" s="3">
        <v>96750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 t="s">
        <v>6</v>
      </c>
      <c r="T95" s="1"/>
      <c r="U95" s="1"/>
      <c r="V95" s="1"/>
      <c r="W95" s="1"/>
      <c r="X95" s="1"/>
      <c r="Y95" s="1"/>
      <c r="Z95" s="1"/>
    </row>
    <row r="96" spans="1:26" x14ac:dyDescent="0.2">
      <c r="A96" s="2">
        <v>649</v>
      </c>
      <c r="B96" s="1" t="s">
        <v>47</v>
      </c>
      <c r="C96" s="1"/>
      <c r="D96" s="3">
        <v>27820</v>
      </c>
      <c r="E96" s="3">
        <v>26555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 t="s">
        <v>6</v>
      </c>
      <c r="T96" s="1"/>
      <c r="U96" s="1"/>
      <c r="V96" s="1"/>
      <c r="W96" s="1"/>
      <c r="X96" s="1"/>
      <c r="Y96" s="1"/>
      <c r="Z96" s="1"/>
    </row>
    <row r="97" spans="1:26" x14ac:dyDescent="0.2">
      <c r="A97" s="2">
        <v>649</v>
      </c>
      <c r="B97" s="1" t="s">
        <v>47</v>
      </c>
      <c r="C97" s="1"/>
      <c r="D97" s="1"/>
      <c r="E97" s="3">
        <v>2745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 t="s">
        <v>6</v>
      </c>
      <c r="T97" s="1"/>
      <c r="U97" s="1"/>
      <c r="V97" s="1"/>
      <c r="W97" s="1"/>
      <c r="X97" s="1"/>
      <c r="Y97" s="1"/>
      <c r="Z97" s="1"/>
    </row>
    <row r="98" spans="1:26" x14ac:dyDescent="0.2">
      <c r="A98" s="2">
        <v>671</v>
      </c>
      <c r="B98" s="1" t="s">
        <v>45</v>
      </c>
      <c r="C98" s="3">
        <v>28000</v>
      </c>
      <c r="D98" s="3">
        <v>37000</v>
      </c>
      <c r="E98" s="3">
        <v>37000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 t="s">
        <v>6</v>
      </c>
      <c r="T98" s="1"/>
      <c r="U98" s="1"/>
      <c r="V98" s="1"/>
      <c r="W98" s="1"/>
      <c r="X98" s="1"/>
      <c r="Y98" s="1"/>
      <c r="Z98" s="1"/>
    </row>
    <row r="99" spans="1:26" x14ac:dyDescent="0.2">
      <c r="A99" s="2">
        <v>671</v>
      </c>
      <c r="B99" s="1" t="s">
        <v>47</v>
      </c>
      <c r="C99" s="1"/>
      <c r="D99" s="3">
        <v>68805</v>
      </c>
      <c r="E99" s="3">
        <v>67835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 t="s">
        <v>6</v>
      </c>
      <c r="T99" s="1"/>
      <c r="U99" s="1"/>
      <c r="V99" s="1"/>
      <c r="W99" s="1"/>
      <c r="X99" s="1"/>
      <c r="Y99" s="1"/>
      <c r="Z99" s="1"/>
    </row>
    <row r="100" spans="1:26" x14ac:dyDescent="0.2">
      <c r="A100" s="2">
        <v>671</v>
      </c>
      <c r="B100" s="1" t="s">
        <v>47</v>
      </c>
      <c r="C100" s="1"/>
      <c r="D100" s="1"/>
      <c r="E100" s="3">
        <v>3395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 t="s">
        <v>6</v>
      </c>
      <c r="T100" s="1"/>
      <c r="U100" s="1"/>
      <c r="V100" s="1"/>
      <c r="W100" s="1"/>
      <c r="X100" s="1"/>
      <c r="Y100" s="1"/>
      <c r="Z100" s="1"/>
    </row>
    <row r="101" spans="1:26" x14ac:dyDescent="0.2">
      <c r="A101" s="2">
        <v>732</v>
      </c>
      <c r="B101" s="1" t="s">
        <v>45</v>
      </c>
      <c r="C101" s="1"/>
      <c r="D101" s="1"/>
      <c r="E101" s="1"/>
      <c r="F101" s="1"/>
      <c r="G101" s="1"/>
      <c r="H101" s="1"/>
      <c r="I101" s="3">
        <v>153212.5</v>
      </c>
      <c r="J101" s="1"/>
      <c r="K101" s="1"/>
      <c r="L101" s="1"/>
      <c r="M101" s="1"/>
      <c r="N101" s="1"/>
      <c r="O101" s="1"/>
      <c r="P101" s="1"/>
      <c r="Q101" s="1"/>
      <c r="R101" s="1"/>
      <c r="S101" s="1" t="s">
        <v>11</v>
      </c>
      <c r="T101" s="1"/>
      <c r="U101" s="1"/>
      <c r="V101" s="1"/>
      <c r="W101" s="1"/>
      <c r="X101" s="1"/>
      <c r="Y101" s="1"/>
      <c r="Z101" s="1"/>
    </row>
    <row r="102" spans="1:26" x14ac:dyDescent="0.2">
      <c r="A102" s="2">
        <v>732</v>
      </c>
      <c r="B102" s="1" t="s">
        <v>47</v>
      </c>
      <c r="C102" s="1"/>
      <c r="D102" s="1"/>
      <c r="E102" s="1"/>
      <c r="F102" s="1"/>
      <c r="G102" s="1"/>
      <c r="H102" s="1"/>
      <c r="I102" s="3">
        <v>153212.5</v>
      </c>
      <c r="J102" s="1"/>
      <c r="K102" s="1"/>
      <c r="L102" s="1"/>
      <c r="M102" s="1"/>
      <c r="N102" s="1"/>
      <c r="O102" s="1"/>
      <c r="P102" s="1"/>
      <c r="Q102" s="1"/>
      <c r="R102" s="1"/>
      <c r="S102" s="1" t="s">
        <v>11</v>
      </c>
      <c r="T102" s="1"/>
      <c r="U102" s="1"/>
      <c r="V102" s="1"/>
      <c r="W102" s="1"/>
      <c r="X102" s="1"/>
      <c r="Y102" s="1"/>
      <c r="Z102" s="1"/>
    </row>
    <row r="103" spans="1:26" x14ac:dyDescent="0.2">
      <c r="A103" s="2">
        <v>530</v>
      </c>
      <c r="B103" s="1" t="s">
        <v>49</v>
      </c>
      <c r="C103" s="3">
        <v>44030</v>
      </c>
      <c r="D103" s="3">
        <v>48280</v>
      </c>
      <c r="E103" s="3">
        <v>44030</v>
      </c>
      <c r="F103" s="3">
        <v>44030</v>
      </c>
      <c r="G103" s="3">
        <v>48280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 t="s">
        <v>4</v>
      </c>
      <c r="T103" s="1"/>
      <c r="U103" s="1"/>
      <c r="V103" s="1"/>
      <c r="W103" s="1"/>
      <c r="X103" s="1"/>
      <c r="Y103" s="1"/>
      <c r="Z103" s="1"/>
    </row>
    <row r="104" spans="1:26" x14ac:dyDescent="0.2">
      <c r="A104" s="2">
        <v>549</v>
      </c>
      <c r="B104" s="1"/>
      <c r="C104" s="3">
        <v>47234</v>
      </c>
      <c r="D104" s="3">
        <v>53608.5</v>
      </c>
      <c r="E104" s="3">
        <v>47234</v>
      </c>
      <c r="F104" s="3">
        <v>46958.5</v>
      </c>
      <c r="G104" s="3">
        <v>53884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 t="s">
        <v>4</v>
      </c>
      <c r="T104" s="1"/>
      <c r="U104" s="1"/>
      <c r="V104" s="1"/>
      <c r="W104" s="1"/>
      <c r="X104" s="1"/>
      <c r="Y104" s="1"/>
      <c r="Z104" s="1"/>
    </row>
    <row r="105" spans="1:26" x14ac:dyDescent="0.2">
      <c r="A105" s="2">
        <v>686</v>
      </c>
      <c r="B105" s="1"/>
      <c r="C105" s="3">
        <v>108866.5</v>
      </c>
      <c r="D105" s="3">
        <v>42297</v>
      </c>
      <c r="E105" s="3">
        <v>77784.5</v>
      </c>
      <c r="F105" s="3">
        <v>48173.5</v>
      </c>
      <c r="G105" s="3">
        <v>86496.5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 t="s">
        <v>4</v>
      </c>
      <c r="T105" s="1"/>
      <c r="U105" s="1"/>
      <c r="V105" s="1"/>
      <c r="W105" s="1"/>
      <c r="X105" s="1"/>
      <c r="Y105" s="1"/>
      <c r="Z105" s="1"/>
    </row>
    <row r="106" spans="1:26" x14ac:dyDescent="0.2">
      <c r="A106" s="2">
        <v>56</v>
      </c>
      <c r="B106" s="1"/>
      <c r="C106" s="1"/>
      <c r="D106" s="1"/>
      <c r="E106" s="3">
        <v>24615</v>
      </c>
      <c r="F106" s="3">
        <v>25672.5</v>
      </c>
      <c r="G106" s="3">
        <v>25672.5</v>
      </c>
      <c r="H106" s="1"/>
      <c r="I106" s="1"/>
      <c r="J106" s="1"/>
      <c r="K106" s="1"/>
      <c r="L106" s="1"/>
      <c r="M106" s="1"/>
      <c r="N106" s="1"/>
      <c r="O106" s="1"/>
      <c r="P106" s="1"/>
      <c r="Q106" s="3">
        <v>41409</v>
      </c>
      <c r="R106" s="3">
        <v>40869</v>
      </c>
      <c r="S106" s="1" t="s">
        <v>4</v>
      </c>
      <c r="T106" s="1"/>
      <c r="U106" s="1"/>
      <c r="V106" s="1"/>
      <c r="W106" s="1"/>
      <c r="X106" s="1"/>
      <c r="Y106" s="1"/>
      <c r="Z106" s="1"/>
    </row>
    <row r="107" spans="1:26" x14ac:dyDescent="0.2">
      <c r="A107" s="2">
        <v>692</v>
      </c>
      <c r="B107" s="1" t="s">
        <v>49</v>
      </c>
      <c r="C107" s="3">
        <v>47540</v>
      </c>
      <c r="D107" s="3">
        <v>48410</v>
      </c>
      <c r="E107" s="3">
        <v>52180</v>
      </c>
      <c r="F107" s="3">
        <v>45800</v>
      </c>
      <c r="G107" s="3">
        <v>46380</v>
      </c>
      <c r="H107" s="1" t="s">
        <v>51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 t="s">
        <v>8</v>
      </c>
      <c r="T107" s="1"/>
      <c r="U107" s="1"/>
      <c r="V107" s="1"/>
      <c r="W107" s="1"/>
      <c r="X107" s="1"/>
      <c r="Y107" s="1"/>
      <c r="Z107" s="1"/>
    </row>
    <row r="108" spans="1:26" x14ac:dyDescent="0.2">
      <c r="A108" s="2">
        <v>647</v>
      </c>
      <c r="B108" s="1" t="s">
        <v>45</v>
      </c>
      <c r="C108" s="3">
        <v>153424</v>
      </c>
      <c r="D108" s="3">
        <v>180056</v>
      </c>
      <c r="E108" s="3">
        <v>68919.679999999993</v>
      </c>
      <c r="F108" s="3">
        <v>84605</v>
      </c>
      <c r="G108" s="3">
        <v>85135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 t="s">
        <v>8</v>
      </c>
      <c r="T108" s="1"/>
      <c r="U108" s="1"/>
      <c r="V108" s="1"/>
      <c r="W108" s="1"/>
      <c r="X108" s="1"/>
      <c r="Y108" s="1"/>
      <c r="Z108" s="1"/>
    </row>
    <row r="109" spans="1:26" x14ac:dyDescent="0.2">
      <c r="A109" s="2">
        <v>683</v>
      </c>
      <c r="B109" s="1" t="s">
        <v>45</v>
      </c>
      <c r="C109" s="3">
        <v>41060</v>
      </c>
      <c r="D109" s="3">
        <v>41020</v>
      </c>
      <c r="E109" s="3">
        <v>42920</v>
      </c>
      <c r="F109" s="3">
        <v>41555</v>
      </c>
      <c r="G109" s="3">
        <v>42920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 t="s">
        <v>6</v>
      </c>
      <c r="T109" s="1"/>
      <c r="U109" s="1"/>
      <c r="V109" s="1"/>
      <c r="W109" s="1"/>
      <c r="X109" s="1"/>
      <c r="Y109" s="1"/>
      <c r="Z109" s="1"/>
    </row>
    <row r="110" spans="1:26" x14ac:dyDescent="0.2">
      <c r="A110" s="2">
        <v>683</v>
      </c>
      <c r="B110" s="1" t="s">
        <v>47</v>
      </c>
      <c r="C110" s="3">
        <v>4800</v>
      </c>
      <c r="D110" s="3">
        <v>6220</v>
      </c>
      <c r="E110" s="3">
        <v>5820</v>
      </c>
      <c r="F110" s="3">
        <v>4110</v>
      </c>
      <c r="G110" s="3">
        <v>6875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 t="s">
        <v>6</v>
      </c>
      <c r="T110" s="1"/>
      <c r="U110" s="1"/>
      <c r="V110" s="1"/>
      <c r="W110" s="1"/>
      <c r="X110" s="1"/>
      <c r="Y110" s="1"/>
      <c r="Z110" s="1"/>
    </row>
    <row r="111" spans="1:26" x14ac:dyDescent="0.2">
      <c r="A111" s="2">
        <v>506</v>
      </c>
      <c r="B111" s="1" t="s">
        <v>45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3">
        <v>227242</v>
      </c>
      <c r="S111" s="1" t="s">
        <v>7</v>
      </c>
      <c r="T111" s="1"/>
      <c r="U111" s="1"/>
      <c r="V111" s="1"/>
      <c r="W111" s="1"/>
      <c r="X111" s="1"/>
      <c r="Y111" s="1"/>
      <c r="Z111" s="1"/>
    </row>
    <row r="112" spans="1:26" x14ac:dyDescent="0.2">
      <c r="A112" s="2">
        <v>506</v>
      </c>
      <c r="B112" s="1" t="s">
        <v>47</v>
      </c>
      <c r="C112" s="3">
        <v>227365</v>
      </c>
      <c r="D112" s="3">
        <v>245595</v>
      </c>
      <c r="E112" s="3">
        <v>263745</v>
      </c>
      <c r="F112" s="3">
        <v>297695</v>
      </c>
      <c r="G112" s="3">
        <v>257700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3">
        <v>41300</v>
      </c>
      <c r="S112" s="1" t="s">
        <v>7</v>
      </c>
      <c r="T112" s="1"/>
      <c r="U112" s="1"/>
      <c r="V112" s="1"/>
      <c r="W112" s="1"/>
      <c r="X112" s="1"/>
      <c r="Y112" s="1"/>
      <c r="Z112" s="1"/>
    </row>
    <row r="113" spans="1:26" x14ac:dyDescent="0.2">
      <c r="A113" s="2">
        <v>540</v>
      </c>
      <c r="B113" s="1"/>
      <c r="C113" s="3">
        <v>202150</v>
      </c>
      <c r="D113" s="3">
        <v>206440</v>
      </c>
      <c r="E113" s="3">
        <v>220310</v>
      </c>
      <c r="F113" s="3">
        <v>221040</v>
      </c>
      <c r="G113" s="3">
        <v>221040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 t="s">
        <v>7</v>
      </c>
      <c r="T113" s="1"/>
      <c r="U113" s="1"/>
      <c r="V113" s="1"/>
      <c r="W113" s="1"/>
      <c r="X113" s="1"/>
      <c r="Y113" s="1"/>
      <c r="Z113" s="1"/>
    </row>
    <row r="114" spans="1:26" x14ac:dyDescent="0.2">
      <c r="A114" s="2">
        <v>646</v>
      </c>
      <c r="B114" s="1"/>
      <c r="C114" s="1"/>
      <c r="D114" s="1"/>
      <c r="E114" s="3">
        <v>4585</v>
      </c>
      <c r="F114" s="3">
        <v>1425</v>
      </c>
      <c r="G114" s="3">
        <v>1425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 t="s">
        <v>11</v>
      </c>
      <c r="T114" s="1"/>
      <c r="U114" s="1"/>
      <c r="V114" s="1"/>
      <c r="W114" s="1"/>
      <c r="X114" s="1"/>
      <c r="Y114" s="1"/>
      <c r="Z114" s="1"/>
    </row>
    <row r="115" spans="1:26" x14ac:dyDescent="0.2">
      <c r="A115" s="2">
        <v>697</v>
      </c>
      <c r="B115" s="1" t="s">
        <v>52</v>
      </c>
      <c r="C115" s="1"/>
      <c r="D115" s="3">
        <v>71000</v>
      </c>
      <c r="E115" s="1"/>
      <c r="F115" s="3">
        <v>121500</v>
      </c>
      <c r="G115" s="3">
        <v>44250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 t="s">
        <v>4</v>
      </c>
      <c r="T115" s="1"/>
      <c r="U115" s="1"/>
      <c r="V115" s="1"/>
      <c r="W115" s="1"/>
      <c r="X115" s="1"/>
      <c r="Y115" s="1"/>
      <c r="Z115" s="1"/>
    </row>
    <row r="116" spans="1:26" x14ac:dyDescent="0.2">
      <c r="A116" s="2">
        <v>697</v>
      </c>
      <c r="B116" s="1" t="s">
        <v>50</v>
      </c>
      <c r="C116" s="1"/>
      <c r="D116" s="1" t="s">
        <v>48</v>
      </c>
      <c r="E116" s="1" t="s">
        <v>48</v>
      </c>
      <c r="F116" s="1" t="s">
        <v>48</v>
      </c>
      <c r="G116" s="3">
        <v>75000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 t="s">
        <v>4</v>
      </c>
      <c r="T116" s="1"/>
      <c r="U116" s="1"/>
      <c r="V116" s="1"/>
      <c r="W116" s="1"/>
      <c r="X116" s="1"/>
      <c r="Y116" s="1"/>
      <c r="Z116" s="1"/>
    </row>
    <row r="117" spans="1:26" x14ac:dyDescent="0.2">
      <c r="A117" s="2">
        <v>799</v>
      </c>
      <c r="B117" s="1"/>
      <c r="C117" s="1"/>
      <c r="D117" s="1"/>
      <c r="E117" s="1"/>
      <c r="F117" s="1"/>
      <c r="G117" s="3">
        <v>69450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 t="s">
        <v>8</v>
      </c>
      <c r="T117" s="1"/>
      <c r="U117" s="1"/>
      <c r="V117" s="1"/>
      <c r="W117" s="1"/>
      <c r="X117" s="1"/>
      <c r="Y117" s="1"/>
      <c r="Z117" s="1"/>
    </row>
    <row r="118" spans="1:26" x14ac:dyDescent="0.2">
      <c r="A118" s="2">
        <v>800</v>
      </c>
      <c r="B118" s="1"/>
      <c r="C118" s="1"/>
      <c r="D118" s="1"/>
      <c r="E118" s="1"/>
      <c r="F118" s="1"/>
      <c r="G118" s="3">
        <v>60930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 t="s">
        <v>8</v>
      </c>
      <c r="T118" s="1"/>
      <c r="U118" s="1"/>
      <c r="V118" s="1"/>
      <c r="W118" s="1"/>
      <c r="X118" s="1"/>
      <c r="Y118" s="1"/>
      <c r="Z118" s="1"/>
    </row>
    <row r="119" spans="1:26" x14ac:dyDescent="0.2">
      <c r="A119" s="2">
        <v>675</v>
      </c>
      <c r="B119" s="1" t="s">
        <v>45</v>
      </c>
      <c r="C119" s="3">
        <v>90975</v>
      </c>
      <c r="D119" s="3">
        <v>91545</v>
      </c>
      <c r="E119" s="3">
        <v>91545</v>
      </c>
      <c r="F119" s="3">
        <v>103655</v>
      </c>
      <c r="G119" s="3">
        <v>111295</v>
      </c>
      <c r="H119" s="3">
        <v>113735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 t="s">
        <v>8</v>
      </c>
      <c r="T119" s="1"/>
      <c r="U119" s="1"/>
      <c r="V119" s="1"/>
      <c r="W119" s="1"/>
      <c r="X119" s="1"/>
      <c r="Y119" s="1"/>
      <c r="Z119" s="1"/>
    </row>
    <row r="120" spans="1:26" x14ac:dyDescent="0.2">
      <c r="A120" s="2">
        <v>675</v>
      </c>
      <c r="B120" s="1" t="s">
        <v>47</v>
      </c>
      <c r="C120" s="1"/>
      <c r="D120" s="1"/>
      <c r="E120" s="3">
        <v>9475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 t="s">
        <v>8</v>
      </c>
      <c r="T120" s="1"/>
      <c r="U120" s="1"/>
      <c r="V120" s="1"/>
      <c r="W120" s="1"/>
      <c r="X120" s="1"/>
      <c r="Y120" s="1"/>
      <c r="Z120" s="1"/>
    </row>
    <row r="121" spans="1:26" x14ac:dyDescent="0.2">
      <c r="A121" s="2">
        <v>675</v>
      </c>
      <c r="B121" s="1" t="s">
        <v>47</v>
      </c>
      <c r="C121" s="3">
        <v>6215</v>
      </c>
      <c r="D121" s="3">
        <v>10435</v>
      </c>
      <c r="E121" s="3">
        <v>6330</v>
      </c>
      <c r="F121" s="3">
        <v>10435</v>
      </c>
      <c r="G121" s="3">
        <v>7905</v>
      </c>
      <c r="H121" s="3">
        <v>18125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 t="s">
        <v>8</v>
      </c>
      <c r="T121" s="1"/>
      <c r="U121" s="1"/>
      <c r="V121" s="1"/>
      <c r="W121" s="1"/>
      <c r="X121" s="1"/>
      <c r="Y121" s="1"/>
      <c r="Z121" s="1"/>
    </row>
    <row r="122" spans="1:26" x14ac:dyDescent="0.2">
      <c r="A122" s="2">
        <v>663</v>
      </c>
      <c r="B122" s="1" t="s">
        <v>45</v>
      </c>
      <c r="C122" s="3">
        <v>122305</v>
      </c>
      <c r="D122" s="3">
        <v>116850</v>
      </c>
      <c r="E122" s="3">
        <v>121500</v>
      </c>
      <c r="F122" s="3">
        <v>39187.5</v>
      </c>
      <c r="G122" s="1" t="s">
        <v>46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 t="s">
        <v>4</v>
      </c>
      <c r="T122" s="1"/>
      <c r="U122" s="1"/>
      <c r="V122" s="1"/>
      <c r="W122" s="1"/>
      <c r="X122" s="1"/>
      <c r="Y122" s="1"/>
      <c r="Z122" s="1"/>
    </row>
    <row r="123" spans="1:26" x14ac:dyDescent="0.2">
      <c r="A123" s="2">
        <v>663</v>
      </c>
      <c r="B123" s="1" t="s">
        <v>47</v>
      </c>
      <c r="C123" s="3">
        <v>52425.13</v>
      </c>
      <c r="D123" s="3">
        <v>52948.08</v>
      </c>
      <c r="E123" s="3">
        <v>54291.08</v>
      </c>
      <c r="F123" s="3">
        <v>18572.5</v>
      </c>
      <c r="G123" s="1" t="s">
        <v>46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 t="s">
        <v>4</v>
      </c>
      <c r="T123" s="1"/>
      <c r="U123" s="1"/>
      <c r="V123" s="1"/>
      <c r="W123" s="1"/>
      <c r="X123" s="1"/>
      <c r="Y123" s="1"/>
      <c r="Z123" s="1"/>
    </row>
    <row r="124" spans="1:26" x14ac:dyDescent="0.2">
      <c r="A124" s="2">
        <v>788</v>
      </c>
      <c r="B124" s="1"/>
      <c r="C124" s="1"/>
      <c r="D124" s="1"/>
      <c r="E124" s="1"/>
      <c r="F124" s="1"/>
      <c r="G124" s="3">
        <v>43885</v>
      </c>
      <c r="H124" s="1" t="s">
        <v>46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 t="s">
        <v>6</v>
      </c>
      <c r="T124" s="1"/>
      <c r="U124" s="1"/>
      <c r="V124" s="1"/>
      <c r="W124" s="1"/>
      <c r="X124" s="1"/>
      <c r="Y124" s="1"/>
      <c r="Z124" s="1"/>
    </row>
    <row r="125" spans="1:26" x14ac:dyDescent="0.2">
      <c r="A125" s="2">
        <v>728</v>
      </c>
      <c r="B125" s="1" t="s">
        <v>45</v>
      </c>
      <c r="C125" s="1"/>
      <c r="D125" s="3">
        <v>780000</v>
      </c>
      <c r="E125" s="1" t="s">
        <v>48</v>
      </c>
      <c r="F125" s="1" t="s">
        <v>48</v>
      </c>
      <c r="G125" s="1" t="s">
        <v>48</v>
      </c>
      <c r="H125" s="1" t="s">
        <v>46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 t="s">
        <v>8</v>
      </c>
      <c r="T125" s="1"/>
      <c r="U125" s="1"/>
      <c r="V125" s="1"/>
      <c r="W125" s="1"/>
      <c r="X125" s="1"/>
      <c r="Y125" s="1"/>
      <c r="Z125" s="1"/>
    </row>
    <row r="126" spans="1:26" x14ac:dyDescent="0.2">
      <c r="A126" s="2">
        <v>667</v>
      </c>
      <c r="B126" s="1"/>
      <c r="C126" s="1"/>
      <c r="D126" s="1" t="s">
        <v>48</v>
      </c>
      <c r="E126" s="3">
        <v>40620</v>
      </c>
      <c r="F126" s="3">
        <v>48715</v>
      </c>
      <c r="G126" s="3">
        <v>49610</v>
      </c>
      <c r="H126" s="3">
        <v>49850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 t="s">
        <v>4</v>
      </c>
      <c r="T126" s="1"/>
      <c r="U126" s="1"/>
      <c r="V126" s="1"/>
      <c r="W126" s="1"/>
      <c r="X126" s="1"/>
      <c r="Y126" s="1"/>
      <c r="Z126" s="1"/>
    </row>
    <row r="127" spans="1:26" x14ac:dyDescent="0.2">
      <c r="A127" s="2">
        <v>825</v>
      </c>
      <c r="B127" s="1"/>
      <c r="C127" s="1"/>
      <c r="D127" s="1"/>
      <c r="E127" s="1"/>
      <c r="F127" s="1"/>
      <c r="G127" s="1"/>
      <c r="H127" s="3">
        <v>205000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 t="s">
        <v>6</v>
      </c>
      <c r="T127" s="1"/>
      <c r="U127" s="1"/>
      <c r="V127" s="1"/>
      <c r="W127" s="1"/>
      <c r="X127" s="1"/>
      <c r="Y127" s="1"/>
      <c r="Z127" s="1"/>
    </row>
    <row r="128" spans="1:26" x14ac:dyDescent="0.2">
      <c r="A128" s="2">
        <v>838</v>
      </c>
      <c r="B128" s="1"/>
      <c r="C128" s="1"/>
      <c r="D128" s="1"/>
      <c r="E128" s="1"/>
      <c r="F128" s="1"/>
      <c r="G128" s="1"/>
      <c r="H128" s="3">
        <v>550000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 t="s">
        <v>4</v>
      </c>
      <c r="T128" s="1"/>
      <c r="U128" s="1"/>
      <c r="V128" s="1"/>
      <c r="W128" s="1"/>
      <c r="X128" s="1"/>
      <c r="Y128" s="1"/>
      <c r="Z128" s="1"/>
    </row>
    <row r="129" spans="1:26" x14ac:dyDescent="0.2">
      <c r="A129" s="2">
        <v>765</v>
      </c>
      <c r="B129" s="1" t="s">
        <v>45</v>
      </c>
      <c r="C129" s="1"/>
      <c r="D129" s="1"/>
      <c r="E129" s="1"/>
      <c r="F129" s="3">
        <v>62230</v>
      </c>
      <c r="G129" s="1"/>
      <c r="H129" s="1"/>
      <c r="I129" s="3">
        <v>60470</v>
      </c>
      <c r="J129" s="1"/>
      <c r="K129" s="1"/>
      <c r="L129" s="1"/>
      <c r="M129" s="1"/>
      <c r="N129" s="1"/>
      <c r="O129" s="1"/>
      <c r="P129" s="1"/>
      <c r="Q129" s="1"/>
      <c r="R129" s="1"/>
      <c r="S129" s="1" t="s">
        <v>10</v>
      </c>
      <c r="T129" s="1"/>
      <c r="U129" s="1"/>
      <c r="V129" s="1"/>
      <c r="W129" s="1"/>
      <c r="X129" s="1"/>
      <c r="Y129" s="1"/>
      <c r="Z129" s="1"/>
    </row>
    <row r="130" spans="1:26" x14ac:dyDescent="0.2">
      <c r="A130" s="2">
        <v>765</v>
      </c>
      <c r="B130" s="1" t="s">
        <v>47</v>
      </c>
      <c r="C130" s="1"/>
      <c r="D130" s="1"/>
      <c r="E130" s="1"/>
      <c r="F130" s="3">
        <v>5915</v>
      </c>
      <c r="G130" s="1"/>
      <c r="H130" s="1"/>
      <c r="I130" s="3">
        <v>4225</v>
      </c>
      <c r="J130" s="1"/>
      <c r="K130" s="1"/>
      <c r="L130" s="1"/>
      <c r="M130" s="1"/>
      <c r="N130" s="1"/>
      <c r="O130" s="1"/>
      <c r="P130" s="1"/>
      <c r="Q130" s="1"/>
      <c r="R130" s="1"/>
      <c r="S130" s="1" t="s">
        <v>10</v>
      </c>
      <c r="T130" s="1"/>
      <c r="U130" s="1"/>
      <c r="V130" s="1"/>
      <c r="W130" s="1"/>
      <c r="X130" s="1"/>
      <c r="Y130" s="1"/>
      <c r="Z130" s="1"/>
    </row>
    <row r="131" spans="1:26" x14ac:dyDescent="0.2">
      <c r="A131" s="2">
        <v>294</v>
      </c>
      <c r="B131" s="1" t="s">
        <v>52</v>
      </c>
      <c r="C131" s="3">
        <v>66833</v>
      </c>
      <c r="D131" s="3">
        <v>70819.7</v>
      </c>
      <c r="E131" s="3">
        <v>68879.7</v>
      </c>
      <c r="F131" s="3">
        <v>68879.7</v>
      </c>
      <c r="G131" s="3">
        <v>68879.7</v>
      </c>
      <c r="H131" s="3">
        <v>68879.7</v>
      </c>
      <c r="I131" s="3">
        <v>69699.350000000006</v>
      </c>
      <c r="J131" s="1"/>
      <c r="K131" s="3">
        <v>69385</v>
      </c>
      <c r="L131" s="3">
        <v>74075</v>
      </c>
      <c r="M131" s="3">
        <v>76185</v>
      </c>
      <c r="N131" s="3">
        <v>74075</v>
      </c>
      <c r="O131" s="3">
        <v>76185</v>
      </c>
      <c r="P131" s="3">
        <v>78950</v>
      </c>
      <c r="Q131" s="3">
        <v>81060</v>
      </c>
      <c r="R131" s="3">
        <v>81060</v>
      </c>
      <c r="S131" s="1" t="s">
        <v>10</v>
      </c>
      <c r="T131" s="1"/>
      <c r="U131" s="1"/>
      <c r="V131" s="1"/>
      <c r="W131" s="1"/>
      <c r="X131" s="1"/>
      <c r="Y131" s="1"/>
      <c r="Z131" s="1"/>
    </row>
    <row r="132" spans="1:26" x14ac:dyDescent="0.2">
      <c r="A132" s="2">
        <v>814</v>
      </c>
      <c r="B132" s="1" t="s">
        <v>45</v>
      </c>
      <c r="C132" s="1"/>
      <c r="D132" s="1"/>
      <c r="E132" s="1"/>
      <c r="F132" s="1"/>
      <c r="G132" s="3">
        <v>85697.5</v>
      </c>
      <c r="H132" s="3">
        <v>72542.5</v>
      </c>
      <c r="I132" s="3">
        <v>63660</v>
      </c>
      <c r="J132" s="1"/>
      <c r="K132" s="1"/>
      <c r="L132" s="1"/>
      <c r="M132" s="1"/>
      <c r="N132" s="1"/>
      <c r="O132" s="1"/>
      <c r="P132" s="1"/>
      <c r="Q132" s="1"/>
      <c r="R132" s="1"/>
      <c r="S132" s="1" t="s">
        <v>4</v>
      </c>
      <c r="T132" s="1"/>
      <c r="U132" s="1"/>
      <c r="V132" s="1"/>
      <c r="W132" s="1"/>
      <c r="X132" s="1"/>
      <c r="Y132" s="1"/>
      <c r="Z132" s="1"/>
    </row>
    <row r="133" spans="1:26" x14ac:dyDescent="0.2">
      <c r="A133" s="2">
        <v>814</v>
      </c>
      <c r="B133" s="1" t="s">
        <v>47</v>
      </c>
      <c r="C133" s="1"/>
      <c r="D133" s="1"/>
      <c r="E133" s="1"/>
      <c r="F133" s="1"/>
      <c r="G133" s="3">
        <v>36707.5</v>
      </c>
      <c r="H133" s="3">
        <v>24267.5</v>
      </c>
      <c r="I133" s="3">
        <v>32255</v>
      </c>
      <c r="J133" s="1"/>
      <c r="K133" s="1"/>
      <c r="L133" s="1"/>
      <c r="M133" s="1"/>
      <c r="N133" s="1"/>
      <c r="O133" s="1"/>
      <c r="P133" s="1"/>
      <c r="Q133" s="1"/>
      <c r="R133" s="1"/>
      <c r="S133" s="1" t="s">
        <v>4</v>
      </c>
      <c r="T133" s="1"/>
      <c r="U133" s="1"/>
      <c r="V133" s="1"/>
      <c r="W133" s="1"/>
      <c r="X133" s="1"/>
      <c r="Y133" s="1"/>
      <c r="Z133" s="1"/>
    </row>
    <row r="134" spans="1:26" x14ac:dyDescent="0.2">
      <c r="A134" s="2">
        <v>814</v>
      </c>
      <c r="B134" s="1" t="s">
        <v>50</v>
      </c>
      <c r="C134" s="1"/>
      <c r="D134" s="1"/>
      <c r="E134" s="1"/>
      <c r="F134" s="1"/>
      <c r="G134" s="3">
        <v>53288.07</v>
      </c>
      <c r="H134" s="3">
        <v>45603</v>
      </c>
      <c r="I134" s="3">
        <v>36771</v>
      </c>
      <c r="J134" s="1"/>
      <c r="K134" s="1"/>
      <c r="L134" s="1"/>
      <c r="M134" s="1"/>
      <c r="N134" s="1"/>
      <c r="O134" s="1"/>
      <c r="P134" s="1"/>
      <c r="Q134" s="1"/>
      <c r="R134" s="1"/>
      <c r="S134" s="1" t="s">
        <v>4</v>
      </c>
      <c r="T134" s="1"/>
      <c r="U134" s="1"/>
      <c r="V134" s="1"/>
      <c r="W134" s="1"/>
      <c r="X134" s="1"/>
      <c r="Y134" s="1"/>
      <c r="Z134" s="1"/>
    </row>
    <row r="135" spans="1:26" x14ac:dyDescent="0.2">
      <c r="A135" s="2">
        <v>796</v>
      </c>
      <c r="B135" s="1"/>
      <c r="C135" s="1"/>
      <c r="D135" s="1"/>
      <c r="E135" s="1"/>
      <c r="F135" s="1"/>
      <c r="G135" s="3">
        <v>43610</v>
      </c>
      <c r="H135" s="3">
        <v>39810</v>
      </c>
      <c r="I135" s="3">
        <v>39810</v>
      </c>
      <c r="J135" s="1"/>
      <c r="K135" s="1"/>
      <c r="L135" s="1"/>
      <c r="M135" s="1"/>
      <c r="N135" s="1"/>
      <c r="O135" s="1"/>
      <c r="P135" s="1"/>
      <c r="Q135" s="1"/>
      <c r="R135" s="1"/>
      <c r="S135" s="1" t="s">
        <v>8</v>
      </c>
      <c r="T135" s="1"/>
      <c r="U135" s="1"/>
      <c r="V135" s="1"/>
      <c r="W135" s="1"/>
      <c r="X135" s="1"/>
      <c r="Y135" s="1"/>
      <c r="Z135" s="1"/>
    </row>
    <row r="136" spans="1:26" x14ac:dyDescent="0.2">
      <c r="A136" s="2">
        <v>853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 t="s">
        <v>4</v>
      </c>
      <c r="T136" s="1"/>
      <c r="U136" s="1"/>
      <c r="V136" s="1"/>
      <c r="W136" s="1"/>
      <c r="X136" s="1"/>
      <c r="Y136" s="1"/>
      <c r="Z136" s="1"/>
    </row>
    <row r="137" spans="1:26" x14ac:dyDescent="0.2">
      <c r="A137" s="2">
        <v>563</v>
      </c>
      <c r="B137" s="1"/>
      <c r="C137" s="1"/>
      <c r="D137" s="3">
        <v>62930</v>
      </c>
      <c r="E137" s="1"/>
      <c r="F137" s="1"/>
      <c r="G137" s="1"/>
      <c r="H137" s="1"/>
      <c r="I137" s="3">
        <v>65050</v>
      </c>
      <c r="J137" s="1"/>
      <c r="K137" s="1"/>
      <c r="L137" s="1"/>
      <c r="M137" s="1"/>
      <c r="N137" s="1"/>
      <c r="O137" s="1"/>
      <c r="P137" s="1"/>
      <c r="Q137" s="1"/>
      <c r="R137" s="1"/>
      <c r="S137" s="1" t="s">
        <v>7</v>
      </c>
      <c r="T137" s="1"/>
      <c r="U137" s="1"/>
      <c r="V137" s="1"/>
      <c r="W137" s="1"/>
      <c r="X137" s="1"/>
      <c r="Y137" s="1"/>
      <c r="Z137" s="1"/>
    </row>
    <row r="138" spans="1:26" x14ac:dyDescent="0.2">
      <c r="A138" s="2">
        <v>837</v>
      </c>
      <c r="B138" s="1" t="s">
        <v>52</v>
      </c>
      <c r="C138" s="1"/>
      <c r="D138" s="1"/>
      <c r="E138" s="1"/>
      <c r="F138" s="1"/>
      <c r="G138" s="1"/>
      <c r="H138" s="3">
        <v>83500</v>
      </c>
      <c r="I138" s="3">
        <v>80000</v>
      </c>
      <c r="J138" s="1"/>
      <c r="K138" s="1"/>
      <c r="L138" s="1"/>
      <c r="M138" s="1"/>
      <c r="N138" s="1"/>
      <c r="O138" s="1"/>
      <c r="P138" s="1"/>
      <c r="Q138" s="1"/>
      <c r="R138" s="1"/>
      <c r="S138" s="1" t="s">
        <v>4</v>
      </c>
      <c r="T138" s="1"/>
      <c r="U138" s="1"/>
      <c r="V138" s="1"/>
      <c r="W138" s="1"/>
      <c r="X138" s="1"/>
      <c r="Y138" s="1"/>
      <c r="Z138" s="1"/>
    </row>
    <row r="139" spans="1:26" x14ac:dyDescent="0.2">
      <c r="A139" s="2">
        <v>837</v>
      </c>
      <c r="B139" s="1" t="s">
        <v>50</v>
      </c>
      <c r="C139" s="1"/>
      <c r="D139" s="1"/>
      <c r="E139" s="1"/>
      <c r="F139" s="1"/>
      <c r="G139" s="1"/>
      <c r="H139" s="3">
        <v>9150</v>
      </c>
      <c r="I139" s="3">
        <v>18000</v>
      </c>
      <c r="J139" s="1"/>
      <c r="K139" s="1"/>
      <c r="L139" s="1"/>
      <c r="M139" s="1"/>
      <c r="N139" s="1"/>
      <c r="O139" s="1"/>
      <c r="P139" s="1"/>
      <c r="Q139" s="1"/>
      <c r="R139" s="1"/>
      <c r="S139" s="1" t="s">
        <v>4</v>
      </c>
      <c r="T139" s="1"/>
      <c r="U139" s="1"/>
      <c r="V139" s="1"/>
      <c r="W139" s="1"/>
      <c r="X139" s="1"/>
      <c r="Y139" s="1"/>
      <c r="Z139" s="1"/>
    </row>
    <row r="140" spans="1:26" x14ac:dyDescent="0.2">
      <c r="A140" s="2">
        <v>775</v>
      </c>
      <c r="B140" s="1" t="s">
        <v>45</v>
      </c>
      <c r="C140" s="1"/>
      <c r="D140" s="1"/>
      <c r="E140" s="3">
        <v>64070</v>
      </c>
      <c r="F140" s="3">
        <v>88905</v>
      </c>
      <c r="G140" s="3">
        <v>78475</v>
      </c>
      <c r="H140" s="3">
        <v>69345</v>
      </c>
      <c r="I140" s="3">
        <v>54715</v>
      </c>
      <c r="J140" s="1"/>
      <c r="K140" s="1"/>
      <c r="L140" s="1"/>
      <c r="M140" s="1"/>
      <c r="N140" s="1"/>
      <c r="O140" s="1"/>
      <c r="P140" s="1"/>
      <c r="Q140" s="1"/>
      <c r="R140" s="1"/>
      <c r="S140" s="1" t="s">
        <v>7</v>
      </c>
      <c r="T140" s="1"/>
      <c r="U140" s="1"/>
      <c r="V140" s="1"/>
      <c r="W140" s="1"/>
      <c r="X140" s="1"/>
      <c r="Y140" s="1"/>
      <c r="Z140" s="1"/>
    </row>
    <row r="141" spans="1:26" x14ac:dyDescent="0.2">
      <c r="A141" s="2">
        <v>775</v>
      </c>
      <c r="B141" s="1" t="s">
        <v>47</v>
      </c>
      <c r="C141" s="1"/>
      <c r="D141" s="1"/>
      <c r="E141" s="1"/>
      <c r="F141" s="1"/>
      <c r="G141" s="1"/>
      <c r="H141" s="1"/>
      <c r="I141" s="3">
        <v>16030</v>
      </c>
      <c r="J141" s="1"/>
      <c r="K141" s="1"/>
      <c r="L141" s="1"/>
      <c r="M141" s="1"/>
      <c r="N141" s="1"/>
      <c r="O141" s="1"/>
      <c r="P141" s="1"/>
      <c r="Q141" s="1"/>
      <c r="R141" s="1"/>
      <c r="S141" s="1" t="s">
        <v>7</v>
      </c>
      <c r="T141" s="1"/>
      <c r="U141" s="1"/>
      <c r="V141" s="1"/>
      <c r="W141" s="1"/>
      <c r="X141" s="1"/>
      <c r="Y141" s="1"/>
      <c r="Z141" s="1"/>
    </row>
    <row r="142" spans="1:26" x14ac:dyDescent="0.2">
      <c r="A142" s="2">
        <v>813</v>
      </c>
      <c r="B142" s="1" t="s">
        <v>45</v>
      </c>
      <c r="C142" s="1"/>
      <c r="D142" s="1"/>
      <c r="E142" s="1"/>
      <c r="F142" s="1"/>
      <c r="G142" s="3">
        <v>37865</v>
      </c>
      <c r="H142" s="3">
        <v>23590</v>
      </c>
      <c r="I142" s="3">
        <v>23590</v>
      </c>
      <c r="J142" s="1"/>
      <c r="K142" s="1"/>
      <c r="L142" s="1"/>
      <c r="M142" s="1"/>
      <c r="N142" s="1"/>
      <c r="O142" s="1"/>
      <c r="P142" s="1"/>
      <c r="Q142" s="1"/>
      <c r="R142" s="1"/>
      <c r="S142" s="1" t="s">
        <v>7</v>
      </c>
      <c r="T142" s="1"/>
      <c r="U142" s="1"/>
      <c r="V142" s="1"/>
      <c r="W142" s="1"/>
      <c r="X142" s="1"/>
      <c r="Y142" s="1"/>
      <c r="Z142" s="1"/>
    </row>
    <row r="143" spans="1:26" x14ac:dyDescent="0.2">
      <c r="A143" s="2">
        <v>842</v>
      </c>
      <c r="B143" s="1"/>
      <c r="C143" s="1"/>
      <c r="D143" s="1"/>
      <c r="E143" s="1"/>
      <c r="F143" s="1"/>
      <c r="G143" s="1"/>
      <c r="H143" s="3">
        <v>7700</v>
      </c>
      <c r="I143" s="3">
        <v>87570</v>
      </c>
      <c r="J143" s="1" t="s">
        <v>46</v>
      </c>
      <c r="K143" s="1"/>
      <c r="L143" s="1"/>
      <c r="M143" s="1"/>
      <c r="N143" s="1"/>
      <c r="O143" s="1"/>
      <c r="P143" s="1"/>
      <c r="Q143" s="1"/>
      <c r="R143" s="1"/>
      <c r="S143" s="1" t="s">
        <v>7</v>
      </c>
      <c r="T143" s="1"/>
      <c r="U143" s="1"/>
      <c r="V143" s="1"/>
      <c r="W143" s="1"/>
      <c r="X143" s="1"/>
      <c r="Y143" s="1"/>
      <c r="Z143" s="1"/>
    </row>
    <row r="144" spans="1:26" x14ac:dyDescent="0.2">
      <c r="A144" s="2">
        <v>843</v>
      </c>
      <c r="B144" s="1"/>
      <c r="C144" s="1"/>
      <c r="D144" s="1"/>
      <c r="E144" s="1"/>
      <c r="F144" s="1"/>
      <c r="G144" s="1"/>
      <c r="H144" s="3">
        <v>7700</v>
      </c>
      <c r="I144" s="3">
        <v>20890</v>
      </c>
      <c r="J144" s="1" t="s">
        <v>46</v>
      </c>
      <c r="K144" s="1"/>
      <c r="L144" s="1"/>
      <c r="M144" s="1"/>
      <c r="N144" s="1"/>
      <c r="O144" s="1"/>
      <c r="P144" s="1"/>
      <c r="Q144" s="1"/>
      <c r="R144" s="1"/>
      <c r="S144" s="1" t="s">
        <v>7</v>
      </c>
      <c r="T144" s="1"/>
      <c r="U144" s="1"/>
      <c r="V144" s="1"/>
      <c r="W144" s="1"/>
      <c r="X144" s="1"/>
      <c r="Y144" s="1"/>
      <c r="Z144" s="1"/>
    </row>
    <row r="145" spans="1:26" x14ac:dyDescent="0.2">
      <c r="A145" s="2">
        <v>844</v>
      </c>
      <c r="B145" s="1"/>
      <c r="C145" s="1"/>
      <c r="D145" s="1"/>
      <c r="E145" s="1"/>
      <c r="F145" s="1"/>
      <c r="G145" s="1"/>
      <c r="H145" s="3">
        <v>7700</v>
      </c>
      <c r="I145" s="3">
        <v>19045</v>
      </c>
      <c r="J145" s="1" t="s">
        <v>46</v>
      </c>
      <c r="K145" s="1"/>
      <c r="L145" s="1"/>
      <c r="M145" s="1"/>
      <c r="N145" s="1"/>
      <c r="O145" s="1"/>
      <c r="P145" s="1"/>
      <c r="Q145" s="1"/>
      <c r="R145" s="1"/>
      <c r="S145" s="1" t="s">
        <v>7</v>
      </c>
      <c r="T145" s="1"/>
      <c r="U145" s="1"/>
      <c r="V145" s="1"/>
      <c r="W145" s="1"/>
      <c r="X145" s="1"/>
      <c r="Y145" s="1"/>
      <c r="Z145" s="1"/>
    </row>
    <row r="146" spans="1:26" x14ac:dyDescent="0.2">
      <c r="A146" s="2">
        <v>845</v>
      </c>
      <c r="B146" s="1"/>
      <c r="C146" s="1"/>
      <c r="D146" s="1"/>
      <c r="E146" s="1"/>
      <c r="F146" s="1"/>
      <c r="G146" s="1"/>
      <c r="H146" s="3">
        <v>7700</v>
      </c>
      <c r="I146" s="3">
        <v>19940</v>
      </c>
      <c r="J146" s="1" t="s">
        <v>46</v>
      </c>
      <c r="K146" s="1"/>
      <c r="L146" s="1"/>
      <c r="M146" s="1"/>
      <c r="N146" s="1"/>
      <c r="O146" s="1"/>
      <c r="P146" s="1"/>
      <c r="Q146" s="1"/>
      <c r="R146" s="1"/>
      <c r="S146" s="1" t="s">
        <v>7</v>
      </c>
      <c r="T146" s="1"/>
      <c r="U146" s="1"/>
      <c r="V146" s="1"/>
      <c r="W146" s="1"/>
      <c r="X146" s="1"/>
      <c r="Y146" s="1"/>
      <c r="Z146" s="1"/>
    </row>
    <row r="147" spans="1:26" x14ac:dyDescent="0.2">
      <c r="A147" s="2">
        <v>301</v>
      </c>
      <c r="B147" s="1" t="s">
        <v>52</v>
      </c>
      <c r="C147" s="3">
        <v>55220</v>
      </c>
      <c r="D147" s="3">
        <v>40830</v>
      </c>
      <c r="E147" s="3">
        <v>40830</v>
      </c>
      <c r="F147" s="3">
        <v>49515</v>
      </c>
      <c r="G147" s="3">
        <v>31700</v>
      </c>
      <c r="H147" s="3">
        <v>33100</v>
      </c>
      <c r="I147" s="3">
        <v>37100</v>
      </c>
      <c r="J147" s="1"/>
      <c r="K147" s="1"/>
      <c r="L147" s="1"/>
      <c r="M147" s="1"/>
      <c r="N147" s="1"/>
      <c r="O147" s="1"/>
      <c r="P147" s="1"/>
      <c r="Q147" s="1"/>
      <c r="R147" s="1"/>
      <c r="S147" s="1" t="s">
        <v>8</v>
      </c>
      <c r="T147" s="1"/>
      <c r="U147" s="1"/>
      <c r="V147" s="1"/>
      <c r="W147" s="1"/>
      <c r="X147" s="1"/>
      <c r="Y147" s="1"/>
      <c r="Z147" s="1"/>
    </row>
    <row r="148" spans="1:26" x14ac:dyDescent="0.2">
      <c r="A148" s="2">
        <v>301</v>
      </c>
      <c r="B148" s="1" t="s">
        <v>50</v>
      </c>
      <c r="C148" s="1"/>
      <c r="D148" s="1"/>
      <c r="E148" s="1"/>
      <c r="F148" s="1"/>
      <c r="G148" s="1" t="s">
        <v>48</v>
      </c>
      <c r="H148" s="3">
        <v>49225</v>
      </c>
      <c r="I148" s="1" t="s">
        <v>48</v>
      </c>
      <c r="J148" s="1"/>
      <c r="K148" s="1"/>
      <c r="L148" s="1"/>
      <c r="M148" s="1"/>
      <c r="N148" s="1"/>
      <c r="O148" s="1"/>
      <c r="P148" s="1"/>
      <c r="Q148" s="1"/>
      <c r="R148" s="1"/>
      <c r="S148" s="1" t="s">
        <v>8</v>
      </c>
      <c r="T148" s="1"/>
      <c r="U148" s="1"/>
      <c r="V148" s="1"/>
      <c r="W148" s="1"/>
      <c r="X148" s="1"/>
      <c r="Y148" s="1"/>
      <c r="Z148" s="1"/>
    </row>
    <row r="149" spans="1:26" x14ac:dyDescent="0.2">
      <c r="A149" s="2">
        <v>855</v>
      </c>
      <c r="B149" s="1"/>
      <c r="C149" s="1"/>
      <c r="D149" s="1"/>
      <c r="E149" s="1"/>
      <c r="F149" s="1"/>
      <c r="G149" s="1"/>
      <c r="H149" s="1"/>
      <c r="I149" s="3">
        <v>12175</v>
      </c>
      <c r="J149" s="1"/>
      <c r="K149" s="1"/>
      <c r="L149" s="1"/>
      <c r="M149" s="1"/>
      <c r="N149" s="1"/>
      <c r="O149" s="1"/>
      <c r="P149" s="1"/>
      <c r="Q149" s="1"/>
      <c r="R149" s="1"/>
      <c r="S149" s="1" t="s">
        <v>6</v>
      </c>
      <c r="T149" s="1"/>
      <c r="U149" s="1"/>
      <c r="V149" s="1"/>
      <c r="W149" s="1"/>
      <c r="X149" s="1"/>
      <c r="Y149" s="1"/>
      <c r="Z149" s="1"/>
    </row>
    <row r="150" spans="1:26" x14ac:dyDescent="0.2">
      <c r="A150" s="2">
        <v>583</v>
      </c>
      <c r="B150" s="1" t="s">
        <v>52</v>
      </c>
      <c r="C150" s="3">
        <v>92505</v>
      </c>
      <c r="D150" s="3">
        <v>107275</v>
      </c>
      <c r="E150" s="3">
        <v>76450</v>
      </c>
      <c r="F150" s="3">
        <v>74425</v>
      </c>
      <c r="G150" s="3">
        <v>80800</v>
      </c>
      <c r="H150" s="3">
        <v>81460</v>
      </c>
      <c r="I150" s="3">
        <v>62405</v>
      </c>
      <c r="J150" s="1"/>
      <c r="K150" s="1"/>
      <c r="L150" s="1"/>
      <c r="M150" s="1"/>
      <c r="N150" s="1"/>
      <c r="O150" s="1"/>
      <c r="P150" s="1"/>
      <c r="Q150" s="1"/>
      <c r="R150" s="1"/>
      <c r="S150" s="1" t="s">
        <v>6</v>
      </c>
      <c r="T150" s="1"/>
      <c r="U150" s="1"/>
      <c r="V150" s="1"/>
      <c r="W150" s="1"/>
      <c r="X150" s="1"/>
      <c r="Y150" s="1"/>
      <c r="Z150" s="1"/>
    </row>
    <row r="151" spans="1:26" x14ac:dyDescent="0.2">
      <c r="A151" s="2">
        <v>585</v>
      </c>
      <c r="B151" s="1" t="s">
        <v>52</v>
      </c>
      <c r="C151" s="1"/>
      <c r="D151" s="1"/>
      <c r="E151" s="1"/>
      <c r="F151" s="1"/>
      <c r="G151" s="3">
        <v>105793.24</v>
      </c>
      <c r="H151" s="3">
        <v>103631.57</v>
      </c>
      <c r="I151" s="3">
        <v>103860.56</v>
      </c>
      <c r="J151" s="1"/>
      <c r="K151" s="1"/>
      <c r="L151" s="1"/>
      <c r="M151" s="1"/>
      <c r="N151" s="1"/>
      <c r="O151" s="1"/>
      <c r="P151" s="1"/>
      <c r="Q151" s="1"/>
      <c r="R151" s="1"/>
      <c r="S151" s="1" t="s">
        <v>5</v>
      </c>
      <c r="T151" s="1"/>
      <c r="U151" s="1"/>
      <c r="V151" s="1"/>
      <c r="W151" s="1"/>
      <c r="X151" s="1"/>
      <c r="Y151" s="1"/>
      <c r="Z151" s="1"/>
    </row>
    <row r="152" spans="1:26" x14ac:dyDescent="0.2">
      <c r="A152" s="2">
        <v>585</v>
      </c>
      <c r="B152" s="1" t="s">
        <v>50</v>
      </c>
      <c r="C152" s="1"/>
      <c r="D152" s="1"/>
      <c r="E152" s="1"/>
      <c r="F152" s="1"/>
      <c r="G152" s="3">
        <v>107365.8</v>
      </c>
      <c r="H152" s="3">
        <v>92859.43</v>
      </c>
      <c r="I152" s="3">
        <v>93064.62</v>
      </c>
      <c r="J152" s="1"/>
      <c r="K152" s="1"/>
      <c r="L152" s="1"/>
      <c r="M152" s="1"/>
      <c r="N152" s="1"/>
      <c r="O152" s="1"/>
      <c r="P152" s="1"/>
      <c r="Q152" s="1"/>
      <c r="R152" s="1"/>
      <c r="S152" s="1" t="s">
        <v>5</v>
      </c>
      <c r="T152" s="1"/>
      <c r="U152" s="1"/>
      <c r="V152" s="1"/>
      <c r="W152" s="1"/>
      <c r="X152" s="1"/>
      <c r="Y152" s="1"/>
      <c r="Z152" s="1"/>
    </row>
    <row r="153" spans="1:26" x14ac:dyDescent="0.2">
      <c r="A153" s="2">
        <v>15</v>
      </c>
      <c r="B153" s="1" t="s">
        <v>45</v>
      </c>
      <c r="C153" s="3">
        <v>329460</v>
      </c>
      <c r="D153" s="3">
        <v>329460</v>
      </c>
      <c r="E153" s="3">
        <v>102433.75</v>
      </c>
      <c r="F153" s="3">
        <v>102433.75</v>
      </c>
      <c r="G153" s="3">
        <v>102433.75</v>
      </c>
      <c r="H153" s="3">
        <v>138158</v>
      </c>
      <c r="I153" s="3">
        <v>138158</v>
      </c>
      <c r="J153" s="3">
        <v>102433.75</v>
      </c>
      <c r="K153" s="1"/>
      <c r="L153" s="1"/>
      <c r="M153" s="1"/>
      <c r="N153" s="1"/>
      <c r="O153" s="1"/>
      <c r="P153" s="1"/>
      <c r="Q153" s="1"/>
      <c r="R153" s="1"/>
      <c r="S153" s="1" t="s">
        <v>7</v>
      </c>
      <c r="T153" s="1"/>
      <c r="U153" s="1"/>
      <c r="V153" s="1"/>
      <c r="W153" s="1"/>
      <c r="X153" s="1"/>
      <c r="Y153" s="1"/>
      <c r="Z153" s="1"/>
    </row>
    <row r="154" spans="1:26" x14ac:dyDescent="0.2">
      <c r="A154" s="2">
        <v>15</v>
      </c>
      <c r="B154" s="1" t="s">
        <v>47</v>
      </c>
      <c r="C154" s="3">
        <v>109820</v>
      </c>
      <c r="D154" s="3">
        <v>109820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 t="s">
        <v>7</v>
      </c>
      <c r="T154" s="1"/>
      <c r="U154" s="1"/>
      <c r="V154" s="1"/>
      <c r="W154" s="1"/>
      <c r="X154" s="1"/>
      <c r="Y154" s="1"/>
      <c r="Z154" s="1"/>
    </row>
    <row r="155" spans="1:26" x14ac:dyDescent="0.2">
      <c r="A155" s="2">
        <v>711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 t="s">
        <v>4</v>
      </c>
      <c r="T155" s="1"/>
      <c r="U155" s="1"/>
      <c r="V155" s="1"/>
      <c r="W155" s="1"/>
      <c r="X155" s="1"/>
      <c r="Y155" s="1"/>
      <c r="Z155" s="1"/>
    </row>
    <row r="156" spans="1:26" x14ac:dyDescent="0.2">
      <c r="A156" s="2">
        <v>832</v>
      </c>
      <c r="B156" s="1" t="s">
        <v>52</v>
      </c>
      <c r="C156" s="1"/>
      <c r="D156" s="1"/>
      <c r="E156" s="1"/>
      <c r="F156" s="1"/>
      <c r="G156" s="1"/>
      <c r="H156" s="3">
        <v>60072.1</v>
      </c>
      <c r="I156" s="3">
        <v>61187.6</v>
      </c>
      <c r="J156" s="3">
        <v>91257.600000000006</v>
      </c>
      <c r="K156" s="1"/>
      <c r="L156" s="1"/>
      <c r="M156" s="1"/>
      <c r="N156" s="1"/>
      <c r="O156" s="1"/>
      <c r="P156" s="1"/>
      <c r="Q156" s="1"/>
      <c r="R156" s="1"/>
      <c r="S156" s="1" t="s">
        <v>4</v>
      </c>
      <c r="T156" s="1"/>
      <c r="U156" s="1"/>
      <c r="V156" s="1"/>
      <c r="W156" s="1"/>
      <c r="X156" s="1"/>
      <c r="Y156" s="1"/>
      <c r="Z156" s="1"/>
    </row>
    <row r="157" spans="1:26" x14ac:dyDescent="0.2">
      <c r="A157" s="2">
        <v>55</v>
      </c>
      <c r="B157" s="1"/>
      <c r="C157" s="1"/>
      <c r="D157" s="1"/>
      <c r="E157" s="1"/>
      <c r="F157" s="1"/>
      <c r="G157" s="3">
        <v>43173</v>
      </c>
      <c r="H157" s="3">
        <v>41364</v>
      </c>
      <c r="I157" s="3">
        <v>44257.5</v>
      </c>
      <c r="J157" s="3">
        <v>45868.5</v>
      </c>
      <c r="K157" s="1"/>
      <c r="L157" s="1"/>
      <c r="M157" s="1"/>
      <c r="N157" s="1"/>
      <c r="O157" s="1"/>
      <c r="P157" s="1"/>
      <c r="Q157" s="1"/>
      <c r="R157" s="1"/>
      <c r="S157" s="1" t="s">
        <v>7</v>
      </c>
      <c r="T157" s="1"/>
      <c r="U157" s="1"/>
      <c r="V157" s="1"/>
      <c r="W157" s="1"/>
      <c r="X157" s="1"/>
      <c r="Y157" s="1"/>
      <c r="Z157" s="1"/>
    </row>
    <row r="158" spans="1:26" x14ac:dyDescent="0.2">
      <c r="A158" s="2">
        <v>441</v>
      </c>
      <c r="B158" s="1" t="s">
        <v>47</v>
      </c>
      <c r="C158" s="3">
        <v>94000</v>
      </c>
      <c r="D158" s="3">
        <v>83400</v>
      </c>
      <c r="E158" s="3">
        <v>79820</v>
      </c>
      <c r="F158" s="3">
        <v>87680</v>
      </c>
      <c r="G158" s="3">
        <v>82100</v>
      </c>
      <c r="H158" s="3">
        <v>84100</v>
      </c>
      <c r="I158" s="3">
        <v>84100</v>
      </c>
      <c r="J158" s="3">
        <v>74360</v>
      </c>
      <c r="K158" s="1"/>
      <c r="L158" s="1"/>
      <c r="M158" s="1"/>
      <c r="N158" s="1"/>
      <c r="O158" s="1"/>
      <c r="P158" s="1"/>
      <c r="Q158" s="1"/>
      <c r="R158" s="1"/>
      <c r="S158" s="1" t="s">
        <v>4</v>
      </c>
      <c r="T158" s="1"/>
      <c r="U158" s="1"/>
      <c r="V158" s="1"/>
      <c r="W158" s="1"/>
      <c r="X158" s="1"/>
      <c r="Y158" s="1"/>
      <c r="Z158" s="1"/>
    </row>
    <row r="159" spans="1:26" x14ac:dyDescent="0.2">
      <c r="A159" s="2">
        <v>847</v>
      </c>
      <c r="B159" s="1" t="s">
        <v>52</v>
      </c>
      <c r="C159" s="1"/>
      <c r="D159" s="1"/>
      <c r="E159" s="1"/>
      <c r="F159" s="1"/>
      <c r="G159" s="1"/>
      <c r="H159" s="3">
        <v>192000</v>
      </c>
      <c r="I159" s="3">
        <v>180000</v>
      </c>
      <c r="J159" s="3">
        <v>180000</v>
      </c>
      <c r="K159" s="1"/>
      <c r="L159" s="1"/>
      <c r="M159" s="1"/>
      <c r="N159" s="1"/>
      <c r="O159" s="1"/>
      <c r="P159" s="1"/>
      <c r="Q159" s="1"/>
      <c r="R159" s="1"/>
      <c r="S159" s="1" t="s">
        <v>8</v>
      </c>
      <c r="T159" s="1"/>
      <c r="U159" s="1"/>
      <c r="V159" s="1"/>
      <c r="W159" s="1"/>
      <c r="X159" s="1"/>
      <c r="Y159" s="1"/>
      <c r="Z159" s="1"/>
    </row>
    <row r="160" spans="1:26" x14ac:dyDescent="0.2">
      <c r="A160" s="2">
        <v>847</v>
      </c>
      <c r="B160" s="1" t="s">
        <v>50</v>
      </c>
      <c r="C160" s="1"/>
      <c r="D160" s="1"/>
      <c r="E160" s="1"/>
      <c r="F160" s="1"/>
      <c r="G160" s="1"/>
      <c r="H160" s="3">
        <v>119500</v>
      </c>
      <c r="I160" s="3">
        <v>79925</v>
      </c>
      <c r="J160" s="3">
        <v>30195</v>
      </c>
      <c r="K160" s="1"/>
      <c r="L160" s="1"/>
      <c r="M160" s="1"/>
      <c r="N160" s="1"/>
      <c r="O160" s="1"/>
      <c r="P160" s="1"/>
      <c r="Q160" s="1"/>
      <c r="R160" s="1"/>
      <c r="S160" s="1" t="s">
        <v>8</v>
      </c>
      <c r="T160" s="1"/>
      <c r="U160" s="1"/>
      <c r="V160" s="1"/>
      <c r="W160" s="1"/>
      <c r="X160" s="1"/>
      <c r="Y160" s="1"/>
      <c r="Z160" s="1"/>
    </row>
    <row r="161" spans="1:26" x14ac:dyDescent="0.2">
      <c r="A161" s="2">
        <v>87</v>
      </c>
      <c r="B161" s="1" t="s">
        <v>52</v>
      </c>
      <c r="C161" s="3">
        <v>70050</v>
      </c>
      <c r="D161" s="1"/>
      <c r="E161" s="3">
        <v>73380</v>
      </c>
      <c r="F161" s="3">
        <v>83480</v>
      </c>
      <c r="G161" s="3">
        <v>89300</v>
      </c>
      <c r="H161" s="3">
        <v>89300</v>
      </c>
      <c r="I161" s="3">
        <v>78605</v>
      </c>
      <c r="J161" s="3">
        <v>72485</v>
      </c>
      <c r="K161" s="1"/>
      <c r="L161" s="1"/>
      <c r="M161" s="1"/>
      <c r="N161" s="1"/>
      <c r="O161" s="1"/>
      <c r="P161" s="1"/>
      <c r="Q161" s="1"/>
      <c r="R161" s="1"/>
      <c r="S161" s="1" t="s">
        <v>7</v>
      </c>
      <c r="T161" s="1"/>
      <c r="U161" s="1"/>
      <c r="V161" s="1"/>
      <c r="W161" s="1"/>
      <c r="X161" s="1"/>
      <c r="Y161" s="1"/>
      <c r="Z161" s="1"/>
    </row>
    <row r="162" spans="1:26" x14ac:dyDescent="0.2">
      <c r="A162" s="2">
        <v>600</v>
      </c>
      <c r="B162" s="1" t="s">
        <v>45</v>
      </c>
      <c r="C162" s="3">
        <v>237977</v>
      </c>
      <c r="D162" s="3">
        <v>144650</v>
      </c>
      <c r="E162" s="3">
        <v>144650</v>
      </c>
      <c r="F162" s="3">
        <v>144650</v>
      </c>
      <c r="G162" s="3">
        <v>118300</v>
      </c>
      <c r="H162" s="3">
        <v>186395</v>
      </c>
      <c r="I162" s="3">
        <v>168820</v>
      </c>
      <c r="J162" s="3">
        <v>185370</v>
      </c>
      <c r="K162" s="1"/>
      <c r="L162" s="1"/>
      <c r="M162" s="1"/>
      <c r="N162" s="1"/>
      <c r="O162" s="1"/>
      <c r="P162" s="1"/>
      <c r="Q162" s="1"/>
      <c r="R162" s="1"/>
      <c r="S162" s="1" t="s">
        <v>4</v>
      </c>
      <c r="T162" s="1"/>
      <c r="U162" s="1"/>
      <c r="V162" s="1"/>
      <c r="W162" s="1"/>
      <c r="X162" s="1"/>
      <c r="Y162" s="1"/>
      <c r="Z162" s="1"/>
    </row>
    <row r="163" spans="1:26" x14ac:dyDescent="0.2">
      <c r="A163" s="2">
        <v>600</v>
      </c>
      <c r="B163" s="1" t="s">
        <v>47</v>
      </c>
      <c r="C163" s="3">
        <v>43440</v>
      </c>
      <c r="D163" s="3">
        <v>30450</v>
      </c>
      <c r="E163" s="3">
        <v>122570</v>
      </c>
      <c r="F163" s="3">
        <v>114283</v>
      </c>
      <c r="G163" s="3">
        <v>106037</v>
      </c>
      <c r="H163" s="3">
        <v>46410</v>
      </c>
      <c r="I163" s="3">
        <v>44379</v>
      </c>
      <c r="J163" s="3">
        <v>72430</v>
      </c>
      <c r="K163" s="1"/>
      <c r="L163" s="1"/>
      <c r="M163" s="1"/>
      <c r="N163" s="1"/>
      <c r="O163" s="1"/>
      <c r="P163" s="1"/>
      <c r="Q163" s="1"/>
      <c r="R163" s="1"/>
      <c r="S163" s="1" t="s">
        <v>4</v>
      </c>
      <c r="T163" s="1"/>
      <c r="U163" s="1"/>
      <c r="V163" s="1"/>
      <c r="W163" s="1"/>
      <c r="X163" s="1"/>
      <c r="Y163" s="1"/>
      <c r="Z163" s="1"/>
    </row>
    <row r="164" spans="1:26" x14ac:dyDescent="0.2">
      <c r="A164" s="2">
        <v>787</v>
      </c>
      <c r="B164" s="1" t="s">
        <v>45</v>
      </c>
      <c r="C164" s="1"/>
      <c r="D164" s="1"/>
      <c r="E164" s="1"/>
      <c r="F164" s="1"/>
      <c r="G164" s="1"/>
      <c r="H164" s="1"/>
      <c r="I164" s="3">
        <v>15400</v>
      </c>
      <c r="J164" s="3">
        <v>15400</v>
      </c>
      <c r="K164" s="1"/>
      <c r="L164" s="1"/>
      <c r="M164" s="1"/>
      <c r="N164" s="1"/>
      <c r="O164" s="1"/>
      <c r="P164" s="1"/>
      <c r="Q164" s="1"/>
      <c r="R164" s="1"/>
      <c r="S164" s="1" t="s">
        <v>4</v>
      </c>
      <c r="T164" s="1"/>
      <c r="U164" s="1"/>
      <c r="V164" s="1"/>
      <c r="W164" s="1"/>
      <c r="X164" s="1"/>
      <c r="Y164" s="1"/>
      <c r="Z164" s="1"/>
    </row>
    <row r="165" spans="1:26" x14ac:dyDescent="0.2">
      <c r="A165" s="2">
        <v>787</v>
      </c>
      <c r="B165" s="1" t="s">
        <v>47</v>
      </c>
      <c r="C165" s="1"/>
      <c r="D165" s="1"/>
      <c r="E165" s="1"/>
      <c r="F165" s="1"/>
      <c r="G165" s="1"/>
      <c r="H165" s="1"/>
      <c r="I165" s="3">
        <v>106400</v>
      </c>
      <c r="J165" s="3">
        <v>53200</v>
      </c>
      <c r="K165" s="1"/>
      <c r="L165" s="1"/>
      <c r="M165" s="1"/>
      <c r="N165" s="1"/>
      <c r="O165" s="1"/>
      <c r="P165" s="1"/>
      <c r="Q165" s="1"/>
      <c r="R165" s="1"/>
      <c r="S165" s="1" t="s">
        <v>4</v>
      </c>
      <c r="T165" s="1"/>
      <c r="U165" s="1"/>
      <c r="V165" s="1"/>
      <c r="W165" s="1"/>
      <c r="X165" s="1"/>
      <c r="Y165" s="1"/>
      <c r="Z165" s="1"/>
    </row>
    <row r="166" spans="1:26" x14ac:dyDescent="0.2">
      <c r="A166" s="2">
        <v>858</v>
      </c>
      <c r="B166" s="1"/>
      <c r="C166" s="1"/>
      <c r="D166" s="1"/>
      <c r="E166" s="1"/>
      <c r="F166" s="1"/>
      <c r="G166" s="1"/>
      <c r="H166" s="1"/>
      <c r="I166" s="1" t="s">
        <v>48</v>
      </c>
      <c r="J166" s="1" t="s">
        <v>48</v>
      </c>
      <c r="K166" s="1"/>
      <c r="L166" s="1"/>
      <c r="M166" s="1"/>
      <c r="N166" s="1"/>
      <c r="O166" s="1"/>
      <c r="P166" s="1"/>
      <c r="Q166" s="1"/>
      <c r="R166" s="1"/>
      <c r="S166" s="1" t="s">
        <v>10</v>
      </c>
      <c r="T166" s="1"/>
      <c r="U166" s="1"/>
      <c r="V166" s="1"/>
      <c r="W166" s="1"/>
      <c r="X166" s="1"/>
      <c r="Y166" s="1"/>
      <c r="Z166" s="1"/>
    </row>
    <row r="167" spans="1:26" x14ac:dyDescent="0.2">
      <c r="A167" s="2">
        <v>857</v>
      </c>
      <c r="B167" s="1"/>
      <c r="C167" s="1"/>
      <c r="D167" s="1"/>
      <c r="E167" s="1"/>
      <c r="F167" s="1"/>
      <c r="G167" s="1"/>
      <c r="H167" s="1"/>
      <c r="I167" s="3">
        <v>300030</v>
      </c>
      <c r="J167" s="3">
        <v>321280</v>
      </c>
      <c r="K167" s="1"/>
      <c r="L167" s="1"/>
      <c r="M167" s="1"/>
      <c r="N167" s="1"/>
      <c r="O167" s="1"/>
      <c r="P167" s="1"/>
      <c r="Q167" s="1"/>
      <c r="R167" s="1"/>
      <c r="S167" s="1" t="s">
        <v>6</v>
      </c>
      <c r="T167" s="1"/>
      <c r="U167" s="1"/>
      <c r="V167" s="1"/>
      <c r="W167" s="1"/>
      <c r="X167" s="1"/>
      <c r="Y167" s="1"/>
      <c r="Z167" s="1"/>
    </row>
    <row r="168" spans="1:26" x14ac:dyDescent="0.2">
      <c r="A168" s="2">
        <v>869</v>
      </c>
      <c r="B168" s="1"/>
      <c r="C168" s="1"/>
      <c r="D168" s="1"/>
      <c r="E168" s="1"/>
      <c r="F168" s="1"/>
      <c r="G168" s="1"/>
      <c r="H168" s="1"/>
      <c r="I168" s="3">
        <v>63520</v>
      </c>
      <c r="J168" s="3">
        <v>79180</v>
      </c>
      <c r="K168" s="3">
        <v>94820</v>
      </c>
      <c r="L168" s="1"/>
      <c r="M168" s="1"/>
      <c r="N168" s="1"/>
      <c r="O168" s="1"/>
      <c r="P168" s="1"/>
      <c r="Q168" s="1"/>
      <c r="R168" s="1"/>
      <c r="S168" s="1" t="s">
        <v>5</v>
      </c>
      <c r="T168" s="1"/>
      <c r="U168" s="1"/>
      <c r="V168" s="1"/>
      <c r="W168" s="1"/>
      <c r="X168" s="1"/>
      <c r="Y168" s="1"/>
      <c r="Z168" s="1"/>
    </row>
    <row r="169" spans="1:26" x14ac:dyDescent="0.2">
      <c r="A169" s="2">
        <v>807</v>
      </c>
      <c r="B169" s="1"/>
      <c r="C169" s="1"/>
      <c r="D169" s="1"/>
      <c r="E169" s="1"/>
      <c r="F169" s="1"/>
      <c r="G169" s="3">
        <v>64420</v>
      </c>
      <c r="H169" s="3">
        <v>66300</v>
      </c>
      <c r="I169" s="3">
        <v>66300</v>
      </c>
      <c r="J169" s="3">
        <v>66300</v>
      </c>
      <c r="K169" s="1"/>
      <c r="L169" s="1"/>
      <c r="M169" s="1"/>
      <c r="N169" s="1"/>
      <c r="O169" s="1"/>
      <c r="P169" s="1"/>
      <c r="Q169" s="1"/>
      <c r="R169" s="1"/>
      <c r="S169" s="1" t="s">
        <v>8</v>
      </c>
      <c r="T169" s="1"/>
      <c r="U169" s="1"/>
      <c r="V169" s="1"/>
      <c r="W169" s="1"/>
      <c r="X169" s="1"/>
      <c r="Y169" s="1"/>
      <c r="Z169" s="1"/>
    </row>
    <row r="170" spans="1:26" x14ac:dyDescent="0.2">
      <c r="A170" s="2">
        <v>884</v>
      </c>
      <c r="B170" s="1"/>
      <c r="C170" s="1"/>
      <c r="D170" s="1"/>
      <c r="E170" s="1"/>
      <c r="F170" s="1"/>
      <c r="G170" s="1"/>
      <c r="H170" s="1"/>
      <c r="I170" s="1"/>
      <c r="J170" s="3">
        <v>50000</v>
      </c>
      <c r="K170" s="1"/>
      <c r="L170" s="1"/>
      <c r="M170" s="1"/>
      <c r="N170" s="1"/>
      <c r="O170" s="1"/>
      <c r="P170" s="1"/>
      <c r="Q170" s="1"/>
      <c r="R170" s="1"/>
      <c r="S170" s="1" t="s">
        <v>7</v>
      </c>
      <c r="T170" s="1"/>
      <c r="U170" s="1"/>
      <c r="V170" s="1"/>
      <c r="W170" s="1"/>
      <c r="X170" s="1"/>
      <c r="Y170" s="1"/>
      <c r="Z170" s="1"/>
    </row>
    <row r="171" spans="1:26" x14ac:dyDescent="0.2">
      <c r="A171" s="2">
        <v>691</v>
      </c>
      <c r="B171" s="1" t="s">
        <v>52</v>
      </c>
      <c r="C171" s="3">
        <v>73735</v>
      </c>
      <c r="D171" s="3">
        <v>52435</v>
      </c>
      <c r="E171" s="3">
        <v>60135</v>
      </c>
      <c r="F171" s="3">
        <v>56125</v>
      </c>
      <c r="G171" s="3">
        <v>55760</v>
      </c>
      <c r="H171" s="3">
        <v>52435</v>
      </c>
      <c r="I171" s="3">
        <v>60135</v>
      </c>
      <c r="J171" s="3">
        <v>56125</v>
      </c>
      <c r="K171" s="1"/>
      <c r="L171" s="1"/>
      <c r="M171" s="1"/>
      <c r="N171" s="1"/>
      <c r="O171" s="1"/>
      <c r="P171" s="1"/>
      <c r="Q171" s="1"/>
      <c r="R171" s="1"/>
      <c r="S171" s="1" t="s">
        <v>6</v>
      </c>
      <c r="T171" s="1"/>
      <c r="U171" s="1"/>
      <c r="V171" s="1"/>
      <c r="W171" s="1"/>
      <c r="X171" s="1"/>
      <c r="Y171" s="1"/>
      <c r="Z171" s="1"/>
    </row>
    <row r="172" spans="1:26" x14ac:dyDescent="0.2">
      <c r="A172" s="2">
        <v>691</v>
      </c>
      <c r="B172" s="1" t="s">
        <v>50</v>
      </c>
      <c r="C172" s="3">
        <v>4220</v>
      </c>
      <c r="D172" s="3">
        <v>4220</v>
      </c>
      <c r="E172" s="3">
        <v>4220</v>
      </c>
      <c r="F172" s="3">
        <v>4220</v>
      </c>
      <c r="G172" s="3">
        <v>4220</v>
      </c>
      <c r="H172" s="3">
        <v>4220</v>
      </c>
      <c r="I172" s="3">
        <v>4220</v>
      </c>
      <c r="J172" s="3">
        <v>2110</v>
      </c>
      <c r="K172" s="1"/>
      <c r="L172" s="1"/>
      <c r="M172" s="1"/>
      <c r="N172" s="1"/>
      <c r="O172" s="1"/>
      <c r="P172" s="1"/>
      <c r="Q172" s="1"/>
      <c r="R172" s="1"/>
      <c r="S172" s="1" t="s">
        <v>6</v>
      </c>
      <c r="T172" s="1"/>
      <c r="U172" s="1"/>
      <c r="V172" s="1"/>
      <c r="W172" s="1"/>
      <c r="X172" s="1"/>
      <c r="Y172" s="1"/>
      <c r="Z172" s="1"/>
    </row>
    <row r="173" spans="1:26" x14ac:dyDescent="0.2">
      <c r="A173" s="2">
        <v>806</v>
      </c>
      <c r="B173" s="1" t="s">
        <v>52</v>
      </c>
      <c r="C173" s="1"/>
      <c r="D173" s="1"/>
      <c r="E173" s="1"/>
      <c r="F173" s="1"/>
      <c r="G173" s="3">
        <v>47500</v>
      </c>
      <c r="H173" s="3">
        <v>41500</v>
      </c>
      <c r="I173" s="3">
        <v>41500</v>
      </c>
      <c r="J173" s="3">
        <v>41500</v>
      </c>
      <c r="K173" s="3">
        <v>41500</v>
      </c>
      <c r="L173" s="1" t="s">
        <v>46</v>
      </c>
      <c r="M173" s="1"/>
      <c r="N173" s="1"/>
      <c r="O173" s="1"/>
      <c r="P173" s="1"/>
      <c r="Q173" s="1"/>
      <c r="R173" s="1"/>
      <c r="S173" s="1" t="s">
        <v>6</v>
      </c>
      <c r="T173" s="1"/>
      <c r="U173" s="1"/>
      <c r="V173" s="1"/>
      <c r="W173" s="1"/>
      <c r="X173" s="1"/>
      <c r="Y173" s="1"/>
      <c r="Z173" s="1"/>
    </row>
    <row r="174" spans="1:26" x14ac:dyDescent="0.2">
      <c r="A174" s="2">
        <v>806</v>
      </c>
      <c r="B174" s="1" t="s">
        <v>50</v>
      </c>
      <c r="C174" s="1"/>
      <c r="D174" s="1"/>
      <c r="E174" s="1"/>
      <c r="F174" s="1"/>
      <c r="G174" s="3">
        <v>23450</v>
      </c>
      <c r="H174" s="3">
        <v>23450</v>
      </c>
      <c r="I174" s="3">
        <v>30025</v>
      </c>
      <c r="J174" s="3">
        <v>30025</v>
      </c>
      <c r="K174" s="1"/>
      <c r="L174" s="1"/>
      <c r="M174" s="1"/>
      <c r="N174" s="1"/>
      <c r="O174" s="1"/>
      <c r="P174" s="1"/>
      <c r="Q174" s="1"/>
      <c r="R174" s="1"/>
      <c r="S174" s="1" t="s">
        <v>6</v>
      </c>
      <c r="T174" s="1"/>
      <c r="U174" s="1"/>
      <c r="V174" s="1"/>
      <c r="W174" s="1"/>
      <c r="X174" s="1"/>
      <c r="Y174" s="1"/>
      <c r="Z174" s="1"/>
    </row>
    <row r="175" spans="1:26" x14ac:dyDescent="0.2">
      <c r="A175" s="2">
        <v>740</v>
      </c>
      <c r="B175" s="1" t="s">
        <v>45</v>
      </c>
      <c r="C175" s="1"/>
      <c r="D175" s="1"/>
      <c r="E175" s="3">
        <v>270325</v>
      </c>
      <c r="F175" s="3">
        <v>35325</v>
      </c>
      <c r="G175" s="3">
        <v>35325</v>
      </c>
      <c r="H175" s="3">
        <v>27950</v>
      </c>
      <c r="I175" s="3">
        <v>24470</v>
      </c>
      <c r="J175" s="1" t="s">
        <v>46</v>
      </c>
      <c r="K175" s="1"/>
      <c r="L175" s="1"/>
      <c r="M175" s="1"/>
      <c r="N175" s="1"/>
      <c r="O175" s="1"/>
      <c r="P175" s="1"/>
      <c r="Q175" s="1"/>
      <c r="R175" s="1"/>
      <c r="S175" s="1" t="s">
        <v>6</v>
      </c>
      <c r="T175" s="1"/>
      <c r="U175" s="1"/>
      <c r="V175" s="1"/>
      <c r="W175" s="1"/>
      <c r="X175" s="1"/>
      <c r="Y175" s="1"/>
      <c r="Z175" s="1"/>
    </row>
    <row r="176" spans="1:26" x14ac:dyDescent="0.2">
      <c r="A176" s="2">
        <v>740</v>
      </c>
      <c r="B176" s="1" t="s">
        <v>47</v>
      </c>
      <c r="C176" s="1"/>
      <c r="D176" s="1"/>
      <c r="E176" s="3">
        <v>1520</v>
      </c>
      <c r="F176" s="3">
        <v>15360</v>
      </c>
      <c r="G176" s="3">
        <v>8000</v>
      </c>
      <c r="H176" s="3">
        <v>20500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 t="s">
        <v>6</v>
      </c>
      <c r="T176" s="1"/>
      <c r="U176" s="1"/>
      <c r="V176" s="1"/>
      <c r="W176" s="1"/>
      <c r="X176" s="1"/>
      <c r="Y176" s="1"/>
      <c r="Z176" s="1"/>
    </row>
    <row r="177" spans="1:26" x14ac:dyDescent="0.2">
      <c r="A177" s="2">
        <v>871</v>
      </c>
      <c r="B177" s="1"/>
      <c r="C177" s="1"/>
      <c r="D177" s="1"/>
      <c r="E177" s="1"/>
      <c r="F177" s="1"/>
      <c r="G177" s="1"/>
      <c r="H177" s="1"/>
      <c r="I177" s="3">
        <v>25000</v>
      </c>
      <c r="J177" s="1" t="s">
        <v>48</v>
      </c>
      <c r="K177" s="1"/>
      <c r="L177" s="1"/>
      <c r="M177" s="1"/>
      <c r="N177" s="1"/>
      <c r="O177" s="1"/>
      <c r="P177" s="1"/>
      <c r="Q177" s="1"/>
      <c r="R177" s="1"/>
      <c r="S177" s="1" t="s">
        <v>8</v>
      </c>
      <c r="T177" s="1"/>
      <c r="U177" s="1"/>
      <c r="V177" s="1"/>
      <c r="W177" s="1"/>
      <c r="X177" s="1"/>
      <c r="Y177" s="1"/>
      <c r="Z177" s="1"/>
    </row>
    <row r="178" spans="1:26" x14ac:dyDescent="0.2">
      <c r="A178" s="2">
        <v>495</v>
      </c>
      <c r="B178" s="1"/>
      <c r="C178" s="1"/>
      <c r="D178" s="1"/>
      <c r="E178" s="1"/>
      <c r="F178" s="1"/>
      <c r="G178" s="3">
        <v>37363.5</v>
      </c>
      <c r="H178" s="3">
        <v>38632.5</v>
      </c>
      <c r="I178" s="1"/>
      <c r="J178" s="3">
        <v>38632.5</v>
      </c>
      <c r="K178" s="3">
        <v>38632.5</v>
      </c>
      <c r="L178" s="1"/>
      <c r="M178" s="1"/>
      <c r="N178" s="1"/>
      <c r="O178" s="1"/>
      <c r="P178" s="1"/>
      <c r="Q178" s="1"/>
      <c r="R178" s="1"/>
      <c r="S178" s="1" t="s">
        <v>7</v>
      </c>
      <c r="T178" s="1"/>
      <c r="U178" s="1"/>
      <c r="V178" s="1"/>
      <c r="W178" s="1"/>
      <c r="X178" s="1"/>
      <c r="Y178" s="1"/>
      <c r="Z178" s="1"/>
    </row>
    <row r="179" spans="1:26" x14ac:dyDescent="0.2">
      <c r="A179" s="2">
        <v>553</v>
      </c>
      <c r="B179" s="1" t="s">
        <v>45</v>
      </c>
      <c r="C179" s="1"/>
      <c r="D179" s="1"/>
      <c r="E179" s="1"/>
      <c r="F179" s="1"/>
      <c r="G179" s="1"/>
      <c r="H179" s="1"/>
      <c r="I179" s="1"/>
      <c r="J179" s="3">
        <v>95062.5</v>
      </c>
      <c r="K179" s="3">
        <v>123417</v>
      </c>
      <c r="L179" s="1"/>
      <c r="M179" s="1"/>
      <c r="N179" s="1"/>
      <c r="O179" s="1"/>
      <c r="P179" s="1"/>
      <c r="Q179" s="1"/>
      <c r="R179" s="1"/>
      <c r="S179" s="1" t="s">
        <v>7</v>
      </c>
      <c r="T179" s="1"/>
      <c r="U179" s="1"/>
      <c r="V179" s="1"/>
      <c r="W179" s="1"/>
      <c r="X179" s="1"/>
      <c r="Y179" s="1"/>
      <c r="Z179" s="1"/>
    </row>
    <row r="180" spans="1:26" x14ac:dyDescent="0.2">
      <c r="A180" s="2">
        <v>553</v>
      </c>
      <c r="B180" s="1" t="s">
        <v>47</v>
      </c>
      <c r="C180" s="1"/>
      <c r="D180" s="1"/>
      <c r="E180" s="1"/>
      <c r="F180" s="1"/>
      <c r="G180" s="1"/>
      <c r="H180" s="1"/>
      <c r="I180" s="1"/>
      <c r="J180" s="1" t="s">
        <v>48</v>
      </c>
      <c r="K180" s="3">
        <v>23015.45</v>
      </c>
      <c r="L180" s="3">
        <v>33307.629999999997</v>
      </c>
      <c r="M180" s="1"/>
      <c r="N180" s="1"/>
      <c r="O180" s="1"/>
      <c r="P180" s="1"/>
      <c r="Q180" s="1"/>
      <c r="R180" s="1"/>
      <c r="S180" s="1" t="s">
        <v>7</v>
      </c>
      <c r="T180" s="1"/>
      <c r="U180" s="1"/>
      <c r="V180" s="1"/>
      <c r="W180" s="1"/>
      <c r="X180" s="1"/>
      <c r="Y180" s="1"/>
      <c r="Z180" s="1"/>
    </row>
    <row r="181" spans="1:26" x14ac:dyDescent="0.2">
      <c r="A181" s="2">
        <v>346</v>
      </c>
      <c r="B181" s="1" t="s">
        <v>45</v>
      </c>
      <c r="C181" s="1"/>
      <c r="D181" s="1"/>
      <c r="E181" s="3">
        <v>60021</v>
      </c>
      <c r="F181" s="3">
        <v>60021</v>
      </c>
      <c r="G181" s="3">
        <v>60823.75</v>
      </c>
      <c r="H181" s="3">
        <v>60823.75</v>
      </c>
      <c r="I181" s="3">
        <v>60823.75</v>
      </c>
      <c r="J181" s="3">
        <v>60823.75</v>
      </c>
      <c r="K181" s="3">
        <v>60823.75</v>
      </c>
      <c r="L181" s="3">
        <v>60206.25</v>
      </c>
      <c r="M181" s="3">
        <v>60206.25</v>
      </c>
      <c r="N181" s="3">
        <v>60206.25</v>
      </c>
      <c r="O181" s="3">
        <v>60206.25</v>
      </c>
      <c r="P181" s="3">
        <v>60206.25</v>
      </c>
      <c r="Q181" s="3">
        <v>60206.25</v>
      </c>
      <c r="R181" s="1"/>
      <c r="S181" s="1" t="s">
        <v>7</v>
      </c>
      <c r="T181" s="1"/>
      <c r="U181" s="1"/>
      <c r="V181" s="1"/>
      <c r="W181" s="1"/>
      <c r="X181" s="1"/>
      <c r="Y181" s="1"/>
      <c r="Z181" s="1"/>
    </row>
    <row r="182" spans="1:26" x14ac:dyDescent="0.2">
      <c r="A182" s="2">
        <v>346</v>
      </c>
      <c r="B182" s="1" t="s">
        <v>47</v>
      </c>
      <c r="C182" s="1"/>
      <c r="D182" s="1"/>
      <c r="E182" s="1" t="s">
        <v>48</v>
      </c>
      <c r="F182" s="1" t="s">
        <v>48</v>
      </c>
      <c r="G182" s="1" t="s">
        <v>48</v>
      </c>
      <c r="H182" s="1" t="s">
        <v>48</v>
      </c>
      <c r="I182" s="1" t="s">
        <v>48</v>
      </c>
      <c r="J182" s="1" t="s">
        <v>48</v>
      </c>
      <c r="K182" s="1" t="s">
        <v>48</v>
      </c>
      <c r="L182" s="1"/>
      <c r="M182" s="1"/>
      <c r="N182" s="1"/>
      <c r="O182" s="1"/>
      <c r="P182" s="1"/>
      <c r="Q182" s="1"/>
      <c r="R182" s="1"/>
      <c r="S182" s="1" t="s">
        <v>7</v>
      </c>
      <c r="T182" s="1"/>
      <c r="U182" s="1"/>
      <c r="V182" s="1"/>
      <c r="W182" s="1"/>
      <c r="X182" s="1"/>
      <c r="Y182" s="1"/>
      <c r="Z182" s="1"/>
    </row>
    <row r="183" spans="1:26" x14ac:dyDescent="0.2">
      <c r="A183" s="2">
        <v>586</v>
      </c>
      <c r="B183" s="1"/>
      <c r="C183" s="3">
        <v>52240</v>
      </c>
      <c r="D183" s="1"/>
      <c r="E183" s="1"/>
      <c r="F183" s="3">
        <v>39660</v>
      </c>
      <c r="G183" s="3">
        <v>43240</v>
      </c>
      <c r="H183" s="3">
        <v>44880</v>
      </c>
      <c r="I183" s="3">
        <v>41005</v>
      </c>
      <c r="J183" s="3">
        <v>32940</v>
      </c>
      <c r="K183" s="3">
        <v>77330</v>
      </c>
      <c r="L183" s="1"/>
      <c r="M183" s="1"/>
      <c r="N183" s="1"/>
      <c r="O183" s="1"/>
      <c r="P183" s="1"/>
      <c r="Q183" s="1"/>
      <c r="R183" s="1"/>
      <c r="S183" s="1" t="s">
        <v>8</v>
      </c>
      <c r="T183" s="1"/>
      <c r="U183" s="1"/>
      <c r="V183" s="1"/>
      <c r="W183" s="1"/>
      <c r="X183" s="1"/>
      <c r="Y183" s="1"/>
      <c r="Z183" s="1"/>
    </row>
    <row r="184" spans="1:26" x14ac:dyDescent="0.2">
      <c r="A184" s="2">
        <v>830</v>
      </c>
      <c r="B184" s="1"/>
      <c r="C184" s="1"/>
      <c r="D184" s="1"/>
      <c r="E184" s="1"/>
      <c r="F184" s="1"/>
      <c r="G184" s="1"/>
      <c r="H184" s="3">
        <v>50475</v>
      </c>
      <c r="I184" s="3">
        <v>44495</v>
      </c>
      <c r="J184" s="3">
        <v>44495</v>
      </c>
      <c r="K184" s="1" t="s">
        <v>46</v>
      </c>
      <c r="L184" s="1"/>
      <c r="M184" s="1"/>
      <c r="N184" s="1"/>
      <c r="O184" s="1"/>
      <c r="P184" s="1"/>
      <c r="Q184" s="1"/>
      <c r="R184" s="1"/>
      <c r="S184" s="1" t="s">
        <v>7</v>
      </c>
      <c r="T184" s="1"/>
      <c r="U184" s="1"/>
      <c r="V184" s="1"/>
      <c r="W184" s="1"/>
      <c r="X184" s="1"/>
      <c r="Y184" s="1"/>
      <c r="Z184" s="1"/>
    </row>
    <row r="185" spans="1:26" x14ac:dyDescent="0.2">
      <c r="A185" s="2">
        <v>727</v>
      </c>
      <c r="B185" s="1"/>
      <c r="C185" s="1"/>
      <c r="D185" s="3">
        <v>39120</v>
      </c>
      <c r="E185" s="3">
        <v>73580</v>
      </c>
      <c r="F185" s="3">
        <v>74930</v>
      </c>
      <c r="G185" s="3">
        <v>72295</v>
      </c>
      <c r="H185" s="3">
        <v>74810</v>
      </c>
      <c r="I185" s="3">
        <v>72965</v>
      </c>
      <c r="J185" s="3">
        <v>79210</v>
      </c>
      <c r="K185" s="3">
        <v>52970</v>
      </c>
      <c r="L185" s="3">
        <v>53920</v>
      </c>
      <c r="M185" s="3">
        <v>52970</v>
      </c>
      <c r="N185" s="3">
        <v>53920</v>
      </c>
      <c r="O185" s="3">
        <v>54395</v>
      </c>
      <c r="P185" s="3">
        <v>54395</v>
      </c>
      <c r="Q185" s="3">
        <v>54395</v>
      </c>
      <c r="R185" s="3">
        <v>54395</v>
      </c>
      <c r="S185" s="1" t="s">
        <v>8</v>
      </c>
      <c r="T185" s="1"/>
      <c r="U185" s="1"/>
      <c r="V185" s="1"/>
      <c r="W185" s="1"/>
      <c r="X185" s="1"/>
      <c r="Y185" s="1"/>
      <c r="Z185" s="1"/>
    </row>
    <row r="186" spans="1:26" x14ac:dyDescent="0.2">
      <c r="A186" s="2">
        <v>211</v>
      </c>
      <c r="B186" s="1" t="s">
        <v>52</v>
      </c>
      <c r="C186" s="1"/>
      <c r="D186" s="1"/>
      <c r="E186" s="1"/>
      <c r="F186" s="3">
        <v>171046.75</v>
      </c>
      <c r="G186" s="1"/>
      <c r="H186" s="1" t="s">
        <v>48</v>
      </c>
      <c r="I186" s="3">
        <v>54111</v>
      </c>
      <c r="J186" s="3">
        <v>75000</v>
      </c>
      <c r="K186" s="1" t="s">
        <v>48</v>
      </c>
      <c r="L186" s="1"/>
      <c r="M186" s="1"/>
      <c r="N186" s="1"/>
      <c r="O186" s="1"/>
      <c r="P186" s="1"/>
      <c r="Q186" s="1"/>
      <c r="R186" s="1"/>
      <c r="S186" s="1" t="s">
        <v>4</v>
      </c>
      <c r="T186" s="1"/>
      <c r="U186" s="1"/>
      <c r="V186" s="1"/>
      <c r="W186" s="1"/>
      <c r="X186" s="1"/>
      <c r="Y186" s="1"/>
      <c r="Z186" s="1"/>
    </row>
    <row r="187" spans="1:26" x14ac:dyDescent="0.2">
      <c r="A187" s="2">
        <v>211</v>
      </c>
      <c r="B187" s="1" t="s">
        <v>50</v>
      </c>
      <c r="C187" s="1"/>
      <c r="D187" s="1"/>
      <c r="E187" s="1"/>
      <c r="F187" s="1"/>
      <c r="G187" s="1"/>
      <c r="H187" s="1"/>
      <c r="I187" s="1"/>
      <c r="J187" s="1"/>
      <c r="K187" s="3">
        <v>180000</v>
      </c>
      <c r="L187" s="3">
        <v>135000</v>
      </c>
      <c r="M187" s="3">
        <v>238500</v>
      </c>
      <c r="N187" s="3">
        <v>186750</v>
      </c>
      <c r="O187" s="3">
        <v>186750</v>
      </c>
      <c r="P187" s="3">
        <v>186750</v>
      </c>
      <c r="Q187" s="3">
        <v>186750</v>
      </c>
      <c r="R187" s="3">
        <v>186750</v>
      </c>
      <c r="S187" s="1" t="s">
        <v>4</v>
      </c>
      <c r="T187" s="1"/>
      <c r="U187" s="1"/>
      <c r="V187" s="1"/>
      <c r="W187" s="1"/>
      <c r="X187" s="1"/>
      <c r="Y187" s="1"/>
      <c r="Z187" s="1"/>
    </row>
    <row r="188" spans="1:26" x14ac:dyDescent="0.2">
      <c r="A188" s="2">
        <v>823</v>
      </c>
      <c r="B188" s="1" t="s">
        <v>45</v>
      </c>
      <c r="C188" s="1"/>
      <c r="D188" s="1"/>
      <c r="E188" s="1"/>
      <c r="F188" s="1"/>
      <c r="G188" s="1"/>
      <c r="H188" s="3">
        <v>49525</v>
      </c>
      <c r="I188" s="3">
        <v>43275</v>
      </c>
      <c r="J188" s="3">
        <v>29225</v>
      </c>
      <c r="K188" s="3">
        <v>44225</v>
      </c>
      <c r="L188" s="1"/>
      <c r="M188" s="1"/>
      <c r="N188" s="1"/>
      <c r="O188" s="1"/>
      <c r="P188" s="1"/>
      <c r="Q188" s="1"/>
      <c r="R188" s="1"/>
      <c r="S188" s="1" t="s">
        <v>8</v>
      </c>
      <c r="T188" s="1"/>
      <c r="U188" s="1"/>
      <c r="V188" s="1"/>
      <c r="W188" s="1"/>
      <c r="X188" s="1"/>
      <c r="Y188" s="1"/>
      <c r="Z188" s="1"/>
    </row>
    <row r="189" spans="1:26" x14ac:dyDescent="0.2">
      <c r="A189" s="2">
        <v>823</v>
      </c>
      <c r="B189" s="1" t="s">
        <v>47</v>
      </c>
      <c r="C189" s="1"/>
      <c r="D189" s="1"/>
      <c r="E189" s="1"/>
      <c r="F189" s="1"/>
      <c r="G189" s="1"/>
      <c r="H189" s="1"/>
      <c r="I189" s="1"/>
      <c r="J189" s="3">
        <v>15000</v>
      </c>
      <c r="K189" s="1"/>
      <c r="L189" s="1"/>
      <c r="M189" s="1"/>
      <c r="N189" s="1"/>
      <c r="O189" s="1"/>
      <c r="P189" s="1"/>
      <c r="Q189" s="1"/>
      <c r="R189" s="1"/>
      <c r="S189" s="1" t="s">
        <v>8</v>
      </c>
      <c r="T189" s="1"/>
      <c r="U189" s="1"/>
      <c r="V189" s="1"/>
      <c r="W189" s="1"/>
      <c r="X189" s="1"/>
      <c r="Y189" s="1"/>
      <c r="Z189" s="1"/>
    </row>
    <row r="190" spans="1:26" x14ac:dyDescent="0.2">
      <c r="A190" s="2">
        <v>786</v>
      </c>
      <c r="B190" s="1" t="s">
        <v>52</v>
      </c>
      <c r="C190" s="1"/>
      <c r="D190" s="1"/>
      <c r="E190" s="1"/>
      <c r="F190" s="3">
        <v>191000</v>
      </c>
      <c r="G190" s="3">
        <v>21000</v>
      </c>
      <c r="H190" s="3">
        <v>118000</v>
      </c>
      <c r="I190" s="3">
        <v>118000</v>
      </c>
      <c r="J190" s="3">
        <v>118000</v>
      </c>
      <c r="K190" s="3">
        <v>118000</v>
      </c>
      <c r="L190" s="1"/>
      <c r="M190" s="1"/>
      <c r="N190" s="1"/>
      <c r="O190" s="1"/>
      <c r="P190" s="1"/>
      <c r="Q190" s="1"/>
      <c r="R190" s="1"/>
      <c r="S190" s="1" t="s">
        <v>4</v>
      </c>
      <c r="T190" s="1"/>
      <c r="U190" s="1"/>
      <c r="V190" s="1"/>
      <c r="W190" s="1"/>
      <c r="X190" s="1"/>
      <c r="Y190" s="1"/>
      <c r="Z190" s="1"/>
    </row>
    <row r="191" spans="1:26" x14ac:dyDescent="0.2">
      <c r="A191" s="2">
        <v>786</v>
      </c>
      <c r="B191" s="1" t="s">
        <v>50</v>
      </c>
      <c r="C191" s="1"/>
      <c r="D191" s="1"/>
      <c r="E191" s="1"/>
      <c r="F191" s="1"/>
      <c r="G191" s="1"/>
      <c r="H191" s="1"/>
      <c r="I191" s="3">
        <v>167500</v>
      </c>
      <c r="J191" s="3">
        <v>121500</v>
      </c>
      <c r="K191" s="3">
        <v>49000</v>
      </c>
      <c r="L191" s="1"/>
      <c r="M191" s="1"/>
      <c r="N191" s="1"/>
      <c r="O191" s="1"/>
      <c r="P191" s="1"/>
      <c r="Q191" s="1"/>
      <c r="R191" s="1"/>
      <c r="S191" s="1" t="s">
        <v>4</v>
      </c>
      <c r="T191" s="1"/>
      <c r="U191" s="1"/>
      <c r="V191" s="1"/>
      <c r="W191" s="1"/>
      <c r="X191" s="1"/>
      <c r="Y191" s="1"/>
      <c r="Z191" s="1"/>
    </row>
    <row r="192" spans="1:26" x14ac:dyDescent="0.2">
      <c r="A192" s="2">
        <v>786</v>
      </c>
      <c r="B192" s="1" t="s">
        <v>50</v>
      </c>
      <c r="C192" s="1"/>
      <c r="D192" s="1"/>
      <c r="E192" s="1"/>
      <c r="F192" s="1"/>
      <c r="G192" s="1"/>
      <c r="H192" s="1"/>
      <c r="I192" s="1"/>
      <c r="J192" s="1"/>
      <c r="K192" s="3">
        <v>72500</v>
      </c>
      <c r="L192" s="1"/>
      <c r="M192" s="1"/>
      <c r="N192" s="1"/>
      <c r="O192" s="1"/>
      <c r="P192" s="1"/>
      <c r="Q192" s="1"/>
      <c r="R192" s="1"/>
      <c r="S192" s="1" t="s">
        <v>4</v>
      </c>
      <c r="T192" s="1"/>
      <c r="U192" s="1"/>
      <c r="V192" s="1"/>
      <c r="W192" s="1"/>
      <c r="X192" s="1"/>
      <c r="Y192" s="1"/>
      <c r="Z192" s="1"/>
    </row>
    <row r="193" spans="1:26" x14ac:dyDescent="0.2">
      <c r="A193" s="2">
        <v>891</v>
      </c>
      <c r="B193" s="1"/>
      <c r="C193" s="1"/>
      <c r="D193" s="1"/>
      <c r="E193" s="1"/>
      <c r="F193" s="1"/>
      <c r="G193" s="1"/>
      <c r="H193" s="1"/>
      <c r="I193" s="1"/>
      <c r="J193" s="1"/>
      <c r="K193" s="3">
        <v>126447.63</v>
      </c>
      <c r="L193" s="1"/>
      <c r="M193" s="1"/>
      <c r="N193" s="1"/>
      <c r="O193" s="1"/>
      <c r="P193" s="1"/>
      <c r="Q193" s="1"/>
      <c r="R193" s="1"/>
      <c r="S193" s="1" t="s">
        <v>6</v>
      </c>
      <c r="T193" s="1"/>
      <c r="U193" s="1"/>
      <c r="V193" s="1"/>
      <c r="W193" s="1"/>
      <c r="X193" s="1"/>
      <c r="Y193" s="1"/>
      <c r="Z193" s="1"/>
    </row>
    <row r="194" spans="1:26" x14ac:dyDescent="0.2">
      <c r="A194" s="2">
        <v>904</v>
      </c>
      <c r="B194" s="1" t="s">
        <v>45</v>
      </c>
      <c r="C194" s="1"/>
      <c r="D194" s="1"/>
      <c r="E194" s="1"/>
      <c r="F194" s="1"/>
      <c r="G194" s="1"/>
      <c r="H194" s="1"/>
      <c r="I194" s="1"/>
      <c r="J194" s="1"/>
      <c r="K194" s="3">
        <v>11995</v>
      </c>
      <c r="L194" s="1"/>
      <c r="M194" s="1"/>
      <c r="N194" s="1"/>
      <c r="O194" s="1"/>
      <c r="P194" s="1"/>
      <c r="Q194" s="1"/>
      <c r="R194" s="1"/>
      <c r="S194" s="1" t="s">
        <v>6</v>
      </c>
      <c r="T194" s="1"/>
      <c r="U194" s="1"/>
      <c r="V194" s="1"/>
      <c r="W194" s="1"/>
      <c r="X194" s="1"/>
      <c r="Y194" s="1"/>
      <c r="Z194" s="1"/>
    </row>
    <row r="195" spans="1:26" x14ac:dyDescent="0.2">
      <c r="A195" s="2">
        <v>904</v>
      </c>
      <c r="B195" s="1" t="s">
        <v>47</v>
      </c>
      <c r="C195" s="1"/>
      <c r="D195" s="1"/>
      <c r="E195" s="1"/>
      <c r="F195" s="1"/>
      <c r="G195" s="1"/>
      <c r="H195" s="1"/>
      <c r="I195" s="1"/>
      <c r="J195" s="1"/>
      <c r="K195" s="3">
        <v>1199.5</v>
      </c>
      <c r="L195" s="1"/>
      <c r="M195" s="1"/>
      <c r="N195" s="1"/>
      <c r="O195" s="1"/>
      <c r="P195" s="1"/>
      <c r="Q195" s="1"/>
      <c r="R195" s="1"/>
      <c r="S195" s="1" t="s">
        <v>6</v>
      </c>
      <c r="T195" s="1"/>
      <c r="U195" s="1"/>
      <c r="V195" s="1"/>
      <c r="W195" s="1"/>
      <c r="X195" s="1"/>
      <c r="Y195" s="1"/>
      <c r="Z195" s="1"/>
    </row>
    <row r="196" spans="1:26" x14ac:dyDescent="0.2">
      <c r="A196" s="2">
        <v>901</v>
      </c>
      <c r="B196" s="1"/>
      <c r="C196" s="1"/>
      <c r="D196" s="1"/>
      <c r="E196" s="1"/>
      <c r="F196" s="1"/>
      <c r="G196" s="1"/>
      <c r="H196" s="1"/>
      <c r="I196" s="1"/>
      <c r="J196" s="1"/>
      <c r="K196" s="3">
        <v>35000</v>
      </c>
      <c r="L196" s="1"/>
      <c r="M196" s="1"/>
      <c r="N196" s="1"/>
      <c r="O196" s="1"/>
      <c r="P196" s="1"/>
      <c r="Q196" s="1"/>
      <c r="R196" s="1"/>
      <c r="S196" s="1" t="s">
        <v>4</v>
      </c>
      <c r="T196" s="1"/>
      <c r="U196" s="1"/>
      <c r="V196" s="1"/>
      <c r="W196" s="1"/>
      <c r="X196" s="1"/>
      <c r="Y196" s="1"/>
      <c r="Z196" s="1"/>
    </row>
    <row r="197" spans="1:26" x14ac:dyDescent="0.2">
      <c r="A197" s="2">
        <v>907</v>
      </c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 t="s">
        <v>19</v>
      </c>
      <c r="T197" s="1"/>
      <c r="U197" s="1"/>
      <c r="V197" s="1"/>
      <c r="W197" s="1"/>
      <c r="X197" s="1"/>
      <c r="Y197" s="1"/>
      <c r="Z197" s="1"/>
    </row>
    <row r="198" spans="1:26" x14ac:dyDescent="0.2">
      <c r="A198" s="2">
        <v>897</v>
      </c>
      <c r="B198" s="1" t="s">
        <v>45</v>
      </c>
      <c r="C198" s="1"/>
      <c r="D198" s="1"/>
      <c r="E198" s="1"/>
      <c r="F198" s="1"/>
      <c r="G198" s="1"/>
      <c r="H198" s="1"/>
      <c r="I198" s="1"/>
      <c r="J198" s="1"/>
      <c r="K198" s="3">
        <v>110000</v>
      </c>
      <c r="L198" s="1"/>
      <c r="M198" s="1"/>
      <c r="N198" s="1"/>
      <c r="O198" s="1"/>
      <c r="P198" s="1"/>
      <c r="Q198" s="1"/>
      <c r="R198" s="1"/>
      <c r="S198" s="1" t="s">
        <v>10</v>
      </c>
      <c r="T198" s="1"/>
      <c r="U198" s="1"/>
      <c r="V198" s="1"/>
      <c r="W198" s="1"/>
      <c r="X198" s="1"/>
      <c r="Y198" s="1"/>
      <c r="Z198" s="1"/>
    </row>
    <row r="199" spans="1:26" x14ac:dyDescent="0.2">
      <c r="A199" s="2">
        <v>580</v>
      </c>
      <c r="B199" s="1"/>
      <c r="C199" s="1"/>
      <c r="D199" s="1"/>
      <c r="E199" s="1"/>
      <c r="F199" s="1"/>
      <c r="G199" s="3">
        <v>42937.1</v>
      </c>
      <c r="H199" s="3">
        <v>50640.35</v>
      </c>
      <c r="I199" s="3">
        <v>57901.14</v>
      </c>
      <c r="J199" s="1" t="s">
        <v>48</v>
      </c>
      <c r="K199" s="3">
        <v>64219.76</v>
      </c>
      <c r="L199" s="1" t="s">
        <v>48</v>
      </c>
      <c r="M199" s="1"/>
      <c r="N199" s="1"/>
      <c r="O199" s="1"/>
      <c r="P199" s="1"/>
      <c r="Q199" s="1"/>
      <c r="R199" s="1"/>
      <c r="S199" s="1" t="s">
        <v>6</v>
      </c>
      <c r="T199" s="1"/>
      <c r="U199" s="1"/>
      <c r="V199" s="1"/>
      <c r="W199" s="1"/>
      <c r="X199" s="1"/>
      <c r="Y199" s="1"/>
      <c r="Z199" s="1"/>
    </row>
    <row r="200" spans="1:26" x14ac:dyDescent="0.2">
      <c r="A200" s="2">
        <v>719</v>
      </c>
      <c r="B200" s="1" t="s">
        <v>45</v>
      </c>
      <c r="C200" s="1"/>
      <c r="D200" s="3">
        <v>602370</v>
      </c>
      <c r="E200" s="1"/>
      <c r="F200" s="1"/>
      <c r="G200" s="1"/>
      <c r="H200" s="3">
        <v>52565</v>
      </c>
      <c r="I200" s="3">
        <v>54355</v>
      </c>
      <c r="J200" s="3">
        <v>53510</v>
      </c>
      <c r="K200" s="3">
        <v>64355</v>
      </c>
      <c r="L200" s="3">
        <v>58355</v>
      </c>
      <c r="M200" s="1"/>
      <c r="N200" s="1"/>
      <c r="O200" s="1"/>
      <c r="P200" s="1"/>
      <c r="Q200" s="1"/>
      <c r="R200" s="1"/>
      <c r="S200" s="1" t="s">
        <v>4</v>
      </c>
      <c r="T200" s="1"/>
      <c r="U200" s="1"/>
      <c r="V200" s="1"/>
      <c r="W200" s="1"/>
      <c r="X200" s="1"/>
      <c r="Y200" s="1"/>
      <c r="Z200" s="1"/>
    </row>
    <row r="201" spans="1:26" x14ac:dyDescent="0.2">
      <c r="A201" s="2">
        <v>719</v>
      </c>
      <c r="B201" s="1" t="s">
        <v>47</v>
      </c>
      <c r="C201" s="1"/>
      <c r="D201" s="1"/>
      <c r="E201" s="1"/>
      <c r="F201" s="1"/>
      <c r="G201" s="1"/>
      <c r="H201" s="3">
        <v>1022.55</v>
      </c>
      <c r="I201" s="1" t="s">
        <v>48</v>
      </c>
      <c r="J201" s="3">
        <v>1590</v>
      </c>
      <c r="K201" s="1" t="s">
        <v>48</v>
      </c>
      <c r="L201" s="1" t="s">
        <v>48</v>
      </c>
      <c r="M201" s="1"/>
      <c r="N201" s="1"/>
      <c r="O201" s="1"/>
      <c r="P201" s="1"/>
      <c r="Q201" s="1"/>
      <c r="R201" s="1"/>
      <c r="S201" s="1" t="s">
        <v>4</v>
      </c>
      <c r="T201" s="1"/>
      <c r="U201" s="1"/>
      <c r="V201" s="1"/>
      <c r="W201" s="1"/>
      <c r="X201" s="1"/>
      <c r="Y201" s="1"/>
      <c r="Z201" s="1"/>
    </row>
    <row r="202" spans="1:26" x14ac:dyDescent="0.2">
      <c r="A202" s="2">
        <v>848</v>
      </c>
      <c r="B202" s="1" t="s">
        <v>45</v>
      </c>
      <c r="C202" s="1"/>
      <c r="D202" s="1"/>
      <c r="E202" s="1"/>
      <c r="F202" s="1"/>
      <c r="G202" s="1"/>
      <c r="H202" s="1"/>
      <c r="I202" s="3">
        <v>62920</v>
      </c>
      <c r="J202" s="3">
        <v>60960</v>
      </c>
      <c r="K202" s="3">
        <v>64390</v>
      </c>
      <c r="L202" s="3">
        <v>69065</v>
      </c>
      <c r="M202" s="3">
        <v>97690</v>
      </c>
      <c r="N202" s="3">
        <v>95435</v>
      </c>
      <c r="O202" s="3">
        <v>99075</v>
      </c>
      <c r="P202" s="3">
        <v>100765</v>
      </c>
      <c r="Q202" s="1"/>
      <c r="R202" s="1"/>
      <c r="S202" s="1" t="s">
        <v>10</v>
      </c>
      <c r="T202" s="1"/>
      <c r="U202" s="1"/>
      <c r="V202" s="1"/>
      <c r="W202" s="1"/>
      <c r="X202" s="1"/>
      <c r="Y202" s="1"/>
      <c r="Z202" s="1"/>
    </row>
    <row r="203" spans="1:26" x14ac:dyDescent="0.2">
      <c r="A203" s="2">
        <v>848</v>
      </c>
      <c r="B203" s="1" t="s">
        <v>47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3">
        <v>1000</v>
      </c>
      <c r="N203" s="3">
        <v>1000</v>
      </c>
      <c r="O203" s="1" t="s">
        <v>48</v>
      </c>
      <c r="P203" s="1" t="s">
        <v>48</v>
      </c>
      <c r="Q203" s="1"/>
      <c r="R203" s="1"/>
      <c r="S203" s="1" t="s">
        <v>10</v>
      </c>
      <c r="T203" s="1"/>
      <c r="U203" s="1"/>
      <c r="V203" s="1"/>
      <c r="W203" s="1"/>
      <c r="X203" s="1"/>
      <c r="Y203" s="1"/>
      <c r="Z203" s="1"/>
    </row>
    <row r="204" spans="1:26" x14ac:dyDescent="0.2">
      <c r="A204" s="2">
        <v>337</v>
      </c>
      <c r="B204" s="1"/>
      <c r="C204" s="1"/>
      <c r="D204" s="1"/>
      <c r="E204" s="1"/>
      <c r="F204" s="1"/>
      <c r="G204" s="1"/>
      <c r="H204" s="3">
        <v>60450</v>
      </c>
      <c r="I204" s="3">
        <v>47410</v>
      </c>
      <c r="J204" s="3">
        <v>44165</v>
      </c>
      <c r="K204" s="3">
        <v>30800</v>
      </c>
      <c r="L204" s="3">
        <v>56975</v>
      </c>
      <c r="M204" s="1"/>
      <c r="N204" s="1"/>
      <c r="O204" s="1"/>
      <c r="P204" s="1"/>
      <c r="Q204" s="1"/>
      <c r="R204" s="1"/>
      <c r="S204" s="1" t="s">
        <v>8</v>
      </c>
      <c r="T204" s="1"/>
      <c r="U204" s="1"/>
      <c r="V204" s="1"/>
      <c r="W204" s="1"/>
      <c r="X204" s="1"/>
      <c r="Y204" s="1"/>
      <c r="Z204" s="1"/>
    </row>
    <row r="205" spans="1:26" x14ac:dyDescent="0.2">
      <c r="A205" s="2">
        <v>180</v>
      </c>
      <c r="B205" s="1" t="s">
        <v>52</v>
      </c>
      <c r="C205" s="3">
        <v>99500</v>
      </c>
      <c r="D205" s="3">
        <v>97550</v>
      </c>
      <c r="E205" s="3">
        <v>70950</v>
      </c>
      <c r="F205" s="1" t="s">
        <v>46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 t="s">
        <v>8</v>
      </c>
      <c r="T205" s="1"/>
      <c r="U205" s="1"/>
      <c r="V205" s="1"/>
      <c r="W205" s="1"/>
      <c r="X205" s="1"/>
      <c r="Y205" s="1"/>
      <c r="Z205" s="1"/>
    </row>
    <row r="206" spans="1:26" x14ac:dyDescent="0.2">
      <c r="A206" s="2">
        <v>180</v>
      </c>
      <c r="B206" s="1" t="s">
        <v>45</v>
      </c>
      <c r="C206" s="1"/>
      <c r="D206" s="1"/>
      <c r="E206" s="1"/>
      <c r="F206" s="3">
        <v>139625</v>
      </c>
      <c r="G206" s="3">
        <v>139625</v>
      </c>
      <c r="H206" s="3">
        <v>139625</v>
      </c>
      <c r="I206" s="3">
        <v>139625</v>
      </c>
      <c r="J206" s="3">
        <v>139625</v>
      </c>
      <c r="K206" s="3">
        <v>139625</v>
      </c>
      <c r="L206" s="3">
        <v>139625</v>
      </c>
      <c r="M206" s="1"/>
      <c r="N206" s="3">
        <v>163359</v>
      </c>
      <c r="O206" s="3">
        <v>163359</v>
      </c>
      <c r="P206" s="3">
        <v>163359</v>
      </c>
      <c r="Q206" s="3">
        <v>163359</v>
      </c>
      <c r="R206" s="1" t="s">
        <v>46</v>
      </c>
      <c r="S206" s="1" t="s">
        <v>8</v>
      </c>
      <c r="T206" s="1"/>
      <c r="U206" s="1"/>
      <c r="V206" s="1"/>
      <c r="W206" s="1"/>
      <c r="X206" s="1"/>
      <c r="Y206" s="1"/>
      <c r="Z206" s="1"/>
    </row>
    <row r="207" spans="1:26" x14ac:dyDescent="0.2">
      <c r="A207" s="2">
        <v>180</v>
      </c>
      <c r="B207" s="1" t="s">
        <v>47</v>
      </c>
      <c r="C207" s="1"/>
      <c r="D207" s="1"/>
      <c r="E207" s="1"/>
      <c r="F207" s="3">
        <v>43255</v>
      </c>
      <c r="G207" s="3">
        <v>23210</v>
      </c>
      <c r="H207" s="3">
        <v>51695</v>
      </c>
      <c r="I207" s="3">
        <v>59080</v>
      </c>
      <c r="J207" s="3">
        <v>55915</v>
      </c>
      <c r="K207" s="3">
        <v>30595</v>
      </c>
      <c r="L207" s="3">
        <v>52750</v>
      </c>
      <c r="M207" s="1"/>
      <c r="N207" s="1"/>
      <c r="O207" s="1"/>
      <c r="P207" s="1"/>
      <c r="Q207" s="1"/>
      <c r="R207" s="1"/>
      <c r="S207" s="1" t="s">
        <v>8</v>
      </c>
      <c r="T207" s="1"/>
      <c r="U207" s="1"/>
      <c r="V207" s="1"/>
      <c r="W207" s="1"/>
      <c r="X207" s="1"/>
      <c r="Y207" s="1"/>
      <c r="Z207" s="1"/>
    </row>
    <row r="208" spans="1:26" x14ac:dyDescent="0.2">
      <c r="A208" s="2">
        <v>854</v>
      </c>
      <c r="B208" s="1"/>
      <c r="C208" s="1"/>
      <c r="D208" s="1"/>
      <c r="E208" s="1"/>
      <c r="F208" s="1"/>
      <c r="G208" s="1"/>
      <c r="H208" s="1"/>
      <c r="I208" s="1"/>
      <c r="J208" s="3">
        <v>38120</v>
      </c>
      <c r="K208" s="3">
        <v>57318.46</v>
      </c>
      <c r="L208" s="3">
        <v>67331.37</v>
      </c>
      <c r="M208" s="1"/>
      <c r="N208" s="1"/>
      <c r="O208" s="1"/>
      <c r="P208" s="1"/>
      <c r="Q208" s="1"/>
      <c r="R208" s="1"/>
      <c r="S208" s="1" t="s">
        <v>6</v>
      </c>
      <c r="T208" s="1"/>
      <c r="U208" s="1"/>
      <c r="V208" s="1"/>
      <c r="W208" s="1"/>
      <c r="X208" s="1"/>
      <c r="Y208" s="1"/>
      <c r="Z208" s="1"/>
    </row>
    <row r="209" spans="1:26" x14ac:dyDescent="0.2">
      <c r="A209" s="2">
        <v>803</v>
      </c>
      <c r="B209" s="1" t="s">
        <v>45</v>
      </c>
      <c r="C209" s="1"/>
      <c r="D209" s="1"/>
      <c r="E209" s="1"/>
      <c r="F209" s="1"/>
      <c r="G209" s="1"/>
      <c r="H209" s="1"/>
      <c r="I209" s="3">
        <v>86401</v>
      </c>
      <c r="J209" s="3">
        <v>85351</v>
      </c>
      <c r="K209" s="3">
        <v>85351</v>
      </c>
      <c r="L209" s="3">
        <v>85351</v>
      </c>
      <c r="M209" s="1"/>
      <c r="N209" s="1"/>
      <c r="O209" s="1"/>
      <c r="P209" s="1"/>
      <c r="Q209" s="1"/>
      <c r="R209" s="1"/>
      <c r="S209" s="1" t="s">
        <v>10</v>
      </c>
      <c r="T209" s="1"/>
      <c r="U209" s="1"/>
      <c r="V209" s="1"/>
      <c r="W209" s="1"/>
      <c r="X209" s="1"/>
      <c r="Y209" s="1"/>
      <c r="Z209" s="1"/>
    </row>
    <row r="210" spans="1:26" x14ac:dyDescent="0.2">
      <c r="A210" s="2">
        <v>803</v>
      </c>
      <c r="B210" s="1" t="s">
        <v>47</v>
      </c>
      <c r="C210" s="1"/>
      <c r="D210" s="1"/>
      <c r="E210" s="1"/>
      <c r="F210" s="1"/>
      <c r="G210" s="1"/>
      <c r="H210" s="1"/>
      <c r="I210" s="3">
        <v>37029</v>
      </c>
      <c r="J210" s="3">
        <v>36579</v>
      </c>
      <c r="K210" s="3">
        <v>36579</v>
      </c>
      <c r="L210" s="3">
        <v>36579</v>
      </c>
      <c r="M210" s="1"/>
      <c r="N210" s="1"/>
      <c r="O210" s="1"/>
      <c r="P210" s="1"/>
      <c r="Q210" s="1"/>
      <c r="R210" s="1"/>
      <c r="S210" s="1" t="s">
        <v>10</v>
      </c>
      <c r="T210" s="1"/>
      <c r="U210" s="1"/>
      <c r="V210" s="1"/>
      <c r="W210" s="1"/>
      <c r="X210" s="1"/>
      <c r="Y210" s="1"/>
      <c r="Z210" s="1"/>
    </row>
    <row r="211" spans="1:26" x14ac:dyDescent="0.2">
      <c r="A211" s="2">
        <v>648</v>
      </c>
      <c r="B211" s="1" t="s">
        <v>45</v>
      </c>
      <c r="C211" s="3">
        <v>22887.5</v>
      </c>
      <c r="D211" s="3">
        <v>22887.5</v>
      </c>
      <c r="E211" s="3">
        <v>22887.5</v>
      </c>
      <c r="F211" s="1"/>
      <c r="G211" s="3">
        <v>22887.5</v>
      </c>
      <c r="H211" s="3">
        <v>22887.5</v>
      </c>
      <c r="I211" s="1"/>
      <c r="J211" s="3">
        <v>22887.5</v>
      </c>
      <c r="K211" s="3">
        <v>22887.5</v>
      </c>
      <c r="L211" s="3">
        <v>22887.5</v>
      </c>
      <c r="M211" s="1"/>
      <c r="N211" s="1"/>
      <c r="O211" s="1"/>
      <c r="P211" s="1"/>
      <c r="Q211" s="1"/>
      <c r="R211" s="1"/>
      <c r="S211" s="1" t="s">
        <v>6</v>
      </c>
      <c r="T211" s="1"/>
      <c r="U211" s="1"/>
      <c r="V211" s="1"/>
      <c r="W211" s="1"/>
      <c r="X211" s="1"/>
      <c r="Y211" s="1"/>
      <c r="Z211" s="1"/>
    </row>
    <row r="212" spans="1:26" x14ac:dyDescent="0.2">
      <c r="A212" s="2">
        <v>648</v>
      </c>
      <c r="B212" s="1" t="s">
        <v>47</v>
      </c>
      <c r="C212" s="3">
        <v>22887.5</v>
      </c>
      <c r="D212" s="3">
        <v>22887.5</v>
      </c>
      <c r="E212" s="3">
        <v>22887.5</v>
      </c>
      <c r="F212" s="1"/>
      <c r="G212" s="3">
        <v>22887.5</v>
      </c>
      <c r="H212" s="3">
        <v>22887.5</v>
      </c>
      <c r="I212" s="1"/>
      <c r="J212" s="3">
        <v>22887.5</v>
      </c>
      <c r="K212" s="3">
        <v>22887.5</v>
      </c>
      <c r="L212" s="3">
        <v>22887.5</v>
      </c>
      <c r="M212" s="1"/>
      <c r="N212" s="1"/>
      <c r="O212" s="1"/>
      <c r="P212" s="1"/>
      <c r="Q212" s="1"/>
      <c r="R212" s="1"/>
      <c r="S212" s="1" t="s">
        <v>6</v>
      </c>
      <c r="T212" s="1"/>
      <c r="U212" s="1"/>
      <c r="V212" s="1"/>
      <c r="W212" s="1"/>
      <c r="X212" s="1"/>
      <c r="Y212" s="1"/>
      <c r="Z212" s="1"/>
    </row>
    <row r="213" spans="1:26" x14ac:dyDescent="0.2">
      <c r="A213" s="2">
        <v>268</v>
      </c>
      <c r="B213" s="1"/>
      <c r="C213" s="3">
        <v>79235</v>
      </c>
      <c r="D213" s="3">
        <v>79235</v>
      </c>
      <c r="E213" s="3">
        <v>83810</v>
      </c>
      <c r="F213" s="3">
        <v>122845</v>
      </c>
      <c r="G213" s="3">
        <v>128145</v>
      </c>
      <c r="H213" s="3">
        <v>135530</v>
      </c>
      <c r="I213" s="3">
        <v>133420</v>
      </c>
      <c r="J213" s="3">
        <v>140005</v>
      </c>
      <c r="K213" s="3">
        <v>150160</v>
      </c>
      <c r="L213" s="3">
        <v>137500</v>
      </c>
      <c r="M213" s="3">
        <v>141435</v>
      </c>
      <c r="N213" s="3">
        <v>125645</v>
      </c>
      <c r="O213" s="3">
        <v>128810</v>
      </c>
      <c r="P213" s="3">
        <v>130920</v>
      </c>
      <c r="Q213" s="3">
        <v>125645</v>
      </c>
      <c r="R213" s="3">
        <v>125645</v>
      </c>
      <c r="S213" s="1" t="s">
        <v>10</v>
      </c>
      <c r="T213" s="1"/>
      <c r="U213" s="1"/>
      <c r="V213" s="1"/>
      <c r="W213" s="1"/>
      <c r="X213" s="1"/>
      <c r="Y213" s="1"/>
      <c r="Z213" s="1"/>
    </row>
    <row r="214" spans="1:26" x14ac:dyDescent="0.2">
      <c r="A214" s="2">
        <v>274</v>
      </c>
      <c r="B214" s="1" t="s">
        <v>52</v>
      </c>
      <c r="C214" s="3">
        <v>170268</v>
      </c>
      <c r="D214" s="3">
        <v>170268</v>
      </c>
      <c r="E214" s="3">
        <v>170268</v>
      </c>
      <c r="F214" s="3">
        <v>170268</v>
      </c>
      <c r="G214" s="3">
        <v>170268</v>
      </c>
      <c r="H214" s="3">
        <v>201870</v>
      </c>
      <c r="I214" s="3">
        <v>201870</v>
      </c>
      <c r="J214" s="3">
        <v>201870</v>
      </c>
      <c r="K214" s="3">
        <v>183630</v>
      </c>
      <c r="L214" s="3">
        <v>183630</v>
      </c>
      <c r="M214" s="1"/>
      <c r="N214" s="1"/>
      <c r="O214" s="1"/>
      <c r="P214" s="1"/>
      <c r="Q214" s="1"/>
      <c r="R214" s="1"/>
      <c r="S214" s="1" t="s">
        <v>6</v>
      </c>
      <c r="T214" s="1"/>
      <c r="U214" s="1"/>
      <c r="V214" s="1"/>
      <c r="W214" s="1"/>
      <c r="X214" s="1"/>
      <c r="Y214" s="1"/>
      <c r="Z214" s="1"/>
    </row>
    <row r="215" spans="1:26" x14ac:dyDescent="0.2">
      <c r="A215" s="2">
        <v>274</v>
      </c>
      <c r="B215" s="1" t="s">
        <v>50</v>
      </c>
      <c r="C215" s="1"/>
      <c r="D215" s="1"/>
      <c r="E215" s="1"/>
      <c r="F215" s="1"/>
      <c r="G215" s="1"/>
      <c r="H215" s="1"/>
      <c r="I215" s="1"/>
      <c r="J215" s="1"/>
      <c r="K215" s="3">
        <v>79200</v>
      </c>
      <c r="L215" s="1"/>
      <c r="M215" s="1"/>
      <c r="N215" s="1"/>
      <c r="O215" s="1"/>
      <c r="P215" s="1"/>
      <c r="Q215" s="1"/>
      <c r="R215" s="1"/>
      <c r="S215" s="1" t="s">
        <v>6</v>
      </c>
      <c r="T215" s="1"/>
      <c r="U215" s="1"/>
      <c r="V215" s="1"/>
      <c r="W215" s="1"/>
      <c r="X215" s="1"/>
      <c r="Y215" s="1"/>
      <c r="Z215" s="1"/>
    </row>
    <row r="216" spans="1:26" x14ac:dyDescent="0.2">
      <c r="A216" s="2">
        <v>781</v>
      </c>
      <c r="B216" s="1" t="s">
        <v>49</v>
      </c>
      <c r="C216" s="1"/>
      <c r="D216" s="1"/>
      <c r="E216" s="3">
        <v>104319</v>
      </c>
      <c r="F216" s="3">
        <v>60660</v>
      </c>
      <c r="G216" s="3">
        <v>359157</v>
      </c>
      <c r="H216" s="3">
        <v>241780</v>
      </c>
      <c r="I216" s="3">
        <v>321769.75</v>
      </c>
      <c r="J216" s="3">
        <v>337482.75</v>
      </c>
      <c r="K216" s="3">
        <v>288638.5</v>
      </c>
      <c r="L216" s="3">
        <v>333853.75</v>
      </c>
      <c r="M216" s="1"/>
      <c r="N216" s="1"/>
      <c r="O216" s="1"/>
      <c r="P216" s="1"/>
      <c r="Q216" s="1"/>
      <c r="R216" s="1"/>
      <c r="S216" s="1" t="s">
        <v>5</v>
      </c>
      <c r="T216" s="1"/>
      <c r="U216" s="1"/>
      <c r="V216" s="1"/>
      <c r="W216" s="1"/>
      <c r="X216" s="1"/>
      <c r="Y216" s="1"/>
      <c r="Z216" s="1"/>
    </row>
    <row r="217" spans="1:26" x14ac:dyDescent="0.2">
      <c r="A217" s="2">
        <v>916</v>
      </c>
      <c r="B217" s="1" t="s">
        <v>45</v>
      </c>
      <c r="C217" s="1"/>
      <c r="D217" s="1"/>
      <c r="E217" s="1"/>
      <c r="F217" s="1"/>
      <c r="G217" s="1"/>
      <c r="H217" s="1"/>
      <c r="I217" s="1"/>
      <c r="J217" s="1"/>
      <c r="K217" s="1"/>
      <c r="L217" s="3">
        <v>763110</v>
      </c>
      <c r="M217" s="1"/>
      <c r="N217" s="1"/>
      <c r="O217" s="1"/>
      <c r="P217" s="1"/>
      <c r="Q217" s="1"/>
      <c r="R217" s="1"/>
      <c r="S217" s="1" t="s">
        <v>4</v>
      </c>
      <c r="T217" s="1"/>
      <c r="U217" s="1"/>
      <c r="V217" s="1"/>
      <c r="W217" s="1"/>
      <c r="X217" s="1"/>
      <c r="Y217" s="1"/>
      <c r="Z217" s="1"/>
    </row>
    <row r="218" spans="1:26" x14ac:dyDescent="0.2">
      <c r="A218" s="2">
        <v>923</v>
      </c>
      <c r="B218" s="1"/>
      <c r="C218" s="1"/>
      <c r="D218" s="1"/>
      <c r="E218" s="1"/>
      <c r="F218" s="1"/>
      <c r="G218" s="1"/>
      <c r="H218" s="1"/>
      <c r="I218" s="1"/>
      <c r="J218" s="1"/>
      <c r="K218" s="3">
        <v>36640</v>
      </c>
      <c r="L218" s="3">
        <v>32750</v>
      </c>
      <c r="M218" s="1"/>
      <c r="N218" s="1"/>
      <c r="O218" s="1"/>
      <c r="P218" s="1"/>
      <c r="Q218" s="1"/>
      <c r="R218" s="1"/>
      <c r="S218" s="1" t="s">
        <v>6</v>
      </c>
      <c r="T218" s="1"/>
      <c r="U218" s="1"/>
      <c r="V218" s="1"/>
      <c r="W218" s="1"/>
      <c r="X218" s="1"/>
      <c r="Y218" s="1"/>
      <c r="Z218" s="1"/>
    </row>
    <row r="219" spans="1:26" x14ac:dyDescent="0.2">
      <c r="A219" s="2">
        <v>633</v>
      </c>
      <c r="B219" s="1"/>
      <c r="C219" s="3">
        <v>40200</v>
      </c>
      <c r="D219" s="3">
        <v>40200</v>
      </c>
      <c r="E219" s="3">
        <v>40200</v>
      </c>
      <c r="F219" s="3">
        <v>40200</v>
      </c>
      <c r="G219" s="1"/>
      <c r="H219" s="3">
        <v>40200</v>
      </c>
      <c r="I219" s="3">
        <v>40200</v>
      </c>
      <c r="J219" s="3">
        <v>166465</v>
      </c>
      <c r="K219" s="3">
        <v>166500</v>
      </c>
      <c r="L219" s="3">
        <v>166500</v>
      </c>
      <c r="M219" s="1"/>
      <c r="N219" s="1"/>
      <c r="O219" s="1"/>
      <c r="P219" s="1"/>
      <c r="Q219" s="1"/>
      <c r="R219" s="1"/>
      <c r="S219" s="1" t="s">
        <v>4</v>
      </c>
      <c r="T219" s="1"/>
      <c r="U219" s="1"/>
      <c r="V219" s="1"/>
      <c r="W219" s="1"/>
      <c r="X219" s="1"/>
      <c r="Y219" s="1"/>
      <c r="Z219" s="1"/>
    </row>
    <row r="220" spans="1:26" x14ac:dyDescent="0.2">
      <c r="A220" s="2">
        <v>713</v>
      </c>
      <c r="B220" s="1" t="s">
        <v>45</v>
      </c>
      <c r="C220" s="1"/>
      <c r="D220" s="1"/>
      <c r="E220" s="3">
        <v>73610</v>
      </c>
      <c r="F220" s="3">
        <v>64625</v>
      </c>
      <c r="G220" s="3">
        <v>51805</v>
      </c>
      <c r="H220" s="3">
        <v>65520</v>
      </c>
      <c r="I220" s="3">
        <v>65315</v>
      </c>
      <c r="J220" s="3">
        <v>65265</v>
      </c>
      <c r="K220" s="3">
        <v>65265</v>
      </c>
      <c r="L220" s="1" t="s">
        <v>46</v>
      </c>
      <c r="M220" s="1"/>
      <c r="N220" s="1"/>
      <c r="O220" s="1"/>
      <c r="P220" s="1"/>
      <c r="Q220" s="1"/>
      <c r="R220" s="1"/>
      <c r="S220" s="1" t="s">
        <v>7</v>
      </c>
      <c r="T220" s="1"/>
      <c r="U220" s="1"/>
      <c r="V220" s="1"/>
      <c r="W220" s="1"/>
      <c r="X220" s="1"/>
      <c r="Y220" s="1"/>
      <c r="Z220" s="1"/>
    </row>
    <row r="221" spans="1:26" x14ac:dyDescent="0.2">
      <c r="A221" s="2">
        <v>713</v>
      </c>
      <c r="B221" s="1" t="s">
        <v>47</v>
      </c>
      <c r="C221" s="1"/>
      <c r="D221" s="1"/>
      <c r="E221" s="1"/>
      <c r="F221" s="1"/>
      <c r="G221" s="3">
        <v>11765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 t="s">
        <v>7</v>
      </c>
      <c r="T221" s="1"/>
      <c r="U221" s="1"/>
      <c r="V221" s="1"/>
      <c r="W221" s="1"/>
      <c r="X221" s="1"/>
      <c r="Y221" s="1"/>
      <c r="Z221" s="1"/>
    </row>
    <row r="222" spans="1:26" x14ac:dyDescent="0.2">
      <c r="A222" s="2">
        <v>829</v>
      </c>
      <c r="B222" s="1" t="s">
        <v>45</v>
      </c>
      <c r="C222" s="1"/>
      <c r="D222" s="1"/>
      <c r="E222" s="1"/>
      <c r="F222" s="1"/>
      <c r="G222" s="1"/>
      <c r="H222" s="1"/>
      <c r="I222" s="1"/>
      <c r="J222" s="1"/>
      <c r="K222" s="3">
        <v>13400</v>
      </c>
      <c r="L222" s="3">
        <v>13400</v>
      </c>
      <c r="M222" s="1"/>
      <c r="N222" s="1"/>
      <c r="O222" s="1"/>
      <c r="P222" s="1"/>
      <c r="Q222" s="1"/>
      <c r="R222" s="1"/>
      <c r="S222" s="1" t="s">
        <v>8</v>
      </c>
      <c r="T222" s="1"/>
      <c r="U222" s="1"/>
      <c r="V222" s="1"/>
      <c r="W222" s="1"/>
      <c r="X222" s="1"/>
      <c r="Y222" s="1"/>
      <c r="Z222" s="1"/>
    </row>
    <row r="223" spans="1:26" x14ac:dyDescent="0.2">
      <c r="A223" s="2">
        <v>829</v>
      </c>
      <c r="B223" s="1" t="s">
        <v>47</v>
      </c>
      <c r="C223" s="1"/>
      <c r="D223" s="1"/>
      <c r="E223" s="1"/>
      <c r="F223" s="1"/>
      <c r="G223" s="1"/>
      <c r="H223" s="1" t="s">
        <v>48</v>
      </c>
      <c r="I223" s="1" t="s">
        <v>48</v>
      </c>
      <c r="J223" s="1"/>
      <c r="K223" s="3">
        <v>25500</v>
      </c>
      <c r="L223" s="1" t="s">
        <v>48</v>
      </c>
      <c r="M223" s="1"/>
      <c r="N223" s="1"/>
      <c r="O223" s="1"/>
      <c r="P223" s="1"/>
      <c r="Q223" s="1"/>
      <c r="R223" s="1"/>
      <c r="S223" s="1" t="s">
        <v>8</v>
      </c>
      <c r="T223" s="1"/>
      <c r="U223" s="1"/>
      <c r="V223" s="1"/>
      <c r="W223" s="1"/>
      <c r="X223" s="1"/>
      <c r="Y223" s="1"/>
      <c r="Z223" s="1"/>
    </row>
    <row r="224" spans="1:26" x14ac:dyDescent="0.2">
      <c r="A224" s="2">
        <v>846</v>
      </c>
      <c r="B224" s="1" t="s">
        <v>52</v>
      </c>
      <c r="C224" s="1"/>
      <c r="D224" s="1"/>
      <c r="E224" s="1"/>
      <c r="F224" s="1"/>
      <c r="G224" s="1"/>
      <c r="H224" s="1"/>
      <c r="I224" s="3">
        <v>95795</v>
      </c>
      <c r="J224" s="3">
        <v>74795</v>
      </c>
      <c r="K224" s="3">
        <v>74795</v>
      </c>
      <c r="L224" s="3">
        <v>74795</v>
      </c>
      <c r="M224" s="3">
        <v>74795</v>
      </c>
      <c r="N224" s="3">
        <v>74795</v>
      </c>
      <c r="O224" s="3">
        <v>74795</v>
      </c>
      <c r="P224" s="3">
        <v>74795</v>
      </c>
      <c r="Q224" s="3">
        <v>74795</v>
      </c>
      <c r="R224" s="3">
        <v>74795</v>
      </c>
      <c r="S224" s="1" t="s">
        <v>7</v>
      </c>
      <c r="T224" s="1"/>
      <c r="U224" s="1"/>
      <c r="V224" s="1"/>
      <c r="W224" s="1"/>
      <c r="X224" s="1"/>
      <c r="Y224" s="1"/>
      <c r="Z224" s="1"/>
    </row>
    <row r="225" spans="1:26" x14ac:dyDescent="0.2">
      <c r="A225" s="2">
        <v>348</v>
      </c>
      <c r="B225" s="1"/>
      <c r="C225" s="3">
        <v>14860</v>
      </c>
      <c r="D225" s="3">
        <v>14860</v>
      </c>
      <c r="E225" s="3">
        <v>14860</v>
      </c>
      <c r="F225" s="3">
        <v>14860</v>
      </c>
      <c r="G225" s="1"/>
      <c r="H225" s="3">
        <v>17740</v>
      </c>
      <c r="I225" s="3">
        <v>16685</v>
      </c>
      <c r="J225" s="3">
        <v>16685</v>
      </c>
      <c r="K225" s="3">
        <v>16685</v>
      </c>
      <c r="L225" s="3">
        <v>16685</v>
      </c>
      <c r="M225" s="3">
        <v>16685</v>
      </c>
      <c r="N225" s="1"/>
      <c r="O225" s="3">
        <v>21400</v>
      </c>
      <c r="P225" s="3">
        <v>20000</v>
      </c>
      <c r="Q225" s="3">
        <v>20000</v>
      </c>
      <c r="R225" s="3">
        <v>20000</v>
      </c>
      <c r="S225" s="1" t="s">
        <v>8</v>
      </c>
      <c r="T225" s="1"/>
      <c r="U225" s="1"/>
      <c r="V225" s="1"/>
      <c r="W225" s="1"/>
      <c r="X225" s="1"/>
      <c r="Y225" s="1"/>
      <c r="Z225" s="1"/>
    </row>
    <row r="226" spans="1:26" x14ac:dyDescent="0.2">
      <c r="A226" s="2">
        <v>492</v>
      </c>
      <c r="B226" s="1"/>
      <c r="C226" s="3">
        <v>40390</v>
      </c>
      <c r="D226" s="3">
        <v>57615</v>
      </c>
      <c r="E226" s="3">
        <v>61925</v>
      </c>
      <c r="F226" s="3">
        <v>62615</v>
      </c>
      <c r="G226" s="3">
        <v>59390</v>
      </c>
      <c r="H226" s="3">
        <v>56235</v>
      </c>
      <c r="I226" s="3">
        <v>62770</v>
      </c>
      <c r="J226" s="3">
        <v>65925</v>
      </c>
      <c r="K226" s="3">
        <v>61925</v>
      </c>
      <c r="L226" s="3">
        <v>65840</v>
      </c>
      <c r="M226" s="3">
        <v>68685</v>
      </c>
      <c r="N226" s="1"/>
      <c r="O226" s="1"/>
      <c r="P226" s="1"/>
      <c r="Q226" s="1"/>
      <c r="R226" s="1"/>
      <c r="S226" s="1" t="s">
        <v>10</v>
      </c>
      <c r="T226" s="1"/>
      <c r="U226" s="1"/>
      <c r="V226" s="1"/>
      <c r="W226" s="1"/>
      <c r="X226" s="1"/>
      <c r="Y226" s="1"/>
      <c r="Z226" s="1"/>
    </row>
    <row r="227" spans="1:26" x14ac:dyDescent="0.2">
      <c r="A227" s="2">
        <v>819</v>
      </c>
      <c r="B227" s="1"/>
      <c r="C227" s="1"/>
      <c r="D227" s="1"/>
      <c r="E227" s="1"/>
      <c r="F227" s="1"/>
      <c r="G227" s="1"/>
      <c r="H227" s="3">
        <v>59590</v>
      </c>
      <c r="I227" s="3">
        <v>86350</v>
      </c>
      <c r="J227" s="3">
        <v>86350</v>
      </c>
      <c r="K227" s="3">
        <v>99010</v>
      </c>
      <c r="L227" s="3">
        <v>94790</v>
      </c>
      <c r="M227" s="3">
        <v>99010</v>
      </c>
      <c r="N227" s="1"/>
      <c r="O227" s="1"/>
      <c r="P227" s="1"/>
      <c r="Q227" s="1"/>
      <c r="R227" s="1"/>
      <c r="S227" s="1" t="s">
        <v>6</v>
      </c>
      <c r="T227" s="1"/>
      <c r="U227" s="1"/>
      <c r="V227" s="1"/>
      <c r="W227" s="1"/>
      <c r="X227" s="1"/>
      <c r="Y227" s="1"/>
      <c r="Z227" s="1"/>
    </row>
    <row r="228" spans="1:26" x14ac:dyDescent="0.2">
      <c r="A228" s="2">
        <v>726</v>
      </c>
      <c r="B228" s="1" t="s">
        <v>52</v>
      </c>
      <c r="C228" s="1"/>
      <c r="D228" s="3">
        <v>41555</v>
      </c>
      <c r="E228" s="3">
        <v>33155</v>
      </c>
      <c r="F228" s="3">
        <v>34215</v>
      </c>
      <c r="G228" s="3">
        <v>35110</v>
      </c>
      <c r="H228" s="3">
        <v>38390</v>
      </c>
      <c r="I228" s="3">
        <v>38390</v>
      </c>
      <c r="J228" s="3">
        <v>38390</v>
      </c>
      <c r="K228" s="3">
        <v>38390</v>
      </c>
      <c r="L228" s="3">
        <v>38390</v>
      </c>
      <c r="M228" s="3">
        <v>38390</v>
      </c>
      <c r="N228" s="3">
        <v>34565</v>
      </c>
      <c r="O228" s="3">
        <v>36675</v>
      </c>
      <c r="P228" s="3">
        <v>38365</v>
      </c>
      <c r="Q228" s="3">
        <v>38365</v>
      </c>
      <c r="R228" s="3">
        <v>41320</v>
      </c>
      <c r="S228" s="1" t="s">
        <v>8</v>
      </c>
      <c r="T228" s="1"/>
      <c r="U228" s="1"/>
      <c r="V228" s="1"/>
      <c r="W228" s="1"/>
      <c r="X228" s="1"/>
      <c r="Y228" s="1"/>
      <c r="Z228" s="1"/>
    </row>
    <row r="229" spans="1:26" x14ac:dyDescent="0.2">
      <c r="A229" s="2">
        <v>726</v>
      </c>
      <c r="B229" s="1" t="s">
        <v>50</v>
      </c>
      <c r="C229" s="1"/>
      <c r="D229" s="3">
        <v>18795</v>
      </c>
      <c r="E229" s="3">
        <v>3580</v>
      </c>
      <c r="F229" s="3">
        <v>12465</v>
      </c>
      <c r="G229" s="3">
        <v>23270</v>
      </c>
      <c r="H229" s="3">
        <v>7160</v>
      </c>
      <c r="I229" s="3">
        <v>54595</v>
      </c>
      <c r="J229" s="3">
        <v>54915</v>
      </c>
      <c r="K229" s="3">
        <v>22535</v>
      </c>
      <c r="L229" s="3">
        <v>13905</v>
      </c>
      <c r="M229" s="3">
        <v>8375</v>
      </c>
      <c r="N229" s="3">
        <v>11635</v>
      </c>
      <c r="O229" s="1" t="s">
        <v>48</v>
      </c>
      <c r="P229" s="3">
        <v>10740</v>
      </c>
      <c r="Q229" s="3">
        <v>8950</v>
      </c>
      <c r="R229" s="3">
        <v>2685</v>
      </c>
      <c r="S229" s="1" t="s">
        <v>8</v>
      </c>
      <c r="T229" s="1"/>
      <c r="U229" s="1"/>
      <c r="V229" s="1"/>
      <c r="W229" s="1"/>
      <c r="X229" s="1"/>
      <c r="Y229" s="1"/>
      <c r="Z229" s="1"/>
    </row>
    <row r="230" spans="1:26" x14ac:dyDescent="0.2">
      <c r="A230" s="2">
        <v>792</v>
      </c>
      <c r="B230" s="1" t="s">
        <v>45</v>
      </c>
      <c r="C230" s="1"/>
      <c r="D230" s="1"/>
      <c r="E230" s="1"/>
      <c r="F230" s="3">
        <v>1400</v>
      </c>
      <c r="G230" s="3">
        <v>1400</v>
      </c>
      <c r="H230" s="3">
        <v>1400</v>
      </c>
      <c r="I230" s="3">
        <v>1400</v>
      </c>
      <c r="J230" s="3">
        <v>1400</v>
      </c>
      <c r="K230" s="3">
        <v>89850</v>
      </c>
      <c r="L230" s="3">
        <v>94050</v>
      </c>
      <c r="M230" s="3">
        <v>94050</v>
      </c>
      <c r="N230" s="1"/>
      <c r="O230" s="1"/>
      <c r="P230" s="1"/>
      <c r="Q230" s="1"/>
      <c r="R230" s="1"/>
      <c r="S230" s="1" t="s">
        <v>4</v>
      </c>
      <c r="T230" s="1"/>
      <c r="U230" s="1"/>
      <c r="V230" s="1"/>
      <c r="W230" s="1"/>
      <c r="X230" s="1"/>
      <c r="Y230" s="1"/>
      <c r="Z230" s="1"/>
    </row>
    <row r="231" spans="1:26" x14ac:dyDescent="0.2">
      <c r="A231" s="2">
        <v>792</v>
      </c>
      <c r="B231" s="1" t="s">
        <v>47</v>
      </c>
      <c r="C231" s="1"/>
      <c r="D231" s="1"/>
      <c r="E231" s="1"/>
      <c r="F231" s="1"/>
      <c r="G231" s="1"/>
      <c r="H231" s="1"/>
      <c r="I231" s="1"/>
      <c r="J231" s="1"/>
      <c r="K231" s="3">
        <v>4200</v>
      </c>
      <c r="L231" s="1"/>
      <c r="M231" s="1"/>
      <c r="N231" s="1"/>
      <c r="O231" s="1"/>
      <c r="P231" s="1"/>
      <c r="Q231" s="1"/>
      <c r="R231" s="1"/>
      <c r="S231" s="1" t="s">
        <v>4</v>
      </c>
      <c r="T231" s="1"/>
      <c r="U231" s="1"/>
      <c r="V231" s="1"/>
      <c r="W231" s="1"/>
      <c r="X231" s="1"/>
      <c r="Y231" s="1"/>
      <c r="Z231" s="1"/>
    </row>
    <row r="232" spans="1:26" x14ac:dyDescent="0.2">
      <c r="A232" s="2">
        <v>792</v>
      </c>
      <c r="B232" s="1" t="s">
        <v>47</v>
      </c>
      <c r="C232" s="1"/>
      <c r="D232" s="1"/>
      <c r="E232" s="1"/>
      <c r="F232" s="3">
        <v>3165</v>
      </c>
      <c r="G232" s="3">
        <v>5275</v>
      </c>
      <c r="H232" s="3">
        <v>3165</v>
      </c>
      <c r="I232" s="3">
        <v>3165</v>
      </c>
      <c r="J232" s="1" t="s">
        <v>48</v>
      </c>
      <c r="K232" s="1" t="s">
        <v>48</v>
      </c>
      <c r="L232" s="1" t="s">
        <v>48</v>
      </c>
      <c r="M232" s="1" t="s">
        <v>48</v>
      </c>
      <c r="N232" s="1"/>
      <c r="O232" s="1"/>
      <c r="P232" s="1"/>
      <c r="Q232" s="1"/>
      <c r="R232" s="1"/>
      <c r="S232" s="1" t="s">
        <v>4</v>
      </c>
      <c r="T232" s="1"/>
      <c r="U232" s="1"/>
      <c r="V232" s="1"/>
      <c r="W232" s="1"/>
      <c r="X232" s="1"/>
      <c r="Y232" s="1"/>
      <c r="Z232" s="1"/>
    </row>
    <row r="233" spans="1:26" x14ac:dyDescent="0.2">
      <c r="A233" s="2">
        <v>898</v>
      </c>
      <c r="B233" s="1" t="s">
        <v>45</v>
      </c>
      <c r="C233" s="1"/>
      <c r="D233" s="1"/>
      <c r="E233" s="1"/>
      <c r="F233" s="1"/>
      <c r="G233" s="1"/>
      <c r="H233" s="1"/>
      <c r="I233" s="1"/>
      <c r="J233" s="3">
        <v>95820</v>
      </c>
      <c r="K233" s="3">
        <v>19400</v>
      </c>
      <c r="L233" s="1" t="s">
        <v>46</v>
      </c>
      <c r="M233" s="1"/>
      <c r="N233" s="1"/>
      <c r="O233" s="1"/>
      <c r="P233" s="1"/>
      <c r="Q233" s="1"/>
      <c r="R233" s="1"/>
      <c r="S233" s="1" t="s">
        <v>10</v>
      </c>
      <c r="T233" s="1"/>
      <c r="U233" s="1"/>
      <c r="V233" s="1"/>
      <c r="W233" s="1"/>
      <c r="X233" s="1"/>
      <c r="Y233" s="1"/>
      <c r="Z233" s="1"/>
    </row>
    <row r="234" spans="1:26" x14ac:dyDescent="0.2">
      <c r="A234" s="2">
        <v>898</v>
      </c>
      <c r="B234" s="1" t="s">
        <v>47</v>
      </c>
      <c r="C234" s="1"/>
      <c r="D234" s="1"/>
      <c r="E234" s="1"/>
      <c r="F234" s="1"/>
      <c r="G234" s="1"/>
      <c r="H234" s="1"/>
      <c r="I234" s="1"/>
      <c r="J234" s="3">
        <v>29704.26</v>
      </c>
      <c r="K234" s="1" t="s">
        <v>48</v>
      </c>
      <c r="L234" s="1" t="s">
        <v>46</v>
      </c>
      <c r="M234" s="1"/>
      <c r="N234" s="1"/>
      <c r="O234" s="1"/>
      <c r="P234" s="1"/>
      <c r="Q234" s="1"/>
      <c r="R234" s="1"/>
      <c r="S234" s="1" t="s">
        <v>10</v>
      </c>
      <c r="T234" s="1"/>
      <c r="U234" s="1"/>
      <c r="V234" s="1"/>
      <c r="W234" s="1"/>
      <c r="X234" s="1"/>
      <c r="Y234" s="1"/>
      <c r="Z234" s="1"/>
    </row>
    <row r="235" spans="1:26" x14ac:dyDescent="0.2">
      <c r="A235" s="2">
        <v>86</v>
      </c>
      <c r="B235" s="1" t="s">
        <v>45</v>
      </c>
      <c r="C235" s="1"/>
      <c r="D235" s="1"/>
      <c r="E235" s="1"/>
      <c r="F235" s="1"/>
      <c r="G235" s="1"/>
      <c r="H235" s="1"/>
      <c r="I235" s="1"/>
      <c r="J235" s="3">
        <v>44734.5</v>
      </c>
      <c r="K235" s="3">
        <v>43362</v>
      </c>
      <c r="L235" s="3">
        <v>48541.5</v>
      </c>
      <c r="M235" s="3">
        <v>54414</v>
      </c>
      <c r="N235" s="1"/>
      <c r="O235" s="1"/>
      <c r="P235" s="1"/>
      <c r="Q235" s="1"/>
      <c r="R235" s="1"/>
      <c r="S235" s="1" t="s">
        <v>8</v>
      </c>
      <c r="T235" s="1"/>
      <c r="U235" s="1"/>
      <c r="V235" s="1"/>
      <c r="W235" s="1"/>
      <c r="X235" s="1"/>
      <c r="Y235" s="1"/>
      <c r="Z235" s="1"/>
    </row>
    <row r="236" spans="1:26" x14ac:dyDescent="0.2">
      <c r="A236" s="2">
        <v>86</v>
      </c>
      <c r="B236" s="1" t="s">
        <v>47</v>
      </c>
      <c r="C236" s="1"/>
      <c r="D236" s="1"/>
      <c r="E236" s="1"/>
      <c r="F236" s="1"/>
      <c r="G236" s="1"/>
      <c r="H236" s="1"/>
      <c r="I236" s="1"/>
      <c r="J236" s="1" t="s">
        <v>48</v>
      </c>
      <c r="K236" s="3">
        <v>1705.32</v>
      </c>
      <c r="L236" s="2">
        <v>927.66</v>
      </c>
      <c r="M236" s="3">
        <v>1404.26</v>
      </c>
      <c r="N236" s="1"/>
      <c r="O236" s="1"/>
      <c r="P236" s="1"/>
      <c r="Q236" s="1"/>
      <c r="R236" s="1"/>
      <c r="S236" s="1" t="s">
        <v>8</v>
      </c>
      <c r="T236" s="1"/>
      <c r="U236" s="1"/>
      <c r="V236" s="1"/>
      <c r="W236" s="1"/>
      <c r="X236" s="1"/>
      <c r="Y236" s="1"/>
      <c r="Z236" s="1"/>
    </row>
    <row r="237" spans="1:26" x14ac:dyDescent="0.2">
      <c r="A237" s="2">
        <v>676</v>
      </c>
      <c r="B237" s="1" t="s">
        <v>45</v>
      </c>
      <c r="C237" s="3">
        <v>388195</v>
      </c>
      <c r="D237" s="3">
        <v>388195</v>
      </c>
      <c r="E237" s="3">
        <v>547400</v>
      </c>
      <c r="F237" s="3">
        <v>547400</v>
      </c>
      <c r="G237" s="3">
        <v>539295.25</v>
      </c>
      <c r="H237" s="3">
        <v>539295.25</v>
      </c>
      <c r="I237" s="3">
        <v>539295.25</v>
      </c>
      <c r="J237" s="3">
        <v>539295.25</v>
      </c>
      <c r="K237" s="3">
        <v>539295.25</v>
      </c>
      <c r="L237" s="3">
        <v>539295.25</v>
      </c>
      <c r="M237" s="3">
        <v>539295.25</v>
      </c>
      <c r="N237" s="3">
        <v>773663.75</v>
      </c>
      <c r="O237" s="3">
        <v>776195.25</v>
      </c>
      <c r="P237" s="3">
        <v>776195.25</v>
      </c>
      <c r="Q237" s="3">
        <v>776195.25</v>
      </c>
      <c r="R237" s="3">
        <v>771132.25</v>
      </c>
      <c r="S237" s="1" t="s">
        <v>10</v>
      </c>
      <c r="T237" s="1"/>
      <c r="U237" s="1"/>
      <c r="V237" s="1"/>
      <c r="W237" s="1"/>
      <c r="X237" s="1"/>
      <c r="Y237" s="1"/>
      <c r="Z237" s="1"/>
    </row>
    <row r="238" spans="1:26" x14ac:dyDescent="0.2">
      <c r="A238" s="2">
        <v>676</v>
      </c>
      <c r="B238" s="1" t="s">
        <v>47</v>
      </c>
      <c r="C238" s="3">
        <v>14280</v>
      </c>
      <c r="D238" s="3">
        <v>124916</v>
      </c>
      <c r="E238" s="1" t="s">
        <v>48</v>
      </c>
      <c r="F238" s="1" t="s">
        <v>48</v>
      </c>
      <c r="G238" s="3">
        <v>33464.5</v>
      </c>
      <c r="H238" s="3">
        <v>55683.5</v>
      </c>
      <c r="I238" s="3">
        <v>10157.5</v>
      </c>
      <c r="J238" s="1" t="s">
        <v>48</v>
      </c>
      <c r="K238" s="3">
        <v>5975.5</v>
      </c>
      <c r="L238" s="3">
        <v>58246.25</v>
      </c>
      <c r="M238" s="3">
        <v>16728</v>
      </c>
      <c r="N238" s="1" t="s">
        <v>48</v>
      </c>
      <c r="O238" s="1" t="s">
        <v>48</v>
      </c>
      <c r="P238" s="1" t="s">
        <v>48</v>
      </c>
      <c r="Q238" s="1" t="s">
        <v>48</v>
      </c>
      <c r="R238" s="1" t="s">
        <v>48</v>
      </c>
      <c r="S238" s="1" t="s">
        <v>10</v>
      </c>
      <c r="T238" s="1"/>
      <c r="U238" s="1"/>
      <c r="V238" s="1"/>
      <c r="W238" s="1"/>
      <c r="X238" s="1"/>
      <c r="Y238" s="1"/>
      <c r="Z238" s="1"/>
    </row>
    <row r="239" spans="1:26" x14ac:dyDescent="0.2">
      <c r="A239" s="2">
        <v>876</v>
      </c>
      <c r="B239" s="1"/>
      <c r="C239" s="1"/>
      <c r="D239" s="1"/>
      <c r="E239" s="1"/>
      <c r="F239" s="1"/>
      <c r="G239" s="1"/>
      <c r="H239" s="1"/>
      <c r="I239" s="1"/>
      <c r="J239" s="1"/>
      <c r="K239" s="3">
        <v>48245</v>
      </c>
      <c r="L239" s="3">
        <v>42145</v>
      </c>
      <c r="M239" s="3">
        <v>34090</v>
      </c>
      <c r="N239" s="1"/>
      <c r="O239" s="1"/>
      <c r="P239" s="1"/>
      <c r="Q239" s="1"/>
      <c r="R239" s="1"/>
      <c r="S239" s="1" t="s">
        <v>4</v>
      </c>
      <c r="T239" s="1"/>
      <c r="U239" s="1"/>
      <c r="V239" s="1"/>
      <c r="W239" s="1"/>
      <c r="X239" s="1"/>
      <c r="Y239" s="1"/>
      <c r="Z239" s="1"/>
    </row>
    <row r="240" spans="1:26" x14ac:dyDescent="0.2">
      <c r="A240" s="2">
        <v>877</v>
      </c>
      <c r="B240" s="1" t="s">
        <v>45</v>
      </c>
      <c r="C240" s="1"/>
      <c r="D240" s="1"/>
      <c r="E240" s="1"/>
      <c r="F240" s="1"/>
      <c r="G240" s="1"/>
      <c r="H240" s="1"/>
      <c r="I240" s="1"/>
      <c r="J240" s="1"/>
      <c r="K240" s="3">
        <v>47925</v>
      </c>
      <c r="L240" s="3">
        <v>33250</v>
      </c>
      <c r="M240" s="3">
        <v>33725</v>
      </c>
      <c r="N240" s="1"/>
      <c r="O240" s="1"/>
      <c r="P240" s="1"/>
      <c r="Q240" s="1"/>
      <c r="R240" s="1"/>
      <c r="S240" s="1" t="s">
        <v>4</v>
      </c>
      <c r="T240" s="1"/>
      <c r="U240" s="1"/>
      <c r="V240" s="1"/>
      <c r="W240" s="1"/>
      <c r="X240" s="1"/>
      <c r="Y240" s="1"/>
      <c r="Z240" s="1"/>
    </row>
    <row r="241" spans="1:26" x14ac:dyDescent="0.2">
      <c r="A241" s="2">
        <v>878</v>
      </c>
      <c r="B241" s="1"/>
      <c r="C241" s="1"/>
      <c r="D241" s="1"/>
      <c r="E241" s="1"/>
      <c r="F241" s="1"/>
      <c r="G241" s="1"/>
      <c r="H241" s="1"/>
      <c r="I241" s="1"/>
      <c r="J241" s="1"/>
      <c r="K241" s="3">
        <v>50285</v>
      </c>
      <c r="L241" s="3">
        <v>39180</v>
      </c>
      <c r="M241" s="3">
        <v>33200</v>
      </c>
      <c r="N241" s="1"/>
      <c r="O241" s="1"/>
      <c r="P241" s="1"/>
      <c r="Q241" s="1"/>
      <c r="R241" s="1"/>
      <c r="S241" s="1" t="s">
        <v>4</v>
      </c>
      <c r="T241" s="1"/>
      <c r="U241" s="1"/>
      <c r="V241" s="1"/>
      <c r="W241" s="1"/>
      <c r="X241" s="1"/>
      <c r="Y241" s="1"/>
      <c r="Z241" s="1"/>
    </row>
    <row r="242" spans="1:26" x14ac:dyDescent="0.2">
      <c r="A242" s="2">
        <v>668</v>
      </c>
      <c r="B242" s="1" t="s">
        <v>45</v>
      </c>
      <c r="C242" s="3">
        <v>27950</v>
      </c>
      <c r="D242" s="3">
        <v>30225</v>
      </c>
      <c r="E242" s="3">
        <v>30225</v>
      </c>
      <c r="F242" s="3">
        <v>30225</v>
      </c>
      <c r="G242" s="3">
        <v>30225</v>
      </c>
      <c r="H242" s="3">
        <v>30225</v>
      </c>
      <c r="I242" s="3">
        <v>30225</v>
      </c>
      <c r="J242" s="3">
        <v>30225</v>
      </c>
      <c r="K242" s="3">
        <v>30225</v>
      </c>
      <c r="L242" s="3">
        <v>34875</v>
      </c>
      <c r="M242" s="3">
        <v>53625</v>
      </c>
      <c r="N242" s="3">
        <v>53625</v>
      </c>
      <c r="O242" s="3">
        <v>53625</v>
      </c>
      <c r="P242" s="3">
        <v>53625</v>
      </c>
      <c r="Q242" s="3">
        <v>53625</v>
      </c>
      <c r="R242" s="3">
        <v>53625</v>
      </c>
      <c r="S242" s="1" t="s">
        <v>8</v>
      </c>
      <c r="T242" s="1"/>
      <c r="U242" s="1"/>
      <c r="V242" s="1"/>
      <c r="W242" s="1"/>
      <c r="X242" s="1"/>
      <c r="Y242" s="1"/>
      <c r="Z242" s="1"/>
    </row>
    <row r="243" spans="1:26" x14ac:dyDescent="0.2">
      <c r="A243" s="2">
        <v>668</v>
      </c>
      <c r="B243" s="1" t="s">
        <v>47</v>
      </c>
      <c r="C243" s="3">
        <v>24401</v>
      </c>
      <c r="D243" s="3">
        <v>84490.25</v>
      </c>
      <c r="E243" s="3">
        <v>79787.5</v>
      </c>
      <c r="F243" s="3">
        <v>68172</v>
      </c>
      <c r="G243" s="3">
        <v>70716.75</v>
      </c>
      <c r="H243" s="3">
        <v>67463</v>
      </c>
      <c r="I243" s="3">
        <v>76278</v>
      </c>
      <c r="J243" s="3">
        <v>79066</v>
      </c>
      <c r="K243" s="3">
        <v>81477.5</v>
      </c>
      <c r="L243" s="3">
        <v>73912.5</v>
      </c>
      <c r="M243" s="3">
        <v>70875</v>
      </c>
      <c r="N243" s="3">
        <v>70875</v>
      </c>
      <c r="O243" s="3">
        <v>70875</v>
      </c>
      <c r="P243" s="3">
        <v>70875</v>
      </c>
      <c r="Q243" s="3">
        <v>70875</v>
      </c>
      <c r="R243" s="3">
        <v>70875</v>
      </c>
      <c r="S243" s="1" t="s">
        <v>8</v>
      </c>
      <c r="T243" s="1"/>
      <c r="U243" s="1"/>
      <c r="V243" s="1"/>
      <c r="W243" s="1"/>
      <c r="X243" s="1"/>
      <c r="Y243" s="1"/>
      <c r="Z243" s="1"/>
    </row>
    <row r="244" spans="1:26" x14ac:dyDescent="0.2">
      <c r="A244" s="2">
        <v>821</v>
      </c>
      <c r="B244" s="1" t="s">
        <v>45</v>
      </c>
      <c r="C244" s="1"/>
      <c r="D244" s="1"/>
      <c r="E244" s="1"/>
      <c r="F244" s="1"/>
      <c r="G244" s="3">
        <v>101230</v>
      </c>
      <c r="H244" s="3">
        <v>101230</v>
      </c>
      <c r="I244" s="3">
        <v>101230</v>
      </c>
      <c r="J244" s="3">
        <v>101230</v>
      </c>
      <c r="K244" s="3">
        <v>101230</v>
      </c>
      <c r="L244" s="3">
        <v>101230</v>
      </c>
      <c r="M244" s="3">
        <v>101230</v>
      </c>
      <c r="N244" s="3">
        <v>107821.2</v>
      </c>
      <c r="O244" s="3">
        <v>106491.2</v>
      </c>
      <c r="P244" s="3">
        <v>106491.2</v>
      </c>
      <c r="Q244" s="3">
        <v>106491.2</v>
      </c>
      <c r="R244" s="3">
        <v>106491.2</v>
      </c>
      <c r="S244" s="1" t="s">
        <v>8</v>
      </c>
      <c r="T244" s="1"/>
      <c r="U244" s="1"/>
      <c r="V244" s="1"/>
      <c r="W244" s="1"/>
      <c r="X244" s="1"/>
      <c r="Y244" s="1"/>
      <c r="Z244" s="1"/>
    </row>
    <row r="245" spans="1:26" x14ac:dyDescent="0.2">
      <c r="A245" s="2">
        <v>821</v>
      </c>
      <c r="B245" s="1" t="s">
        <v>47</v>
      </c>
      <c r="C245" s="1"/>
      <c r="D245" s="1"/>
      <c r="E245" s="1"/>
      <c r="F245" s="1"/>
      <c r="G245" s="3">
        <v>9150</v>
      </c>
      <c r="H245" s="3">
        <v>9150</v>
      </c>
      <c r="I245" s="3">
        <v>9150</v>
      </c>
      <c r="J245" s="3">
        <v>9150</v>
      </c>
      <c r="K245" s="3">
        <v>9150</v>
      </c>
      <c r="L245" s="3">
        <v>9150</v>
      </c>
      <c r="M245" s="3">
        <v>9150</v>
      </c>
      <c r="N245" s="1"/>
      <c r="O245" s="1"/>
      <c r="P245" s="1"/>
      <c r="Q245" s="1"/>
      <c r="R245" s="1"/>
      <c r="S245" s="1" t="s">
        <v>8</v>
      </c>
      <c r="T245" s="1"/>
      <c r="U245" s="1"/>
      <c r="V245" s="1"/>
      <c r="W245" s="1"/>
      <c r="X245" s="1"/>
      <c r="Y245" s="1"/>
      <c r="Z245" s="1"/>
    </row>
    <row r="246" spans="1:26" x14ac:dyDescent="0.2">
      <c r="A246" s="2">
        <v>921</v>
      </c>
      <c r="B246" s="1"/>
      <c r="C246" s="1"/>
      <c r="D246" s="1"/>
      <c r="E246" s="1"/>
      <c r="F246" s="1"/>
      <c r="G246" s="1"/>
      <c r="H246" s="1"/>
      <c r="I246" s="1"/>
      <c r="J246" s="3">
        <v>49035</v>
      </c>
      <c r="K246" s="3">
        <v>49940</v>
      </c>
      <c r="L246" s="1" t="s">
        <v>46</v>
      </c>
      <c r="M246" s="1"/>
      <c r="N246" s="1"/>
      <c r="O246" s="1"/>
      <c r="P246" s="1"/>
      <c r="Q246" s="1"/>
      <c r="R246" s="1"/>
      <c r="S246" s="1" t="s">
        <v>10</v>
      </c>
      <c r="T246" s="1"/>
      <c r="U246" s="1"/>
      <c r="V246" s="1"/>
      <c r="W246" s="1"/>
      <c r="X246" s="1"/>
      <c r="Y246" s="1"/>
      <c r="Z246" s="1"/>
    </row>
    <row r="247" spans="1:26" x14ac:dyDescent="0.2">
      <c r="A247" s="2">
        <v>920</v>
      </c>
      <c r="B247" s="1" t="s">
        <v>45</v>
      </c>
      <c r="C247" s="1"/>
      <c r="D247" s="1"/>
      <c r="E247" s="1"/>
      <c r="F247" s="1"/>
      <c r="G247" s="1"/>
      <c r="H247" s="1"/>
      <c r="I247" s="1"/>
      <c r="J247" s="1"/>
      <c r="K247" s="3">
        <v>19678.25</v>
      </c>
      <c r="L247" s="3">
        <v>15678.25</v>
      </c>
      <c r="M247" s="3">
        <v>15678.25</v>
      </c>
      <c r="N247" s="1"/>
      <c r="O247" s="1"/>
      <c r="P247" s="1"/>
      <c r="Q247" s="1"/>
      <c r="R247" s="1"/>
      <c r="S247" s="1" t="s">
        <v>6</v>
      </c>
      <c r="T247" s="1"/>
      <c r="U247" s="1"/>
      <c r="V247" s="1"/>
      <c r="W247" s="1"/>
      <c r="X247" s="1"/>
      <c r="Y247" s="1"/>
      <c r="Z247" s="1"/>
    </row>
    <row r="248" spans="1:26" x14ac:dyDescent="0.2">
      <c r="A248" s="2">
        <v>920</v>
      </c>
      <c r="B248" s="1" t="s">
        <v>47</v>
      </c>
      <c r="C248" s="1"/>
      <c r="D248" s="1"/>
      <c r="E248" s="1"/>
      <c r="F248" s="1"/>
      <c r="G248" s="1"/>
      <c r="H248" s="1"/>
      <c r="I248" s="1"/>
      <c r="J248" s="1"/>
      <c r="K248" s="2">
        <v>915</v>
      </c>
      <c r="L248" s="2">
        <v>610</v>
      </c>
      <c r="M248" s="1" t="s">
        <v>48</v>
      </c>
      <c r="N248" s="1"/>
      <c r="O248" s="1"/>
      <c r="P248" s="1"/>
      <c r="Q248" s="1"/>
      <c r="R248" s="1"/>
      <c r="S248" s="1" t="s">
        <v>6</v>
      </c>
      <c r="T248" s="1"/>
      <c r="U248" s="1"/>
      <c r="V248" s="1"/>
      <c r="W248" s="1"/>
      <c r="X248" s="1"/>
      <c r="Y248" s="1"/>
      <c r="Z248" s="1"/>
    </row>
    <row r="249" spans="1:26" x14ac:dyDescent="0.2">
      <c r="A249" s="2">
        <v>361</v>
      </c>
      <c r="B249" s="1" t="s">
        <v>45</v>
      </c>
      <c r="C249" s="3">
        <v>148390</v>
      </c>
      <c r="D249" s="3">
        <v>148390</v>
      </c>
      <c r="E249" s="3">
        <v>139440</v>
      </c>
      <c r="F249" s="3">
        <v>119390</v>
      </c>
      <c r="G249" s="3">
        <v>117890</v>
      </c>
      <c r="H249" s="3">
        <v>117890</v>
      </c>
      <c r="I249" s="3">
        <v>117890</v>
      </c>
      <c r="J249" s="3">
        <v>117890</v>
      </c>
      <c r="K249" s="3">
        <v>117890</v>
      </c>
      <c r="L249" s="3">
        <v>117890</v>
      </c>
      <c r="M249" s="3">
        <v>117890</v>
      </c>
      <c r="N249" s="3">
        <v>134690</v>
      </c>
      <c r="O249" s="3">
        <v>134690</v>
      </c>
      <c r="P249" s="3">
        <v>134690</v>
      </c>
      <c r="Q249" s="1" t="s">
        <v>46</v>
      </c>
      <c r="R249" s="1"/>
      <c r="S249" s="1" t="s">
        <v>8</v>
      </c>
      <c r="T249" s="1"/>
      <c r="U249" s="1"/>
      <c r="V249" s="1"/>
      <c r="W249" s="1"/>
      <c r="X249" s="1"/>
      <c r="Y249" s="1"/>
      <c r="Z249" s="1"/>
    </row>
    <row r="250" spans="1:26" x14ac:dyDescent="0.2">
      <c r="A250" s="2">
        <v>361</v>
      </c>
      <c r="B250" s="1" t="s">
        <v>47</v>
      </c>
      <c r="C250" s="3">
        <v>6525</v>
      </c>
      <c r="D250" s="3">
        <v>18765</v>
      </c>
      <c r="E250" s="3">
        <v>16110</v>
      </c>
      <c r="F250" s="3">
        <v>9270</v>
      </c>
      <c r="G250" s="3">
        <v>3525</v>
      </c>
      <c r="H250" s="3">
        <v>18600</v>
      </c>
      <c r="I250" s="3">
        <v>35200</v>
      </c>
      <c r="J250" s="3">
        <v>14075</v>
      </c>
      <c r="K250" s="3">
        <v>8940</v>
      </c>
      <c r="L250" s="3">
        <v>15460</v>
      </c>
      <c r="M250" s="3">
        <v>16095</v>
      </c>
      <c r="N250" s="3">
        <v>13350</v>
      </c>
      <c r="O250" s="3">
        <v>8800</v>
      </c>
      <c r="P250" s="3">
        <v>27585</v>
      </c>
      <c r="Q250" s="1" t="s">
        <v>46</v>
      </c>
      <c r="R250" s="1"/>
      <c r="S250" s="1" t="s">
        <v>8</v>
      </c>
      <c r="T250" s="1"/>
      <c r="U250" s="1"/>
      <c r="V250" s="1"/>
      <c r="W250" s="1"/>
      <c r="X250" s="1"/>
      <c r="Y250" s="1"/>
      <c r="Z250" s="1"/>
    </row>
    <row r="251" spans="1:26" x14ac:dyDescent="0.2">
      <c r="A251" s="2">
        <v>912</v>
      </c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3">
        <v>100955</v>
      </c>
      <c r="M251" s="3">
        <v>70025</v>
      </c>
      <c r="N251" s="1"/>
      <c r="O251" s="1"/>
      <c r="P251" s="1"/>
      <c r="Q251" s="1"/>
      <c r="R251" s="1"/>
      <c r="S251" s="1" t="s">
        <v>10</v>
      </c>
      <c r="T251" s="1"/>
      <c r="U251" s="1"/>
      <c r="V251" s="1"/>
      <c r="W251" s="1"/>
      <c r="X251" s="1"/>
      <c r="Y251" s="1"/>
      <c r="Z251" s="1"/>
    </row>
    <row r="252" spans="1:26" x14ac:dyDescent="0.2">
      <c r="A252" s="2">
        <v>872</v>
      </c>
      <c r="B252" s="1" t="s">
        <v>52</v>
      </c>
      <c r="C252" s="1"/>
      <c r="D252" s="1"/>
      <c r="E252" s="1"/>
      <c r="F252" s="1"/>
      <c r="G252" s="1"/>
      <c r="H252" s="1"/>
      <c r="I252" s="1"/>
      <c r="J252" s="3">
        <v>17600</v>
      </c>
      <c r="K252" s="3">
        <v>39495</v>
      </c>
      <c r="L252" s="3">
        <v>39495</v>
      </c>
      <c r="M252" s="3">
        <v>39495</v>
      </c>
      <c r="N252" s="3">
        <v>36515</v>
      </c>
      <c r="O252" s="3">
        <v>36515</v>
      </c>
      <c r="P252" s="3">
        <v>44570</v>
      </c>
      <c r="Q252" s="3">
        <v>37570</v>
      </c>
      <c r="R252" s="3">
        <v>37570</v>
      </c>
      <c r="S252" s="1" t="s">
        <v>8</v>
      </c>
      <c r="T252" s="1"/>
      <c r="U252" s="1"/>
      <c r="V252" s="1"/>
      <c r="W252" s="1"/>
      <c r="X252" s="1"/>
      <c r="Y252" s="1"/>
      <c r="Z252" s="1"/>
    </row>
    <row r="253" spans="1:26" x14ac:dyDescent="0.2">
      <c r="A253" s="2">
        <v>872</v>
      </c>
      <c r="B253" s="1" t="s">
        <v>50</v>
      </c>
      <c r="C253" s="1"/>
      <c r="D253" s="1"/>
      <c r="E253" s="1"/>
      <c r="F253" s="1"/>
      <c r="G253" s="1"/>
      <c r="H253" s="1"/>
      <c r="I253" s="1"/>
      <c r="J253" s="1" t="s">
        <v>48</v>
      </c>
      <c r="K253" s="1" t="s">
        <v>48</v>
      </c>
      <c r="L253" s="1" t="s">
        <v>48</v>
      </c>
      <c r="M253" s="1" t="s">
        <v>48</v>
      </c>
      <c r="N253" s="1" t="s">
        <v>48</v>
      </c>
      <c r="O253" s="1" t="s">
        <v>48</v>
      </c>
      <c r="P253" s="1" t="s">
        <v>48</v>
      </c>
      <c r="Q253" s="1" t="s">
        <v>48</v>
      </c>
      <c r="R253" s="1" t="s">
        <v>48</v>
      </c>
      <c r="S253" s="1" t="s">
        <v>8</v>
      </c>
      <c r="T253" s="1"/>
      <c r="U253" s="1"/>
      <c r="V253" s="1"/>
      <c r="W253" s="1"/>
      <c r="X253" s="1"/>
      <c r="Y253" s="1"/>
      <c r="Z253" s="1"/>
    </row>
    <row r="254" spans="1:26" x14ac:dyDescent="0.2">
      <c r="A254" s="2">
        <v>969</v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3">
        <v>40225</v>
      </c>
      <c r="N254" s="1"/>
      <c r="O254" s="1"/>
      <c r="P254" s="1"/>
      <c r="Q254" s="1"/>
      <c r="R254" s="1"/>
      <c r="S254" s="1" t="s">
        <v>8</v>
      </c>
      <c r="T254" s="1"/>
      <c r="U254" s="1"/>
      <c r="V254" s="1"/>
      <c r="W254" s="1"/>
      <c r="X254" s="1"/>
      <c r="Y254" s="1"/>
      <c r="Z254" s="1"/>
    </row>
    <row r="255" spans="1:26" x14ac:dyDescent="0.2">
      <c r="A255" s="2">
        <v>789</v>
      </c>
      <c r="B255" s="1"/>
      <c r="C255" s="1"/>
      <c r="D255" s="1"/>
      <c r="E255" s="1"/>
      <c r="F255" s="1"/>
      <c r="G255" s="3">
        <v>44100</v>
      </c>
      <c r="H255" s="3">
        <v>58240</v>
      </c>
      <c r="I255" s="1" t="s">
        <v>48</v>
      </c>
      <c r="J255" s="3">
        <v>7280</v>
      </c>
      <c r="K255" s="3">
        <v>28000</v>
      </c>
      <c r="L255" s="3">
        <v>8400</v>
      </c>
      <c r="M255" s="3">
        <v>15120</v>
      </c>
      <c r="N255" s="1"/>
      <c r="O255" s="1"/>
      <c r="P255" s="1"/>
      <c r="Q255" s="1"/>
      <c r="R255" s="1"/>
      <c r="S255" s="1" t="s">
        <v>4</v>
      </c>
      <c r="T255" s="1"/>
      <c r="U255" s="1"/>
      <c r="V255" s="1"/>
      <c r="W255" s="1"/>
      <c r="X255" s="1"/>
      <c r="Y255" s="1"/>
      <c r="Z255" s="1"/>
    </row>
    <row r="256" spans="1:26" x14ac:dyDescent="0.2">
      <c r="A256" s="2">
        <v>771</v>
      </c>
      <c r="B256" s="1" t="s">
        <v>52</v>
      </c>
      <c r="C256" s="1"/>
      <c r="D256" s="1"/>
      <c r="E256" s="1"/>
      <c r="F256" s="3">
        <v>107124</v>
      </c>
      <c r="G256" s="3">
        <v>102032</v>
      </c>
      <c r="H256" s="3">
        <v>102032</v>
      </c>
      <c r="I256" s="3">
        <v>104768</v>
      </c>
      <c r="J256" s="3">
        <v>104768</v>
      </c>
      <c r="K256" s="3">
        <v>104768</v>
      </c>
      <c r="L256" s="3">
        <v>108416</v>
      </c>
      <c r="M256" s="3">
        <v>108416</v>
      </c>
      <c r="N256" s="3">
        <v>114800</v>
      </c>
      <c r="O256" s="3">
        <v>114800</v>
      </c>
      <c r="P256" s="3">
        <v>121184</v>
      </c>
      <c r="Q256" s="3">
        <v>121184</v>
      </c>
      <c r="R256" s="3">
        <v>75856</v>
      </c>
      <c r="S256" s="1" t="s">
        <v>10</v>
      </c>
      <c r="T256" s="1"/>
      <c r="U256" s="1"/>
      <c r="V256" s="1"/>
      <c r="W256" s="1"/>
      <c r="X256" s="1"/>
      <c r="Y256" s="1"/>
      <c r="Z256" s="1"/>
    </row>
    <row r="257" spans="1:26" x14ac:dyDescent="0.2">
      <c r="A257" s="2">
        <v>771</v>
      </c>
      <c r="B257" s="1" t="s">
        <v>50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3">
        <v>10000</v>
      </c>
      <c r="N257" s="1"/>
      <c r="O257" s="1"/>
      <c r="P257" s="1"/>
      <c r="Q257" s="1"/>
      <c r="R257" s="1"/>
      <c r="S257" s="1" t="s">
        <v>10</v>
      </c>
      <c r="T257" s="1"/>
      <c r="U257" s="1"/>
      <c r="V257" s="1"/>
      <c r="W257" s="1"/>
      <c r="X257" s="1"/>
      <c r="Y257" s="1"/>
      <c r="Z257" s="1"/>
    </row>
    <row r="258" spans="1:26" x14ac:dyDescent="0.2">
      <c r="A258" s="2">
        <v>859</v>
      </c>
      <c r="B258" s="1"/>
      <c r="C258" s="1"/>
      <c r="D258" s="1"/>
      <c r="E258" s="1"/>
      <c r="F258" s="1"/>
      <c r="G258" s="1"/>
      <c r="H258" s="1"/>
      <c r="I258" s="3">
        <v>57601.2</v>
      </c>
      <c r="J258" s="3">
        <v>67012.800000000003</v>
      </c>
      <c r="K258" s="3">
        <v>78108</v>
      </c>
      <c r="L258" s="3">
        <v>115101.2</v>
      </c>
      <c r="M258" s="1" t="s">
        <v>46</v>
      </c>
      <c r="N258" s="1"/>
      <c r="O258" s="1"/>
      <c r="P258" s="1"/>
      <c r="Q258" s="1"/>
      <c r="R258" s="1"/>
      <c r="S258" s="1" t="s">
        <v>10</v>
      </c>
      <c r="T258" s="1"/>
      <c r="U258" s="1"/>
      <c r="V258" s="1"/>
      <c r="W258" s="1"/>
      <c r="X258" s="1"/>
      <c r="Y258" s="1"/>
      <c r="Z258" s="1"/>
    </row>
    <row r="259" spans="1:26" x14ac:dyDescent="0.2">
      <c r="A259" s="2">
        <v>960</v>
      </c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3">
        <v>35000</v>
      </c>
      <c r="N259" s="1"/>
      <c r="O259" s="1"/>
      <c r="P259" s="1"/>
      <c r="Q259" s="1"/>
      <c r="R259" s="1"/>
      <c r="S259" s="1" t="s">
        <v>6</v>
      </c>
      <c r="T259" s="1"/>
      <c r="U259" s="1"/>
      <c r="V259" s="1"/>
      <c r="W259" s="1"/>
      <c r="X259" s="1"/>
      <c r="Y259" s="1"/>
      <c r="Z259" s="1"/>
    </row>
    <row r="260" spans="1:26" x14ac:dyDescent="0.2">
      <c r="A260" s="2">
        <v>865</v>
      </c>
      <c r="B260" s="1"/>
      <c r="C260" s="1"/>
      <c r="D260" s="1"/>
      <c r="E260" s="1"/>
      <c r="F260" s="1"/>
      <c r="G260" s="1"/>
      <c r="H260" s="1"/>
      <c r="I260" s="1"/>
      <c r="J260" s="3">
        <v>53398.400000000001</v>
      </c>
      <c r="K260" s="3">
        <v>21675</v>
      </c>
      <c r="L260" s="3">
        <v>36883.54</v>
      </c>
      <c r="M260" s="3">
        <v>39561.449999999997</v>
      </c>
      <c r="N260" s="1"/>
      <c r="O260" s="1"/>
      <c r="P260" s="1"/>
      <c r="Q260" s="1"/>
      <c r="R260" s="1"/>
      <c r="S260" s="1" t="s">
        <v>10</v>
      </c>
      <c r="T260" s="1"/>
      <c r="U260" s="1"/>
      <c r="V260" s="1"/>
      <c r="W260" s="1"/>
      <c r="X260" s="1"/>
      <c r="Y260" s="1"/>
      <c r="Z260" s="1"/>
    </row>
    <row r="261" spans="1:26" x14ac:dyDescent="0.2">
      <c r="A261" s="2">
        <v>874</v>
      </c>
      <c r="B261" s="1"/>
      <c r="C261" s="1"/>
      <c r="D261" s="1"/>
      <c r="E261" s="1"/>
      <c r="F261" s="1"/>
      <c r="G261" s="1"/>
      <c r="H261" s="1"/>
      <c r="I261" s="1"/>
      <c r="J261" s="3">
        <v>307800</v>
      </c>
      <c r="K261" s="3">
        <v>205190</v>
      </c>
      <c r="L261" s="3">
        <v>153884.1</v>
      </c>
      <c r="M261" s="3">
        <v>142458.97</v>
      </c>
      <c r="N261" s="1"/>
      <c r="O261" s="1"/>
      <c r="P261" s="1"/>
      <c r="Q261" s="1"/>
      <c r="R261" s="1"/>
      <c r="S261" s="1" t="s">
        <v>6</v>
      </c>
      <c r="T261" s="1"/>
      <c r="U261" s="1"/>
      <c r="V261" s="1"/>
      <c r="W261" s="1"/>
      <c r="X261" s="1"/>
      <c r="Y261" s="1"/>
      <c r="Z261" s="1"/>
    </row>
    <row r="262" spans="1:26" x14ac:dyDescent="0.2">
      <c r="A262" s="2">
        <v>946</v>
      </c>
      <c r="B262" s="1" t="s">
        <v>52</v>
      </c>
      <c r="C262" s="1"/>
      <c r="D262" s="1"/>
      <c r="E262" s="1"/>
      <c r="F262" s="1"/>
      <c r="G262" s="1"/>
      <c r="H262" s="1"/>
      <c r="I262" s="1"/>
      <c r="J262" s="1"/>
      <c r="K262" s="1"/>
      <c r="L262" s="3">
        <v>64400</v>
      </c>
      <c r="M262" s="3">
        <v>64400</v>
      </c>
      <c r="N262" s="3">
        <v>64400</v>
      </c>
      <c r="O262" s="3">
        <v>64400</v>
      </c>
      <c r="P262" s="3">
        <v>64400</v>
      </c>
      <c r="Q262" s="1" t="s">
        <v>46</v>
      </c>
      <c r="R262" s="1"/>
      <c r="S262" s="1" t="s">
        <v>8</v>
      </c>
      <c r="T262" s="1"/>
      <c r="U262" s="1"/>
      <c r="V262" s="1"/>
      <c r="W262" s="1"/>
      <c r="X262" s="1"/>
      <c r="Y262" s="1"/>
      <c r="Z262" s="1"/>
    </row>
    <row r="263" spans="1:26" x14ac:dyDescent="0.2">
      <c r="A263" s="2">
        <v>946</v>
      </c>
      <c r="B263" s="1" t="s">
        <v>50</v>
      </c>
      <c r="C263" s="1"/>
      <c r="D263" s="1"/>
      <c r="E263" s="1"/>
      <c r="F263" s="1"/>
      <c r="G263" s="1"/>
      <c r="H263" s="1"/>
      <c r="I263" s="1"/>
      <c r="J263" s="1"/>
      <c r="K263" s="1"/>
      <c r="L263" s="1" t="s">
        <v>48</v>
      </c>
      <c r="M263" s="1" t="s">
        <v>48</v>
      </c>
      <c r="N263" s="1" t="s">
        <v>48</v>
      </c>
      <c r="O263" s="1" t="s">
        <v>48</v>
      </c>
      <c r="P263" s="1" t="s">
        <v>48</v>
      </c>
      <c r="Q263" s="1" t="s">
        <v>46</v>
      </c>
      <c r="R263" s="1"/>
      <c r="S263" s="1" t="s">
        <v>8</v>
      </c>
      <c r="T263" s="1"/>
      <c r="U263" s="1"/>
      <c r="V263" s="1"/>
      <c r="W263" s="1"/>
      <c r="X263" s="1"/>
      <c r="Y263" s="1"/>
      <c r="Z263" s="1"/>
    </row>
    <row r="264" spans="1:26" x14ac:dyDescent="0.2">
      <c r="A264" s="2">
        <v>831</v>
      </c>
      <c r="B264" s="1" t="s">
        <v>52</v>
      </c>
      <c r="C264" s="1"/>
      <c r="D264" s="1"/>
      <c r="E264" s="1"/>
      <c r="F264" s="1"/>
      <c r="G264" s="1"/>
      <c r="H264" s="3">
        <v>51030</v>
      </c>
      <c r="I264" s="3">
        <v>51000</v>
      </c>
      <c r="J264" s="3">
        <v>48600</v>
      </c>
      <c r="K264" s="3">
        <v>48600</v>
      </c>
      <c r="L264" s="3">
        <v>13550</v>
      </c>
      <c r="M264" s="1" t="s">
        <v>46</v>
      </c>
      <c r="N264" s="1"/>
      <c r="O264" s="1"/>
      <c r="P264" s="1"/>
      <c r="Q264" s="1"/>
      <c r="R264" s="1"/>
      <c r="S264" s="1" t="s">
        <v>7</v>
      </c>
      <c r="T264" s="1"/>
      <c r="U264" s="1"/>
      <c r="V264" s="1"/>
      <c r="W264" s="1"/>
      <c r="X264" s="1"/>
      <c r="Y264" s="1"/>
      <c r="Z264" s="1"/>
    </row>
    <row r="265" spans="1:26" x14ac:dyDescent="0.2">
      <c r="A265" s="2">
        <v>831</v>
      </c>
      <c r="B265" s="1" t="s">
        <v>50</v>
      </c>
      <c r="C265" s="1"/>
      <c r="D265" s="1"/>
      <c r="E265" s="1"/>
      <c r="F265" s="1"/>
      <c r="G265" s="1"/>
      <c r="H265" s="1" t="s">
        <v>48</v>
      </c>
      <c r="I265" s="1" t="s">
        <v>48</v>
      </c>
      <c r="J265" s="3">
        <v>8055</v>
      </c>
      <c r="K265" s="3">
        <v>3580</v>
      </c>
      <c r="L265" s="3">
        <v>1790</v>
      </c>
      <c r="M265" s="1" t="s">
        <v>46</v>
      </c>
      <c r="N265" s="1"/>
      <c r="O265" s="1"/>
      <c r="P265" s="1"/>
      <c r="Q265" s="1"/>
      <c r="R265" s="1"/>
      <c r="S265" s="1" t="s">
        <v>7</v>
      </c>
      <c r="T265" s="1"/>
      <c r="U265" s="1"/>
      <c r="V265" s="1"/>
      <c r="W265" s="1"/>
      <c r="X265" s="1"/>
      <c r="Y265" s="1"/>
      <c r="Z265" s="1"/>
    </row>
    <row r="266" spans="1:26" x14ac:dyDescent="0.2">
      <c r="A266" s="2">
        <v>782</v>
      </c>
      <c r="B266" s="1" t="s">
        <v>49</v>
      </c>
      <c r="C266" s="1"/>
      <c r="D266" s="1"/>
      <c r="E266" s="3">
        <v>207030</v>
      </c>
      <c r="F266" s="3">
        <v>219805</v>
      </c>
      <c r="G266" s="1"/>
      <c r="H266" s="1"/>
      <c r="I266" s="1"/>
      <c r="J266" s="1"/>
      <c r="K266" s="1"/>
      <c r="L266" s="1"/>
      <c r="M266" s="3">
        <v>316620.75</v>
      </c>
      <c r="N266" s="1"/>
      <c r="O266" s="1"/>
      <c r="P266" s="1"/>
      <c r="Q266" s="1"/>
      <c r="R266" s="1"/>
      <c r="S266" s="1" t="s">
        <v>5</v>
      </c>
      <c r="T266" s="1"/>
      <c r="U266" s="1"/>
      <c r="V266" s="1"/>
      <c r="W266" s="1"/>
      <c r="X266" s="1"/>
      <c r="Y266" s="1"/>
      <c r="Z266" s="1"/>
    </row>
    <row r="267" spans="1:26" x14ac:dyDescent="0.2">
      <c r="A267" s="2">
        <v>933</v>
      </c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3">
        <v>18635</v>
      </c>
      <c r="M267" s="3">
        <v>20440</v>
      </c>
      <c r="N267" s="1"/>
      <c r="O267" s="1"/>
      <c r="P267" s="1"/>
      <c r="Q267" s="1"/>
      <c r="R267" s="1"/>
      <c r="S267" s="1" t="s">
        <v>5</v>
      </c>
      <c r="T267" s="1"/>
      <c r="U267" s="1"/>
      <c r="V267" s="1"/>
      <c r="W267" s="1"/>
      <c r="X267" s="1"/>
      <c r="Y267" s="1"/>
      <c r="Z267" s="1"/>
    </row>
    <row r="268" spans="1:26" x14ac:dyDescent="0.2">
      <c r="A268" s="2">
        <v>83</v>
      </c>
      <c r="B268" s="1"/>
      <c r="C268" s="1"/>
      <c r="D268" s="1"/>
      <c r="E268" s="3">
        <v>100166.39999999999</v>
      </c>
      <c r="F268" s="3">
        <v>96881.1</v>
      </c>
      <c r="G268" s="3">
        <v>101759.7</v>
      </c>
      <c r="H268" s="3">
        <v>97543.8</v>
      </c>
      <c r="I268" s="3">
        <v>101007.7</v>
      </c>
      <c r="J268" s="1"/>
      <c r="K268" s="3">
        <v>79021.100000000006</v>
      </c>
      <c r="L268" s="3">
        <v>79021.100000000006</v>
      </c>
      <c r="M268" s="3">
        <v>79021.100000000006</v>
      </c>
      <c r="N268" s="1" t="s">
        <v>46</v>
      </c>
      <c r="O268" s="1"/>
      <c r="P268" s="1"/>
      <c r="Q268" s="1"/>
      <c r="R268" s="1"/>
      <c r="S268" s="1" t="s">
        <v>10</v>
      </c>
      <c r="T268" s="1"/>
      <c r="U268" s="1"/>
      <c r="V268" s="1"/>
      <c r="W268" s="1"/>
      <c r="X268" s="1"/>
      <c r="Y268" s="1"/>
      <c r="Z268" s="1"/>
    </row>
    <row r="269" spans="1:26" x14ac:dyDescent="0.2">
      <c r="A269" s="2">
        <v>460</v>
      </c>
      <c r="B269" s="1"/>
      <c r="C269" s="1"/>
      <c r="D269" s="1"/>
      <c r="E269" s="3">
        <v>49765</v>
      </c>
      <c r="F269" s="3">
        <v>50660</v>
      </c>
      <c r="G269" s="3">
        <v>49605</v>
      </c>
      <c r="H269" s="3">
        <v>50660</v>
      </c>
      <c r="I269" s="3">
        <v>49605</v>
      </c>
      <c r="J269" s="1"/>
      <c r="K269" s="3">
        <v>45860</v>
      </c>
      <c r="L269" s="3">
        <v>46660</v>
      </c>
      <c r="M269" s="3">
        <v>44550</v>
      </c>
      <c r="N269" s="1" t="s">
        <v>46</v>
      </c>
      <c r="O269" s="1"/>
      <c r="P269" s="1"/>
      <c r="Q269" s="1"/>
      <c r="R269" s="1"/>
      <c r="S269" s="1" t="s">
        <v>10</v>
      </c>
      <c r="T269" s="1"/>
      <c r="U269" s="1"/>
      <c r="V269" s="1"/>
      <c r="W269" s="1"/>
      <c r="X269" s="1"/>
      <c r="Y269" s="1"/>
      <c r="Z269" s="1"/>
    </row>
    <row r="270" spans="1:26" x14ac:dyDescent="0.2">
      <c r="A270" s="2">
        <v>963</v>
      </c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 t="s">
        <v>4</v>
      </c>
      <c r="T270" s="1"/>
      <c r="U270" s="1"/>
      <c r="V270" s="1"/>
      <c r="W270" s="1"/>
      <c r="X270" s="1"/>
      <c r="Y270" s="1"/>
      <c r="Z270" s="1"/>
    </row>
    <row r="271" spans="1:26" x14ac:dyDescent="0.2">
      <c r="A271" s="2">
        <v>841</v>
      </c>
      <c r="B271" s="1" t="s">
        <v>45</v>
      </c>
      <c r="C271" s="1"/>
      <c r="D271" s="1"/>
      <c r="E271" s="1"/>
      <c r="F271" s="1"/>
      <c r="G271" s="3">
        <v>80200</v>
      </c>
      <c r="H271" s="3">
        <v>80200</v>
      </c>
      <c r="I271" s="3">
        <v>80675</v>
      </c>
      <c r="J271" s="3">
        <v>80675</v>
      </c>
      <c r="K271" s="3">
        <v>80675</v>
      </c>
      <c r="L271" s="3">
        <v>80675</v>
      </c>
      <c r="M271" s="3">
        <v>80675</v>
      </c>
      <c r="N271" s="3">
        <v>80675</v>
      </c>
      <c r="O271" s="3">
        <v>87880</v>
      </c>
      <c r="P271" s="3">
        <v>87880</v>
      </c>
      <c r="Q271" s="3">
        <v>88100</v>
      </c>
      <c r="R271" s="3">
        <v>88100</v>
      </c>
      <c r="S271" s="1" t="s">
        <v>11</v>
      </c>
      <c r="T271" s="1"/>
      <c r="U271" s="1"/>
      <c r="V271" s="1"/>
      <c r="W271" s="1"/>
      <c r="X271" s="1"/>
      <c r="Y271" s="1"/>
      <c r="Z271" s="1"/>
    </row>
    <row r="272" spans="1:26" x14ac:dyDescent="0.2">
      <c r="A272" s="2">
        <v>841</v>
      </c>
      <c r="B272" s="1" t="s">
        <v>47</v>
      </c>
      <c r="C272" s="1"/>
      <c r="D272" s="1"/>
      <c r="E272" s="1"/>
      <c r="F272" s="1"/>
      <c r="G272" s="3">
        <v>7718.97</v>
      </c>
      <c r="H272" s="3">
        <v>7119</v>
      </c>
      <c r="I272" s="3">
        <v>12255</v>
      </c>
      <c r="J272" s="3">
        <v>9711.49</v>
      </c>
      <c r="K272" s="3">
        <v>7536.79</v>
      </c>
      <c r="L272" s="1" t="s">
        <v>48</v>
      </c>
      <c r="M272" s="3">
        <v>2165.1</v>
      </c>
      <c r="N272" s="3">
        <v>4851.47</v>
      </c>
      <c r="O272" s="1" t="s">
        <v>48</v>
      </c>
      <c r="P272" s="3">
        <v>13943.39</v>
      </c>
      <c r="Q272" s="3">
        <v>5287.23</v>
      </c>
      <c r="R272" s="3">
        <v>9201.06</v>
      </c>
      <c r="S272" s="1" t="s">
        <v>11</v>
      </c>
      <c r="T272" s="1"/>
      <c r="U272" s="1"/>
      <c r="V272" s="1"/>
      <c r="W272" s="1"/>
      <c r="X272" s="1"/>
      <c r="Y272" s="1"/>
      <c r="Z272" s="1"/>
    </row>
    <row r="273" spans="1:26" x14ac:dyDescent="0.2">
      <c r="A273" s="2">
        <v>822</v>
      </c>
      <c r="B273" s="1" t="s">
        <v>45</v>
      </c>
      <c r="C273" s="1"/>
      <c r="D273" s="1"/>
      <c r="E273" s="1"/>
      <c r="F273" s="1"/>
      <c r="G273" s="1"/>
      <c r="H273" s="1"/>
      <c r="I273" s="3">
        <v>50085</v>
      </c>
      <c r="J273" s="3">
        <v>38013.75</v>
      </c>
      <c r="K273" s="3">
        <v>49263.75</v>
      </c>
      <c r="L273" s="3">
        <v>38227.5</v>
      </c>
      <c r="M273" s="3">
        <v>38013.75</v>
      </c>
      <c r="N273" s="3">
        <v>49263.75</v>
      </c>
      <c r="O273" s="1"/>
      <c r="P273" s="3">
        <v>43770</v>
      </c>
      <c r="Q273" s="3">
        <v>43770</v>
      </c>
      <c r="R273" s="3">
        <v>43770</v>
      </c>
      <c r="S273" s="1" t="s">
        <v>4</v>
      </c>
      <c r="T273" s="1"/>
      <c r="U273" s="1"/>
      <c r="V273" s="1"/>
      <c r="W273" s="1"/>
      <c r="X273" s="1"/>
      <c r="Y273" s="1"/>
      <c r="Z273" s="1"/>
    </row>
    <row r="274" spans="1:26" x14ac:dyDescent="0.2">
      <c r="A274" s="2">
        <v>822</v>
      </c>
      <c r="B274" s="1" t="s">
        <v>47</v>
      </c>
      <c r="C274" s="1"/>
      <c r="D274" s="1"/>
      <c r="E274" s="1"/>
      <c r="F274" s="1"/>
      <c r="G274" s="1"/>
      <c r="H274" s="1"/>
      <c r="I274" s="3">
        <v>50085</v>
      </c>
      <c r="J274" s="3">
        <v>38013.75</v>
      </c>
      <c r="K274" s="3">
        <v>49263.75</v>
      </c>
      <c r="L274" s="3">
        <v>38227.5</v>
      </c>
      <c r="M274" s="3">
        <v>38013.75</v>
      </c>
      <c r="N274" s="3">
        <v>49263.75</v>
      </c>
      <c r="O274" s="1"/>
      <c r="P274" s="3">
        <v>43770</v>
      </c>
      <c r="Q274" s="3">
        <v>43770</v>
      </c>
      <c r="R274" s="3">
        <v>43770</v>
      </c>
      <c r="S274" s="1" t="s">
        <v>4</v>
      </c>
      <c r="T274" s="1"/>
      <c r="U274" s="1"/>
      <c r="V274" s="1"/>
      <c r="W274" s="1"/>
      <c r="X274" s="1"/>
      <c r="Y274" s="1"/>
      <c r="Z274" s="1"/>
    </row>
    <row r="275" spans="1:26" x14ac:dyDescent="0.2">
      <c r="A275" s="2">
        <v>935</v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3">
        <v>190000</v>
      </c>
      <c r="O275" s="1"/>
      <c r="P275" s="1"/>
      <c r="Q275" s="1"/>
      <c r="R275" s="1"/>
      <c r="S275" s="1" t="s">
        <v>6</v>
      </c>
      <c r="T275" s="1"/>
      <c r="U275" s="1"/>
      <c r="V275" s="1"/>
      <c r="W275" s="1"/>
      <c r="X275" s="1"/>
      <c r="Y275" s="1"/>
      <c r="Z275" s="1"/>
    </row>
    <row r="276" spans="1:26" x14ac:dyDescent="0.2">
      <c r="A276" s="2">
        <v>768</v>
      </c>
      <c r="B276" s="1"/>
      <c r="C276" s="1"/>
      <c r="D276" s="1"/>
      <c r="E276" s="3">
        <v>33685</v>
      </c>
      <c r="F276" s="3">
        <v>33685</v>
      </c>
      <c r="G276" s="3">
        <v>33685</v>
      </c>
      <c r="H276" s="3">
        <v>33685</v>
      </c>
      <c r="I276" s="3">
        <v>33685</v>
      </c>
      <c r="J276" s="3">
        <v>33685</v>
      </c>
      <c r="K276" s="1"/>
      <c r="L276" s="3">
        <v>52315</v>
      </c>
      <c r="M276" s="3">
        <v>52315</v>
      </c>
      <c r="N276" s="3">
        <v>23540</v>
      </c>
      <c r="O276" s="1"/>
      <c r="P276" s="1"/>
      <c r="Q276" s="1"/>
      <c r="R276" s="1"/>
      <c r="S276" s="1" t="s">
        <v>10</v>
      </c>
      <c r="T276" s="1"/>
      <c r="U276" s="1"/>
      <c r="V276" s="1"/>
      <c r="W276" s="1"/>
      <c r="X276" s="1"/>
      <c r="Y276" s="1"/>
      <c r="Z276" s="1"/>
    </row>
    <row r="277" spans="1:26" x14ac:dyDescent="0.2">
      <c r="A277" s="2">
        <v>931</v>
      </c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3">
        <v>28145</v>
      </c>
      <c r="M277" s="3">
        <v>25270</v>
      </c>
      <c r="N277" s="3">
        <v>17775</v>
      </c>
      <c r="O277" s="1"/>
      <c r="P277" s="1"/>
      <c r="Q277" s="1"/>
      <c r="R277" s="1"/>
      <c r="S277" s="1" t="s">
        <v>10</v>
      </c>
      <c r="T277" s="1"/>
      <c r="U277" s="1"/>
      <c r="V277" s="1"/>
      <c r="W277" s="1"/>
      <c r="X277" s="1"/>
      <c r="Y277" s="1"/>
      <c r="Z277" s="1"/>
    </row>
    <row r="278" spans="1:26" x14ac:dyDescent="0.2">
      <c r="A278" s="2">
        <v>707</v>
      </c>
      <c r="B278" s="1"/>
      <c r="C278" s="3">
        <v>47480</v>
      </c>
      <c r="D278" s="3">
        <v>57950</v>
      </c>
      <c r="E278" s="3">
        <v>65780</v>
      </c>
      <c r="F278" s="3">
        <v>61310</v>
      </c>
      <c r="G278" s="3">
        <v>65700</v>
      </c>
      <c r="H278" s="3">
        <v>64660</v>
      </c>
      <c r="I278" s="3">
        <v>61230</v>
      </c>
      <c r="J278" s="3">
        <v>65270</v>
      </c>
      <c r="K278" s="3">
        <v>63690</v>
      </c>
      <c r="L278" s="3">
        <v>65680</v>
      </c>
      <c r="M278" s="3">
        <v>65620</v>
      </c>
      <c r="N278" s="3">
        <v>65700</v>
      </c>
      <c r="O278" s="3">
        <v>69190</v>
      </c>
      <c r="P278" s="3">
        <v>70230</v>
      </c>
      <c r="Q278" s="3">
        <v>71710</v>
      </c>
      <c r="R278" s="3">
        <v>135860</v>
      </c>
      <c r="S278" s="1" t="s">
        <v>6</v>
      </c>
      <c r="T278" s="1"/>
      <c r="U278" s="1"/>
      <c r="V278" s="1"/>
      <c r="W278" s="1"/>
      <c r="X278" s="1"/>
      <c r="Y278" s="1"/>
      <c r="Z278" s="1"/>
    </row>
    <row r="279" spans="1:26" x14ac:dyDescent="0.2">
      <c r="A279" s="2">
        <v>852</v>
      </c>
      <c r="B279" s="1" t="s">
        <v>45</v>
      </c>
      <c r="C279" s="1"/>
      <c r="D279" s="1"/>
      <c r="E279" s="1"/>
      <c r="F279" s="1"/>
      <c r="G279" s="1"/>
      <c r="H279" s="1"/>
      <c r="I279" s="3">
        <v>125475</v>
      </c>
      <c r="J279" s="3">
        <v>53580</v>
      </c>
      <c r="K279" s="3">
        <v>102450</v>
      </c>
      <c r="L279" s="1" t="s">
        <v>46</v>
      </c>
      <c r="M279" s="1"/>
      <c r="N279" s="1"/>
      <c r="O279" s="1"/>
      <c r="P279" s="1"/>
      <c r="Q279" s="1"/>
      <c r="R279" s="1"/>
      <c r="S279" s="1" t="s">
        <v>4</v>
      </c>
      <c r="T279" s="1"/>
      <c r="U279" s="1"/>
      <c r="V279" s="1"/>
      <c r="W279" s="1"/>
      <c r="X279" s="1"/>
      <c r="Y279" s="1"/>
      <c r="Z279" s="1"/>
    </row>
    <row r="280" spans="1:26" x14ac:dyDescent="0.2">
      <c r="A280" s="2">
        <v>852</v>
      </c>
      <c r="B280" s="1" t="s">
        <v>47</v>
      </c>
      <c r="C280" s="1"/>
      <c r="D280" s="1"/>
      <c r="E280" s="1"/>
      <c r="F280" s="1"/>
      <c r="G280" s="1"/>
      <c r="H280" s="1"/>
      <c r="I280" s="1"/>
      <c r="J280" s="1" t="s">
        <v>48</v>
      </c>
      <c r="K280" s="1" t="s">
        <v>48</v>
      </c>
      <c r="L280" s="1" t="s">
        <v>46</v>
      </c>
      <c r="M280" s="1"/>
      <c r="N280" s="1"/>
      <c r="O280" s="1"/>
      <c r="P280" s="1"/>
      <c r="Q280" s="1"/>
      <c r="R280" s="1"/>
      <c r="S280" s="1" t="s">
        <v>4</v>
      </c>
      <c r="T280" s="1"/>
      <c r="U280" s="1"/>
      <c r="V280" s="1"/>
      <c r="W280" s="1"/>
      <c r="X280" s="1"/>
      <c r="Y280" s="1"/>
      <c r="Z280" s="1"/>
    </row>
    <row r="281" spans="1:26" x14ac:dyDescent="0.2">
      <c r="A281" s="2">
        <v>972</v>
      </c>
      <c r="B281" s="1" t="s">
        <v>45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 t="s">
        <v>46</v>
      </c>
      <c r="O281" s="1"/>
      <c r="P281" s="1"/>
      <c r="Q281" s="1"/>
      <c r="R281" s="1"/>
      <c r="S281" s="1" t="s">
        <v>4</v>
      </c>
      <c r="T281" s="1"/>
      <c r="U281" s="1"/>
      <c r="V281" s="1"/>
      <c r="W281" s="1"/>
      <c r="X281" s="1"/>
      <c r="Y281" s="1"/>
      <c r="Z281" s="1"/>
    </row>
    <row r="282" spans="1:26" x14ac:dyDescent="0.2">
      <c r="A282" s="2">
        <v>943</v>
      </c>
      <c r="B282" s="1" t="s">
        <v>45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3">
        <v>47800</v>
      </c>
      <c r="N282" s="1" t="s">
        <v>46</v>
      </c>
      <c r="O282" s="1"/>
      <c r="P282" s="1"/>
      <c r="Q282" s="1"/>
      <c r="R282" s="3">
        <v>46000</v>
      </c>
      <c r="S282" s="1" t="s">
        <v>10</v>
      </c>
      <c r="T282" s="1"/>
      <c r="U282" s="1"/>
      <c r="V282" s="1"/>
      <c r="W282" s="1"/>
      <c r="X282" s="1"/>
      <c r="Y282" s="1"/>
      <c r="Z282" s="1"/>
    </row>
    <row r="283" spans="1:26" x14ac:dyDescent="0.2">
      <c r="A283" s="2">
        <v>943</v>
      </c>
      <c r="B283" s="1" t="s">
        <v>47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 t="s">
        <v>48</v>
      </c>
      <c r="N283" s="1" t="s">
        <v>46</v>
      </c>
      <c r="O283" s="1"/>
      <c r="P283" s="1"/>
      <c r="Q283" s="1"/>
      <c r="R283" s="1" t="s">
        <v>48</v>
      </c>
      <c r="S283" s="1" t="s">
        <v>10</v>
      </c>
      <c r="T283" s="1"/>
      <c r="U283" s="1"/>
      <c r="V283" s="1"/>
      <c r="W283" s="1"/>
      <c r="X283" s="1"/>
      <c r="Y283" s="1"/>
      <c r="Z283" s="1"/>
    </row>
    <row r="284" spans="1:26" x14ac:dyDescent="0.2">
      <c r="A284" s="2">
        <v>929</v>
      </c>
      <c r="B284" s="1" t="s">
        <v>45</v>
      </c>
      <c r="C284" s="1"/>
      <c r="D284" s="1"/>
      <c r="E284" s="1"/>
      <c r="F284" s="1"/>
      <c r="G284" s="1"/>
      <c r="H284" s="1"/>
      <c r="I284" s="1"/>
      <c r="J284" s="1"/>
      <c r="K284" s="1"/>
      <c r="L284" s="3">
        <v>68850</v>
      </c>
      <c r="M284" s="1"/>
      <c r="N284" s="3">
        <v>68650</v>
      </c>
      <c r="O284" s="1"/>
      <c r="P284" s="1"/>
      <c r="Q284" s="1"/>
      <c r="R284" s="1"/>
      <c r="S284" s="1" t="s">
        <v>4</v>
      </c>
      <c r="T284" s="1"/>
      <c r="U284" s="1"/>
      <c r="V284" s="1"/>
      <c r="W284" s="1"/>
      <c r="X284" s="1"/>
      <c r="Y284" s="1"/>
      <c r="Z284" s="1"/>
    </row>
    <row r="285" spans="1:26" x14ac:dyDescent="0.2">
      <c r="A285" s="2">
        <v>929</v>
      </c>
      <c r="B285" s="1" t="s">
        <v>47</v>
      </c>
      <c r="C285" s="1"/>
      <c r="D285" s="1"/>
      <c r="E285" s="1"/>
      <c r="F285" s="1"/>
      <c r="G285" s="1"/>
      <c r="H285" s="1"/>
      <c r="I285" s="1"/>
      <c r="J285" s="1"/>
      <c r="K285" s="1"/>
      <c r="L285" s="3">
        <v>13370</v>
      </c>
      <c r="M285" s="1"/>
      <c r="N285" s="3">
        <v>13370</v>
      </c>
      <c r="O285" s="1"/>
      <c r="P285" s="1"/>
      <c r="Q285" s="1"/>
      <c r="R285" s="1"/>
      <c r="S285" s="1" t="s">
        <v>4</v>
      </c>
      <c r="T285" s="1"/>
      <c r="U285" s="1"/>
      <c r="V285" s="1"/>
      <c r="W285" s="1"/>
      <c r="X285" s="1"/>
      <c r="Y285" s="1"/>
      <c r="Z285" s="1"/>
    </row>
    <row r="286" spans="1:26" x14ac:dyDescent="0.2">
      <c r="A286" s="2">
        <v>978</v>
      </c>
      <c r="B286" s="1"/>
      <c r="C286" s="1"/>
      <c r="D286" s="1"/>
      <c r="E286" s="1"/>
      <c r="F286" s="1"/>
      <c r="G286" s="1"/>
      <c r="H286" s="1"/>
      <c r="I286" s="1"/>
      <c r="J286" s="1" t="s">
        <v>48</v>
      </c>
      <c r="K286" s="1"/>
      <c r="L286" s="1"/>
      <c r="M286" s="1"/>
      <c r="N286" s="3">
        <v>125000</v>
      </c>
      <c r="O286" s="3">
        <v>50640</v>
      </c>
      <c r="P286" s="1"/>
      <c r="Q286" s="1"/>
      <c r="R286" s="1"/>
      <c r="S286" s="1" t="s">
        <v>5</v>
      </c>
      <c r="T286" s="1"/>
      <c r="U286" s="1"/>
      <c r="V286" s="1"/>
      <c r="W286" s="1"/>
      <c r="X286" s="1"/>
      <c r="Y286" s="1"/>
      <c r="Z286" s="1"/>
    </row>
    <row r="287" spans="1:26" x14ac:dyDescent="0.2">
      <c r="A287" s="2">
        <v>793</v>
      </c>
      <c r="B287" s="1" t="s">
        <v>52</v>
      </c>
      <c r="C287" s="1"/>
      <c r="D287" s="1"/>
      <c r="E287" s="1"/>
      <c r="F287" s="1"/>
      <c r="G287" s="3">
        <v>31850</v>
      </c>
      <c r="H287" s="3">
        <v>57975</v>
      </c>
      <c r="I287" s="3">
        <v>22175</v>
      </c>
      <c r="J287" s="3">
        <v>22175</v>
      </c>
      <c r="K287" s="3">
        <v>23010</v>
      </c>
      <c r="L287" s="3">
        <v>23010</v>
      </c>
      <c r="M287" s="3">
        <v>23010</v>
      </c>
      <c r="N287" s="3">
        <v>23010</v>
      </c>
      <c r="O287" s="3">
        <v>58810</v>
      </c>
      <c r="P287" s="1"/>
      <c r="Q287" s="1"/>
      <c r="R287" s="1"/>
      <c r="S287" s="1" t="s">
        <v>11</v>
      </c>
      <c r="T287" s="1"/>
      <c r="U287" s="1"/>
      <c r="V287" s="1"/>
      <c r="W287" s="1"/>
      <c r="X287" s="1"/>
      <c r="Y287" s="1"/>
      <c r="Z287" s="1"/>
    </row>
    <row r="288" spans="1:26" x14ac:dyDescent="0.2">
      <c r="A288" s="2">
        <v>793</v>
      </c>
      <c r="B288" s="1" t="s">
        <v>50</v>
      </c>
      <c r="C288" s="1"/>
      <c r="D288" s="1"/>
      <c r="E288" s="1"/>
      <c r="F288" s="1"/>
      <c r="G288" s="3">
        <v>15926.7</v>
      </c>
      <c r="H288" s="3">
        <v>10226</v>
      </c>
      <c r="I288" s="3">
        <v>7578.94</v>
      </c>
      <c r="J288" s="3">
        <v>11625.38</v>
      </c>
      <c r="K288" s="3">
        <v>9084.4699999999993</v>
      </c>
      <c r="L288" s="3">
        <v>7284.26</v>
      </c>
      <c r="M288" s="3">
        <v>9650.43</v>
      </c>
      <c r="N288" s="3">
        <v>8803.6200000000008</v>
      </c>
      <c r="O288" s="3">
        <v>11086.06</v>
      </c>
      <c r="P288" s="1"/>
      <c r="Q288" s="1"/>
      <c r="R288" s="1"/>
      <c r="S288" s="1" t="s">
        <v>11</v>
      </c>
      <c r="T288" s="1"/>
      <c r="U288" s="1"/>
      <c r="V288" s="1"/>
      <c r="W288" s="1"/>
      <c r="X288" s="1"/>
      <c r="Y288" s="1"/>
      <c r="Z288" s="1"/>
    </row>
    <row r="289" spans="1:26" x14ac:dyDescent="0.2">
      <c r="A289" s="2">
        <v>48</v>
      </c>
      <c r="B289" s="1" t="s">
        <v>45</v>
      </c>
      <c r="C289" s="1"/>
      <c r="D289" s="1"/>
      <c r="E289" s="1"/>
      <c r="F289" s="3">
        <v>39726</v>
      </c>
      <c r="G289" s="3">
        <v>39726</v>
      </c>
      <c r="H289" s="3">
        <v>39726</v>
      </c>
      <c r="I289" s="1"/>
      <c r="J289" s="1"/>
      <c r="K289" s="1"/>
      <c r="L289" s="1"/>
      <c r="M289" s="3">
        <v>39726</v>
      </c>
      <c r="N289" s="3">
        <v>39726</v>
      </c>
      <c r="O289" s="3">
        <v>39726</v>
      </c>
      <c r="P289" s="1"/>
      <c r="Q289" s="3">
        <v>45175.5</v>
      </c>
      <c r="R289" s="3">
        <v>44635.5</v>
      </c>
      <c r="S289" s="1" t="s">
        <v>10</v>
      </c>
      <c r="T289" s="1"/>
      <c r="U289" s="1"/>
      <c r="V289" s="1"/>
      <c r="W289" s="1"/>
      <c r="X289" s="1"/>
      <c r="Y289" s="1"/>
      <c r="Z289" s="1"/>
    </row>
    <row r="290" spans="1:26" x14ac:dyDescent="0.2">
      <c r="A290" s="2">
        <v>107</v>
      </c>
      <c r="B290" s="1" t="s">
        <v>45</v>
      </c>
      <c r="C290" s="3">
        <v>52158</v>
      </c>
      <c r="D290" s="3">
        <v>66122</v>
      </c>
      <c r="E290" s="3">
        <v>34850</v>
      </c>
      <c r="F290" s="1"/>
      <c r="G290" s="3">
        <v>67774.080000000002</v>
      </c>
      <c r="H290" s="3">
        <v>36046</v>
      </c>
      <c r="I290" s="3">
        <v>54832</v>
      </c>
      <c r="J290" s="3">
        <v>47165.279999999999</v>
      </c>
      <c r="K290" s="3">
        <v>71542</v>
      </c>
      <c r="L290" s="3">
        <v>51910.74</v>
      </c>
      <c r="M290" s="3">
        <v>60269</v>
      </c>
      <c r="N290" s="3">
        <v>58485.96</v>
      </c>
      <c r="O290" s="3">
        <v>59885.85</v>
      </c>
      <c r="P290" s="3">
        <v>65222.34</v>
      </c>
      <c r="Q290" s="3">
        <v>60505.74</v>
      </c>
      <c r="R290" s="3">
        <v>66694.89</v>
      </c>
      <c r="S290" s="1" t="s">
        <v>11</v>
      </c>
      <c r="T290" s="1"/>
      <c r="U290" s="1"/>
      <c r="V290" s="1"/>
      <c r="W290" s="1"/>
      <c r="X290" s="1"/>
      <c r="Y290" s="1"/>
      <c r="Z290" s="1"/>
    </row>
    <row r="291" spans="1:26" x14ac:dyDescent="0.2">
      <c r="A291" s="2">
        <v>910</v>
      </c>
      <c r="B291" s="1" t="s">
        <v>45</v>
      </c>
      <c r="C291" s="1"/>
      <c r="D291" s="1"/>
      <c r="E291" s="1"/>
      <c r="F291" s="1"/>
      <c r="G291" s="1"/>
      <c r="H291" s="1"/>
      <c r="I291" s="1"/>
      <c r="J291" s="1"/>
      <c r="K291" s="3">
        <v>69800</v>
      </c>
      <c r="L291" s="3">
        <v>70000</v>
      </c>
      <c r="M291" s="1"/>
      <c r="N291" s="3">
        <v>65425</v>
      </c>
      <c r="O291" s="1"/>
      <c r="P291" s="1"/>
      <c r="Q291" s="1"/>
      <c r="R291" s="1"/>
      <c r="S291" s="1" t="s">
        <v>10</v>
      </c>
      <c r="T291" s="1"/>
      <c r="U291" s="1"/>
      <c r="V291" s="1"/>
      <c r="W291" s="1"/>
      <c r="X291" s="1"/>
      <c r="Y291" s="1"/>
      <c r="Z291" s="1"/>
    </row>
    <row r="292" spans="1:26" x14ac:dyDescent="0.2">
      <c r="A292" s="2">
        <v>910</v>
      </c>
      <c r="B292" s="1" t="s">
        <v>47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 t="s">
        <v>48</v>
      </c>
      <c r="O292" s="1"/>
      <c r="P292" s="1"/>
      <c r="Q292" s="1"/>
      <c r="R292" s="1"/>
      <c r="S292" s="1" t="s">
        <v>10</v>
      </c>
      <c r="T292" s="1"/>
      <c r="U292" s="1"/>
      <c r="V292" s="1"/>
      <c r="W292" s="1"/>
      <c r="X292" s="1"/>
      <c r="Y292" s="1"/>
      <c r="Z292" s="1"/>
    </row>
    <row r="293" spans="1:26" x14ac:dyDescent="0.2">
      <c r="A293" s="2">
        <v>690</v>
      </c>
      <c r="B293" s="1"/>
      <c r="C293" s="3">
        <v>54455</v>
      </c>
      <c r="D293" s="3">
        <v>51995</v>
      </c>
      <c r="E293" s="3">
        <v>54735</v>
      </c>
      <c r="F293" s="3">
        <v>80085</v>
      </c>
      <c r="G293" s="3">
        <v>79045</v>
      </c>
      <c r="H293" s="3">
        <v>81310</v>
      </c>
      <c r="I293" s="1" t="s">
        <v>46</v>
      </c>
      <c r="J293" s="3">
        <v>51395</v>
      </c>
      <c r="K293" s="3">
        <v>51395</v>
      </c>
      <c r="L293" s="3">
        <v>51395</v>
      </c>
      <c r="M293" s="3">
        <v>51395</v>
      </c>
      <c r="N293" s="3">
        <v>19425</v>
      </c>
      <c r="O293" s="1" t="s">
        <v>46</v>
      </c>
      <c r="P293" s="1"/>
      <c r="Q293" s="1"/>
      <c r="R293" s="3">
        <v>64300</v>
      </c>
      <c r="S293" s="1" t="s">
        <v>10</v>
      </c>
      <c r="T293" s="1"/>
      <c r="U293" s="1"/>
      <c r="V293" s="1"/>
      <c r="W293" s="1"/>
      <c r="X293" s="1"/>
      <c r="Y293" s="1"/>
      <c r="Z293" s="1"/>
    </row>
    <row r="294" spans="1:26" x14ac:dyDescent="0.2">
      <c r="A294" s="2">
        <v>934</v>
      </c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3">
        <v>22620</v>
      </c>
      <c r="M294" s="3">
        <v>22020</v>
      </c>
      <c r="N294" s="3">
        <v>19865</v>
      </c>
      <c r="O294" s="3">
        <v>19865</v>
      </c>
      <c r="P294" s="1"/>
      <c r="Q294" s="1"/>
      <c r="R294" s="1"/>
      <c r="S294" s="1" t="s">
        <v>10</v>
      </c>
      <c r="T294" s="1"/>
      <c r="U294" s="1"/>
      <c r="V294" s="1"/>
      <c r="W294" s="1"/>
      <c r="X294" s="1"/>
      <c r="Y294" s="1"/>
      <c r="Z294" s="1"/>
    </row>
    <row r="295" spans="1:26" x14ac:dyDescent="0.2">
      <c r="A295" s="2">
        <v>712</v>
      </c>
      <c r="B295" s="1" t="s">
        <v>45</v>
      </c>
      <c r="C295" s="1"/>
      <c r="D295" s="3">
        <v>40690</v>
      </c>
      <c r="E295" s="3">
        <v>40030</v>
      </c>
      <c r="F295" s="3">
        <v>40920</v>
      </c>
      <c r="G295" s="3">
        <v>34840</v>
      </c>
      <c r="H295" s="3">
        <v>34990</v>
      </c>
      <c r="I295" s="3">
        <v>41070</v>
      </c>
      <c r="J295" s="3">
        <v>43980</v>
      </c>
      <c r="K295" s="3">
        <v>43980</v>
      </c>
      <c r="L295" s="3">
        <v>44870</v>
      </c>
      <c r="M295" s="3">
        <v>43980</v>
      </c>
      <c r="N295" s="3">
        <v>43980</v>
      </c>
      <c r="O295" s="3">
        <v>44870</v>
      </c>
      <c r="P295" s="3">
        <v>40970</v>
      </c>
      <c r="Q295" s="3">
        <v>40970</v>
      </c>
      <c r="R295" s="3">
        <v>40970</v>
      </c>
      <c r="S295" s="1" t="s">
        <v>10</v>
      </c>
      <c r="T295" s="1"/>
      <c r="U295" s="1"/>
      <c r="V295" s="1"/>
      <c r="W295" s="1"/>
      <c r="X295" s="1"/>
      <c r="Y295" s="1"/>
      <c r="Z295" s="1"/>
    </row>
    <row r="296" spans="1:26" x14ac:dyDescent="0.2">
      <c r="A296" s="2">
        <v>712</v>
      </c>
      <c r="B296" s="1" t="s">
        <v>47</v>
      </c>
      <c r="C296" s="1"/>
      <c r="D296" s="1"/>
      <c r="E296" s="1"/>
      <c r="F296" s="1"/>
      <c r="G296" s="1"/>
      <c r="H296" s="3">
        <v>5190</v>
      </c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 t="s">
        <v>10</v>
      </c>
      <c r="T296" s="1"/>
      <c r="U296" s="1"/>
      <c r="V296" s="1"/>
      <c r="W296" s="1"/>
      <c r="X296" s="1"/>
      <c r="Y296" s="1"/>
      <c r="Z296" s="1"/>
    </row>
    <row r="297" spans="1:26" x14ac:dyDescent="0.2">
      <c r="A297" s="2">
        <v>927</v>
      </c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3">
        <v>130750</v>
      </c>
      <c r="M297" s="3">
        <v>128150</v>
      </c>
      <c r="N297" s="3">
        <v>128850</v>
      </c>
      <c r="O297" s="3">
        <v>51850</v>
      </c>
      <c r="P297" s="1"/>
      <c r="Q297" s="1"/>
      <c r="R297" s="1"/>
      <c r="S297" s="1" t="s">
        <v>10</v>
      </c>
      <c r="T297" s="1"/>
      <c r="U297" s="1"/>
      <c r="V297" s="1"/>
      <c r="W297" s="1"/>
      <c r="X297" s="1"/>
      <c r="Y297" s="1"/>
      <c r="Z297" s="1"/>
    </row>
    <row r="298" spans="1:26" x14ac:dyDescent="0.2">
      <c r="A298" s="2">
        <v>817</v>
      </c>
      <c r="B298" s="1" t="s">
        <v>52</v>
      </c>
      <c r="C298" s="1"/>
      <c r="D298" s="1"/>
      <c r="E298" s="1"/>
      <c r="F298" s="1"/>
      <c r="G298" s="3">
        <v>51525</v>
      </c>
      <c r="H298" s="3">
        <v>49700</v>
      </c>
      <c r="I298" s="3">
        <v>49700</v>
      </c>
      <c r="J298" s="3">
        <v>56435</v>
      </c>
      <c r="K298" s="3">
        <v>56435</v>
      </c>
      <c r="L298" s="3">
        <v>56435</v>
      </c>
      <c r="M298" s="3">
        <v>59075</v>
      </c>
      <c r="N298" s="3">
        <v>59075</v>
      </c>
      <c r="O298" s="3">
        <v>59075</v>
      </c>
      <c r="P298" s="3">
        <v>56750</v>
      </c>
      <c r="Q298" s="3">
        <v>56750</v>
      </c>
      <c r="R298" s="1" t="s">
        <v>46</v>
      </c>
      <c r="S298" s="1" t="s">
        <v>8</v>
      </c>
      <c r="T298" s="1"/>
      <c r="U298" s="1"/>
      <c r="V298" s="1"/>
      <c r="W298" s="1"/>
      <c r="X298" s="1"/>
      <c r="Y298" s="1"/>
      <c r="Z298" s="1"/>
    </row>
    <row r="299" spans="1:26" x14ac:dyDescent="0.2">
      <c r="A299" s="2">
        <v>817</v>
      </c>
      <c r="B299" s="1" t="s">
        <v>50</v>
      </c>
      <c r="C299" s="1"/>
      <c r="D299" s="1"/>
      <c r="E299" s="1"/>
      <c r="F299" s="1"/>
      <c r="G299" s="3">
        <v>10100</v>
      </c>
      <c r="H299" s="3">
        <v>7425</v>
      </c>
      <c r="I299" s="3">
        <v>7425</v>
      </c>
      <c r="J299" s="3">
        <v>7900</v>
      </c>
      <c r="K299" s="3">
        <v>7900</v>
      </c>
      <c r="L299" s="3">
        <v>7900</v>
      </c>
      <c r="M299" s="3">
        <v>8850</v>
      </c>
      <c r="N299" s="3">
        <v>8610</v>
      </c>
      <c r="O299" s="3">
        <v>8780</v>
      </c>
      <c r="P299" s="3">
        <v>11100</v>
      </c>
      <c r="Q299" s="3">
        <v>11100</v>
      </c>
      <c r="R299" s="1" t="s">
        <v>46</v>
      </c>
      <c r="S299" s="1" t="s">
        <v>8</v>
      </c>
      <c r="T299" s="1"/>
      <c r="U299" s="1"/>
      <c r="V299" s="1"/>
      <c r="W299" s="1"/>
      <c r="X299" s="1"/>
      <c r="Y299" s="1"/>
      <c r="Z299" s="1"/>
    </row>
    <row r="300" spans="1:26" x14ac:dyDescent="0.2">
      <c r="A300" s="2">
        <v>896</v>
      </c>
      <c r="B300" s="1"/>
      <c r="C300" s="1"/>
      <c r="D300" s="1"/>
      <c r="E300" s="1"/>
      <c r="F300" s="1"/>
      <c r="G300" s="1"/>
      <c r="H300" s="1"/>
      <c r="I300" s="1"/>
      <c r="J300" s="1" t="s">
        <v>48</v>
      </c>
      <c r="K300" s="1" t="s">
        <v>48</v>
      </c>
      <c r="L300" s="1" t="s">
        <v>48</v>
      </c>
      <c r="M300" s="1" t="s">
        <v>48</v>
      </c>
      <c r="N300" s="1" t="s">
        <v>48</v>
      </c>
      <c r="O300" s="1" t="s">
        <v>48</v>
      </c>
      <c r="P300" s="1"/>
      <c r="Q300" s="1"/>
      <c r="R300" s="1"/>
      <c r="S300" s="1" t="s">
        <v>8</v>
      </c>
      <c r="T300" s="1"/>
      <c r="U300" s="1"/>
      <c r="V300" s="1"/>
      <c r="W300" s="1"/>
      <c r="X300" s="1"/>
      <c r="Y300" s="1"/>
      <c r="Z300" s="1"/>
    </row>
    <row r="301" spans="1:26" x14ac:dyDescent="0.2">
      <c r="A301" s="2">
        <v>797</v>
      </c>
      <c r="B301" s="1" t="s">
        <v>45</v>
      </c>
      <c r="C301" s="1"/>
      <c r="D301" s="1"/>
      <c r="E301" s="1"/>
      <c r="F301" s="3">
        <v>93250</v>
      </c>
      <c r="G301" s="3">
        <v>93250</v>
      </c>
      <c r="H301" s="3">
        <v>93250</v>
      </c>
      <c r="I301" s="3">
        <v>93250</v>
      </c>
      <c r="J301" s="3">
        <v>93250</v>
      </c>
      <c r="K301" s="3">
        <v>115900</v>
      </c>
      <c r="L301" s="3">
        <v>115900</v>
      </c>
      <c r="M301" s="3">
        <v>115900</v>
      </c>
      <c r="N301" s="3">
        <v>142000</v>
      </c>
      <c r="O301" s="3">
        <v>142000</v>
      </c>
      <c r="P301" s="3">
        <v>142000</v>
      </c>
      <c r="Q301" s="3">
        <v>142000</v>
      </c>
      <c r="R301" s="3">
        <v>142000</v>
      </c>
      <c r="S301" s="1" t="s">
        <v>6</v>
      </c>
      <c r="T301" s="1"/>
      <c r="U301" s="1"/>
      <c r="V301" s="1"/>
      <c r="W301" s="1"/>
      <c r="X301" s="1"/>
      <c r="Y301" s="1"/>
      <c r="Z301" s="1"/>
    </row>
    <row r="302" spans="1:26" x14ac:dyDescent="0.2">
      <c r="A302" s="2">
        <v>797</v>
      </c>
      <c r="B302" s="1" t="s">
        <v>47</v>
      </c>
      <c r="C302" s="1"/>
      <c r="D302" s="1"/>
      <c r="E302" s="1"/>
      <c r="F302" s="3">
        <v>28495</v>
      </c>
      <c r="G302" s="3">
        <v>17645</v>
      </c>
      <c r="H302" s="3">
        <v>26285</v>
      </c>
      <c r="I302" s="3">
        <v>21280</v>
      </c>
      <c r="J302" s="3">
        <v>18540</v>
      </c>
      <c r="K302" s="1"/>
      <c r="L302" s="1"/>
      <c r="M302" s="1"/>
      <c r="N302" s="1"/>
      <c r="O302" s="1"/>
      <c r="P302" s="1"/>
      <c r="Q302" s="1"/>
      <c r="R302" s="1"/>
      <c r="S302" s="1" t="s">
        <v>6</v>
      </c>
      <c r="T302" s="1"/>
      <c r="U302" s="1"/>
      <c r="V302" s="1"/>
      <c r="W302" s="1"/>
      <c r="X302" s="1"/>
      <c r="Y302" s="1"/>
      <c r="Z302" s="1"/>
    </row>
    <row r="303" spans="1:26" x14ac:dyDescent="0.2">
      <c r="A303" s="2">
        <v>797</v>
      </c>
      <c r="B303" s="1" t="s">
        <v>50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3">
        <v>43000</v>
      </c>
      <c r="O303" s="3">
        <v>43000</v>
      </c>
      <c r="P303" s="3">
        <v>50000</v>
      </c>
      <c r="Q303" s="3">
        <v>50000</v>
      </c>
      <c r="R303" s="3">
        <v>50000</v>
      </c>
      <c r="S303" s="1" t="s">
        <v>6</v>
      </c>
      <c r="T303" s="1"/>
      <c r="U303" s="1"/>
      <c r="V303" s="1"/>
      <c r="W303" s="1"/>
      <c r="X303" s="1"/>
      <c r="Y303" s="1"/>
      <c r="Z303" s="1"/>
    </row>
    <row r="304" spans="1:26" x14ac:dyDescent="0.2">
      <c r="A304" s="2">
        <v>798</v>
      </c>
      <c r="B304" s="1" t="s">
        <v>50</v>
      </c>
      <c r="C304" s="1"/>
      <c r="D304" s="1"/>
      <c r="E304" s="1"/>
      <c r="F304" s="1"/>
      <c r="G304" s="1"/>
      <c r="H304" s="3">
        <v>45000</v>
      </c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 t="s">
        <v>6</v>
      </c>
      <c r="T304" s="1"/>
      <c r="U304" s="1"/>
      <c r="V304" s="1"/>
      <c r="W304" s="1"/>
      <c r="X304" s="1"/>
      <c r="Y304" s="1"/>
      <c r="Z304" s="1"/>
    </row>
    <row r="305" spans="1:26" x14ac:dyDescent="0.2">
      <c r="A305" s="2">
        <v>798</v>
      </c>
      <c r="B305" s="1" t="s">
        <v>45</v>
      </c>
      <c r="C305" s="1"/>
      <c r="D305" s="1"/>
      <c r="E305" s="1"/>
      <c r="F305" s="3">
        <v>37000</v>
      </c>
      <c r="G305" s="3">
        <v>37000</v>
      </c>
      <c r="H305" s="3">
        <v>37000</v>
      </c>
      <c r="I305" s="3">
        <v>37000</v>
      </c>
      <c r="J305" s="3">
        <v>37000</v>
      </c>
      <c r="K305" s="3">
        <v>37000</v>
      </c>
      <c r="L305" s="3">
        <v>37000</v>
      </c>
      <c r="M305" s="3">
        <v>37000</v>
      </c>
      <c r="N305" s="3">
        <v>89400</v>
      </c>
      <c r="O305" s="3">
        <v>89400</v>
      </c>
      <c r="P305" s="3">
        <v>89400</v>
      </c>
      <c r="Q305" s="3">
        <v>89400</v>
      </c>
      <c r="R305" s="3">
        <v>89400</v>
      </c>
      <c r="S305" s="1" t="s">
        <v>6</v>
      </c>
      <c r="T305" s="1"/>
      <c r="U305" s="1"/>
      <c r="V305" s="1"/>
      <c r="W305" s="1"/>
      <c r="X305" s="1"/>
      <c r="Y305" s="1"/>
      <c r="Z305" s="1"/>
    </row>
    <row r="306" spans="1:26" x14ac:dyDescent="0.2">
      <c r="A306" s="2">
        <v>798</v>
      </c>
      <c r="B306" s="1" t="s">
        <v>47</v>
      </c>
      <c r="C306" s="1"/>
      <c r="D306" s="1"/>
      <c r="E306" s="1"/>
      <c r="F306" s="3">
        <v>35830</v>
      </c>
      <c r="G306" s="3">
        <v>30495</v>
      </c>
      <c r="H306" s="3">
        <v>21280</v>
      </c>
      <c r="I306" s="3">
        <v>23220</v>
      </c>
      <c r="J306" s="3">
        <v>39710</v>
      </c>
      <c r="K306" s="3">
        <v>35345</v>
      </c>
      <c r="L306" s="3">
        <v>54255</v>
      </c>
      <c r="M306" s="3">
        <v>75215</v>
      </c>
      <c r="N306" s="3">
        <v>23600</v>
      </c>
      <c r="O306" s="3">
        <v>40400</v>
      </c>
      <c r="P306" s="3">
        <v>38000</v>
      </c>
      <c r="Q306" s="3">
        <v>27200</v>
      </c>
      <c r="R306" s="3">
        <v>14000</v>
      </c>
      <c r="S306" s="1" t="s">
        <v>6</v>
      </c>
      <c r="T306" s="1"/>
      <c r="U306" s="1"/>
      <c r="V306" s="1"/>
      <c r="W306" s="1"/>
      <c r="X306" s="1"/>
      <c r="Y306" s="1"/>
      <c r="Z306" s="1"/>
    </row>
    <row r="307" spans="1:26" x14ac:dyDescent="0.2">
      <c r="A307" s="2">
        <v>888</v>
      </c>
      <c r="B307" s="1" t="s">
        <v>45</v>
      </c>
      <c r="C307" s="1"/>
      <c r="D307" s="1"/>
      <c r="E307" s="1"/>
      <c r="F307" s="1"/>
      <c r="G307" s="1"/>
      <c r="H307" s="1"/>
      <c r="I307" s="1"/>
      <c r="J307" s="3">
        <v>18650</v>
      </c>
      <c r="K307" s="1"/>
      <c r="L307" s="3">
        <v>170425</v>
      </c>
      <c r="M307" s="3">
        <v>114800</v>
      </c>
      <c r="N307" s="3">
        <v>167400</v>
      </c>
      <c r="O307" s="3">
        <v>202150</v>
      </c>
      <c r="P307" s="3">
        <v>202150</v>
      </c>
      <c r="Q307" s="3">
        <v>202150</v>
      </c>
      <c r="R307" s="3">
        <v>149500</v>
      </c>
      <c r="S307" s="1" t="s">
        <v>6</v>
      </c>
      <c r="T307" s="1"/>
      <c r="U307" s="1"/>
      <c r="V307" s="1"/>
      <c r="W307" s="1"/>
      <c r="X307" s="1"/>
      <c r="Y307" s="1"/>
      <c r="Z307" s="1"/>
    </row>
    <row r="308" spans="1:26" x14ac:dyDescent="0.2">
      <c r="A308" s="2">
        <v>888</v>
      </c>
      <c r="B308" s="1" t="s">
        <v>47</v>
      </c>
      <c r="C308" s="1"/>
      <c r="D308" s="1"/>
      <c r="E308" s="1"/>
      <c r="F308" s="1"/>
      <c r="G308" s="1"/>
      <c r="H308" s="1"/>
      <c r="I308" s="1"/>
      <c r="J308" s="1"/>
      <c r="K308" s="1"/>
      <c r="L308" s="3">
        <v>1890</v>
      </c>
      <c r="M308" s="3">
        <v>39690</v>
      </c>
      <c r="N308" s="3">
        <v>42210</v>
      </c>
      <c r="O308" s="3">
        <v>74025</v>
      </c>
      <c r="P308" s="3">
        <v>71820</v>
      </c>
      <c r="Q308" s="3">
        <v>65835</v>
      </c>
      <c r="R308" s="3">
        <v>46620</v>
      </c>
      <c r="S308" s="1" t="s">
        <v>6</v>
      </c>
      <c r="T308" s="1"/>
      <c r="U308" s="1"/>
      <c r="V308" s="1"/>
      <c r="W308" s="1"/>
      <c r="X308" s="1"/>
      <c r="Y308" s="1"/>
      <c r="Z308" s="1"/>
    </row>
    <row r="309" spans="1:26" x14ac:dyDescent="0.2">
      <c r="A309" s="2">
        <v>998</v>
      </c>
      <c r="B309" s="1" t="s">
        <v>45</v>
      </c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3">
        <v>45205</v>
      </c>
      <c r="P309" s="1"/>
      <c r="Q309" s="3">
        <v>41050</v>
      </c>
      <c r="R309" s="3">
        <v>46120</v>
      </c>
      <c r="S309" s="1" t="s">
        <v>8</v>
      </c>
      <c r="T309" s="1"/>
      <c r="U309" s="1"/>
      <c r="V309" s="1"/>
      <c r="W309" s="1"/>
      <c r="X309" s="1"/>
      <c r="Y309" s="1"/>
      <c r="Z309" s="1"/>
    </row>
    <row r="310" spans="1:26" x14ac:dyDescent="0.2">
      <c r="A310" s="2">
        <v>998</v>
      </c>
      <c r="B310" s="1" t="s">
        <v>47</v>
      </c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 t="s">
        <v>48</v>
      </c>
      <c r="R310" s="2">
        <v>425</v>
      </c>
      <c r="S310" s="1" t="s">
        <v>8</v>
      </c>
      <c r="T310" s="1"/>
      <c r="U310" s="1"/>
      <c r="V310" s="1"/>
      <c r="W310" s="1"/>
      <c r="X310" s="1"/>
      <c r="Y310" s="1"/>
      <c r="Z310" s="1"/>
    </row>
    <row r="311" spans="1:26" x14ac:dyDescent="0.2">
      <c r="A311" s="2">
        <v>932</v>
      </c>
      <c r="B311" s="1" t="s">
        <v>45</v>
      </c>
      <c r="C311" s="1"/>
      <c r="D311" s="1"/>
      <c r="E311" s="1"/>
      <c r="F311" s="1"/>
      <c r="G311" s="1"/>
      <c r="H311" s="1"/>
      <c r="I311" s="1"/>
      <c r="J311" s="1"/>
      <c r="K311" s="1"/>
      <c r="L311" s="3">
        <v>55300</v>
      </c>
      <c r="M311" s="3">
        <v>53400</v>
      </c>
      <c r="N311" s="3">
        <v>52400</v>
      </c>
      <c r="O311" s="3">
        <v>53800</v>
      </c>
      <c r="P311" s="1"/>
      <c r="Q311" s="1"/>
      <c r="R311" s="1"/>
      <c r="S311" s="1" t="s">
        <v>10</v>
      </c>
      <c r="T311" s="1"/>
      <c r="U311" s="1"/>
      <c r="V311" s="1"/>
      <c r="W311" s="1"/>
      <c r="X311" s="1"/>
      <c r="Y311" s="1"/>
      <c r="Z311" s="1"/>
    </row>
    <row r="312" spans="1:26" x14ac:dyDescent="0.2">
      <c r="A312" s="2">
        <v>932</v>
      </c>
      <c r="B312" s="1" t="s">
        <v>47</v>
      </c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3">
        <v>1900</v>
      </c>
      <c r="O312" s="3">
        <v>1000</v>
      </c>
      <c r="P312" s="1"/>
      <c r="Q312" s="1"/>
      <c r="R312" s="1"/>
      <c r="S312" s="1" t="s">
        <v>10</v>
      </c>
      <c r="T312" s="1"/>
      <c r="U312" s="1"/>
      <c r="V312" s="1"/>
      <c r="W312" s="1"/>
      <c r="X312" s="1"/>
      <c r="Y312" s="1"/>
      <c r="Z312" s="1"/>
    </row>
    <row r="313" spans="1:26" x14ac:dyDescent="0.2">
      <c r="A313" s="2">
        <v>369</v>
      </c>
      <c r="B313" s="1" t="s">
        <v>52</v>
      </c>
      <c r="C313" s="3">
        <v>42600</v>
      </c>
      <c r="D313" s="3">
        <v>7450</v>
      </c>
      <c r="E313" s="1"/>
      <c r="F313" s="1"/>
      <c r="G313" s="1"/>
      <c r="H313" s="1"/>
      <c r="I313" s="1"/>
      <c r="J313" s="1"/>
      <c r="K313" s="3">
        <v>120190</v>
      </c>
      <c r="L313" s="3">
        <v>9460</v>
      </c>
      <c r="M313" s="3">
        <v>14190</v>
      </c>
      <c r="N313" s="3">
        <v>124920</v>
      </c>
      <c r="O313" s="1" t="s">
        <v>46</v>
      </c>
      <c r="P313" s="1"/>
      <c r="Q313" s="1"/>
      <c r="R313" s="1"/>
      <c r="S313" s="1" t="s">
        <v>4</v>
      </c>
      <c r="T313" s="1"/>
      <c r="U313" s="1"/>
      <c r="V313" s="1"/>
      <c r="W313" s="1"/>
      <c r="X313" s="1"/>
      <c r="Y313" s="1"/>
      <c r="Z313" s="1"/>
    </row>
    <row r="314" spans="1:26" x14ac:dyDescent="0.2">
      <c r="A314" s="2">
        <v>369</v>
      </c>
      <c r="B314" s="1" t="s">
        <v>50</v>
      </c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3">
        <v>5000</v>
      </c>
      <c r="N314" s="1"/>
      <c r="O314" s="1"/>
      <c r="P314" s="1"/>
      <c r="Q314" s="1"/>
      <c r="R314" s="1"/>
      <c r="S314" s="1" t="s">
        <v>4</v>
      </c>
      <c r="T314" s="1"/>
      <c r="U314" s="1"/>
      <c r="V314" s="1"/>
      <c r="W314" s="1"/>
      <c r="X314" s="1"/>
      <c r="Y314" s="1"/>
      <c r="Z314" s="1"/>
    </row>
    <row r="315" spans="1:26" x14ac:dyDescent="0.2">
      <c r="A315" s="2">
        <v>244</v>
      </c>
      <c r="B315" s="1"/>
      <c r="C315" s="3">
        <v>324600</v>
      </c>
      <c r="D315" s="3">
        <v>324600</v>
      </c>
      <c r="E315" s="3">
        <v>324600</v>
      </c>
      <c r="F315" s="3">
        <v>324600</v>
      </c>
      <c r="G315" s="3">
        <v>324600</v>
      </c>
      <c r="H315" s="3">
        <v>324600</v>
      </c>
      <c r="I315" s="3">
        <v>328020</v>
      </c>
      <c r="J315" s="3">
        <v>328020</v>
      </c>
      <c r="K315" s="3">
        <v>328020</v>
      </c>
      <c r="L315" s="3">
        <v>328020</v>
      </c>
      <c r="M315" s="3">
        <v>328020</v>
      </c>
      <c r="N315" s="3">
        <v>328020</v>
      </c>
      <c r="O315" s="1" t="s">
        <v>46</v>
      </c>
      <c r="P315" s="1"/>
      <c r="Q315" s="1"/>
      <c r="R315" s="1"/>
      <c r="S315" s="1" t="s">
        <v>4</v>
      </c>
      <c r="T315" s="1"/>
      <c r="U315" s="1"/>
      <c r="V315" s="1"/>
      <c r="W315" s="1"/>
      <c r="X315" s="1"/>
      <c r="Y315" s="1"/>
      <c r="Z315" s="1"/>
    </row>
    <row r="316" spans="1:26" x14ac:dyDescent="0.2">
      <c r="A316" s="2">
        <v>562</v>
      </c>
      <c r="B316" s="1"/>
      <c r="C316" s="3">
        <v>85120</v>
      </c>
      <c r="D316" s="3">
        <v>85120</v>
      </c>
      <c r="E316" s="3">
        <v>85120</v>
      </c>
      <c r="F316" s="3">
        <v>85120</v>
      </c>
      <c r="G316" s="3">
        <v>85120</v>
      </c>
      <c r="H316" s="3">
        <v>85120</v>
      </c>
      <c r="I316" s="3">
        <v>69940</v>
      </c>
      <c r="J316" s="3">
        <v>69940</v>
      </c>
      <c r="K316" s="3">
        <v>69940</v>
      </c>
      <c r="L316" s="3">
        <v>69940</v>
      </c>
      <c r="M316" s="3">
        <v>69940</v>
      </c>
      <c r="N316" s="3">
        <v>69940</v>
      </c>
      <c r="O316" s="1" t="s">
        <v>46</v>
      </c>
      <c r="P316" s="1"/>
      <c r="Q316" s="1"/>
      <c r="R316" s="1"/>
      <c r="S316" s="1" t="s">
        <v>4</v>
      </c>
      <c r="T316" s="1"/>
      <c r="U316" s="1"/>
      <c r="V316" s="1"/>
      <c r="W316" s="1"/>
      <c r="X316" s="1"/>
      <c r="Y316" s="1"/>
      <c r="Z316" s="1"/>
    </row>
    <row r="317" spans="1:26" x14ac:dyDescent="0.2">
      <c r="A317" s="2">
        <v>886</v>
      </c>
      <c r="B317" s="1"/>
      <c r="C317" s="1"/>
      <c r="D317" s="1"/>
      <c r="E317" s="1"/>
      <c r="F317" s="1"/>
      <c r="G317" s="1"/>
      <c r="H317" s="1"/>
      <c r="I317" s="1"/>
      <c r="J317" s="3">
        <v>406720</v>
      </c>
      <c r="K317" s="3">
        <v>106543.34</v>
      </c>
      <c r="L317" s="3">
        <v>26020</v>
      </c>
      <c r="M317" s="3">
        <v>26020</v>
      </c>
      <c r="N317" s="3">
        <v>26020</v>
      </c>
      <c r="O317" s="1" t="s">
        <v>46</v>
      </c>
      <c r="P317" s="1"/>
      <c r="Q317" s="1"/>
      <c r="R317" s="1"/>
      <c r="S317" s="1" t="s">
        <v>4</v>
      </c>
      <c r="T317" s="1"/>
      <c r="U317" s="1"/>
      <c r="V317" s="1"/>
      <c r="W317" s="1"/>
      <c r="X317" s="1"/>
      <c r="Y317" s="1"/>
      <c r="Z317" s="1"/>
    </row>
    <row r="318" spans="1:26" x14ac:dyDescent="0.2">
      <c r="A318" s="2">
        <v>866</v>
      </c>
      <c r="B318" s="1"/>
      <c r="C318" s="1"/>
      <c r="D318" s="1"/>
      <c r="E318" s="1"/>
      <c r="F318" s="1"/>
      <c r="G318" s="1"/>
      <c r="H318" s="1"/>
      <c r="I318" s="1"/>
      <c r="J318" s="3">
        <v>82000</v>
      </c>
      <c r="K318" s="3">
        <v>94870</v>
      </c>
      <c r="L318" s="3">
        <v>87940</v>
      </c>
      <c r="M318" s="3">
        <v>105550</v>
      </c>
      <c r="N318" s="3">
        <v>94450</v>
      </c>
      <c r="O318" s="3">
        <v>103070</v>
      </c>
      <c r="P318" s="1"/>
      <c r="Q318" s="1"/>
      <c r="R318" s="1"/>
      <c r="S318" s="1" t="s">
        <v>6</v>
      </c>
      <c r="T318" s="1"/>
      <c r="U318" s="1"/>
      <c r="V318" s="1"/>
      <c r="W318" s="1"/>
      <c r="X318" s="1"/>
      <c r="Y318" s="1"/>
      <c r="Z318" s="1"/>
    </row>
    <row r="319" spans="1:26" x14ac:dyDescent="0.2">
      <c r="A319" s="2">
        <v>997</v>
      </c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 t="s">
        <v>6</v>
      </c>
      <c r="T319" s="1"/>
      <c r="U319" s="1"/>
      <c r="V319" s="1"/>
      <c r="W319" s="1"/>
      <c r="X319" s="1"/>
      <c r="Y319" s="1"/>
      <c r="Z319" s="1"/>
    </row>
    <row r="320" spans="1:26" x14ac:dyDescent="0.2">
      <c r="A320" s="2">
        <v>954</v>
      </c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3">
        <v>135000</v>
      </c>
      <c r="N320" s="3">
        <v>135000</v>
      </c>
      <c r="O320" s="3">
        <v>135000</v>
      </c>
      <c r="P320" s="3">
        <v>35000</v>
      </c>
      <c r="Q320" s="1" t="s">
        <v>48</v>
      </c>
      <c r="R320" s="1" t="s">
        <v>48</v>
      </c>
      <c r="S320" s="1" t="s">
        <v>6</v>
      </c>
      <c r="T320" s="1"/>
      <c r="U320" s="1"/>
      <c r="V320" s="1"/>
      <c r="W320" s="1"/>
      <c r="X320" s="1"/>
      <c r="Y320" s="1"/>
      <c r="Z320" s="1"/>
    </row>
    <row r="321" spans="1:26" x14ac:dyDescent="0.2">
      <c r="A321" s="2">
        <v>873</v>
      </c>
      <c r="B321" s="1"/>
      <c r="C321" s="1"/>
      <c r="D321" s="1"/>
      <c r="E321" s="1"/>
      <c r="F321" s="1"/>
      <c r="G321" s="1"/>
      <c r="H321" s="1"/>
      <c r="I321" s="1"/>
      <c r="J321" s="3">
        <v>99855</v>
      </c>
      <c r="K321" s="3">
        <v>97775</v>
      </c>
      <c r="L321" s="3">
        <v>97775</v>
      </c>
      <c r="M321" s="3">
        <v>98830</v>
      </c>
      <c r="N321" s="1" t="s">
        <v>46</v>
      </c>
      <c r="O321" s="1"/>
      <c r="P321" s="1"/>
      <c r="Q321" s="1"/>
      <c r="R321" s="1"/>
      <c r="S321" s="1" t="s">
        <v>8</v>
      </c>
      <c r="T321" s="1"/>
      <c r="U321" s="1"/>
      <c r="V321" s="1"/>
      <c r="W321" s="1"/>
      <c r="X321" s="1"/>
      <c r="Y321" s="1"/>
      <c r="Z321" s="1"/>
    </row>
    <row r="322" spans="1:26" x14ac:dyDescent="0.2">
      <c r="A322" s="2">
        <v>900</v>
      </c>
      <c r="B322" s="1" t="s">
        <v>52</v>
      </c>
      <c r="C322" s="1"/>
      <c r="D322" s="1"/>
      <c r="E322" s="1"/>
      <c r="F322" s="1"/>
      <c r="G322" s="1"/>
      <c r="H322" s="1"/>
      <c r="I322" s="1"/>
      <c r="J322" s="1"/>
      <c r="K322" s="3">
        <v>50350</v>
      </c>
      <c r="L322" s="3">
        <v>50200</v>
      </c>
      <c r="M322" s="1" t="s">
        <v>46</v>
      </c>
      <c r="N322" s="1"/>
      <c r="O322" s="1"/>
      <c r="P322" s="1"/>
      <c r="Q322" s="1"/>
      <c r="R322" s="1"/>
      <c r="S322" s="1" t="s">
        <v>10</v>
      </c>
      <c r="T322" s="1"/>
      <c r="U322" s="1"/>
      <c r="V322" s="1"/>
      <c r="W322" s="1"/>
      <c r="X322" s="1"/>
      <c r="Y322" s="1"/>
      <c r="Z322" s="1"/>
    </row>
    <row r="323" spans="1:26" x14ac:dyDescent="0.2">
      <c r="A323" s="2">
        <v>900</v>
      </c>
      <c r="B323" s="1" t="s">
        <v>50</v>
      </c>
      <c r="C323" s="1"/>
      <c r="D323" s="1"/>
      <c r="E323" s="1"/>
      <c r="F323" s="1"/>
      <c r="G323" s="1"/>
      <c r="H323" s="1"/>
      <c r="I323" s="1"/>
      <c r="J323" s="1"/>
      <c r="K323" s="3">
        <v>17475</v>
      </c>
      <c r="L323" s="3">
        <v>17475</v>
      </c>
      <c r="M323" s="1" t="s">
        <v>46</v>
      </c>
      <c r="N323" s="1"/>
      <c r="O323" s="1"/>
      <c r="P323" s="1"/>
      <c r="Q323" s="1"/>
      <c r="R323" s="1"/>
      <c r="S323" s="1" t="s">
        <v>10</v>
      </c>
      <c r="T323" s="1"/>
      <c r="U323" s="1"/>
      <c r="V323" s="1"/>
      <c r="W323" s="1"/>
      <c r="X323" s="1"/>
      <c r="Y323" s="1"/>
      <c r="Z323" s="1"/>
    </row>
    <row r="324" spans="1:26" x14ac:dyDescent="0.2">
      <c r="A324" s="2">
        <v>273</v>
      </c>
      <c r="B324" s="1" t="s">
        <v>52</v>
      </c>
      <c r="C324" s="3">
        <v>106800</v>
      </c>
      <c r="D324" s="3">
        <v>106800</v>
      </c>
      <c r="E324" s="3">
        <v>106800</v>
      </c>
      <c r="F324" s="3">
        <v>106800</v>
      </c>
      <c r="G324" s="3">
        <v>133405</v>
      </c>
      <c r="H324" s="3">
        <v>131405</v>
      </c>
      <c r="I324" s="3">
        <v>131405</v>
      </c>
      <c r="J324" s="3">
        <v>131405</v>
      </c>
      <c r="K324" s="3">
        <v>131405</v>
      </c>
      <c r="L324" s="3">
        <v>131405</v>
      </c>
      <c r="M324" s="3">
        <v>131405</v>
      </c>
      <c r="N324" s="3">
        <v>131405</v>
      </c>
      <c r="O324" s="3">
        <v>131405</v>
      </c>
      <c r="P324" s="3">
        <v>131405</v>
      </c>
      <c r="Q324" s="3">
        <v>131405</v>
      </c>
      <c r="R324" s="3">
        <v>131405</v>
      </c>
      <c r="S324" s="1" t="s">
        <v>6</v>
      </c>
      <c r="T324" s="1"/>
      <c r="U324" s="1"/>
      <c r="V324" s="1"/>
      <c r="W324" s="1"/>
      <c r="X324" s="1"/>
      <c r="Y324" s="1"/>
      <c r="Z324" s="1"/>
    </row>
    <row r="325" spans="1:26" x14ac:dyDescent="0.2">
      <c r="A325" s="2">
        <v>899</v>
      </c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3">
        <v>103460</v>
      </c>
      <c r="M325" s="3">
        <v>89060</v>
      </c>
      <c r="N325" s="3">
        <v>89060</v>
      </c>
      <c r="O325" s="3">
        <v>44100</v>
      </c>
      <c r="P325" s="1"/>
      <c r="Q325" s="1"/>
      <c r="R325" s="1"/>
      <c r="S325" s="1" t="s">
        <v>4</v>
      </c>
      <c r="T325" s="1"/>
      <c r="U325" s="1"/>
      <c r="V325" s="1"/>
      <c r="W325" s="1"/>
      <c r="X325" s="1"/>
      <c r="Y325" s="1"/>
      <c r="Z325" s="1"/>
    </row>
    <row r="326" spans="1:26" x14ac:dyDescent="0.2">
      <c r="A326" s="2">
        <v>1015</v>
      </c>
      <c r="B326" s="1" t="s">
        <v>45</v>
      </c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3">
        <v>103700</v>
      </c>
      <c r="P326" s="3">
        <v>15000</v>
      </c>
      <c r="Q326" s="1"/>
      <c r="R326" s="1"/>
      <c r="S326" s="1" t="s">
        <v>10</v>
      </c>
      <c r="T326" s="1"/>
      <c r="U326" s="1"/>
      <c r="V326" s="1"/>
      <c r="W326" s="1"/>
      <c r="X326" s="1"/>
      <c r="Y326" s="1"/>
      <c r="Z326" s="1"/>
    </row>
    <row r="327" spans="1:26" x14ac:dyDescent="0.2">
      <c r="A327" s="2">
        <v>1015</v>
      </c>
      <c r="B327" s="1" t="s">
        <v>47</v>
      </c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3">
        <v>60000</v>
      </c>
      <c r="P327" s="1"/>
      <c r="Q327" s="1"/>
      <c r="R327" s="1"/>
      <c r="S327" s="1" t="s">
        <v>10</v>
      </c>
      <c r="T327" s="1"/>
      <c r="U327" s="1"/>
      <c r="V327" s="1"/>
      <c r="W327" s="1"/>
      <c r="X327" s="1"/>
      <c r="Y327" s="1"/>
      <c r="Z327" s="1"/>
    </row>
    <row r="328" spans="1:26" x14ac:dyDescent="0.2">
      <c r="A328" s="2">
        <v>977</v>
      </c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3">
        <v>78600</v>
      </c>
      <c r="O328" s="3">
        <v>68600</v>
      </c>
      <c r="P328" s="3">
        <v>68600</v>
      </c>
      <c r="Q328" s="3">
        <v>68600</v>
      </c>
      <c r="R328" s="3">
        <v>71900</v>
      </c>
      <c r="S328" s="1" t="s">
        <v>11</v>
      </c>
      <c r="T328" s="1"/>
      <c r="U328" s="1"/>
      <c r="V328" s="1"/>
      <c r="W328" s="1"/>
      <c r="X328" s="1"/>
      <c r="Y328" s="1"/>
      <c r="Z328" s="1"/>
    </row>
    <row r="329" spans="1:26" x14ac:dyDescent="0.2">
      <c r="A329" s="2">
        <v>630</v>
      </c>
      <c r="B329" s="1" t="s">
        <v>45</v>
      </c>
      <c r="C329" s="1"/>
      <c r="D329" s="1"/>
      <c r="E329" s="3">
        <v>41500</v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 t="s">
        <v>10</v>
      </c>
      <c r="T329" s="1"/>
      <c r="U329" s="1"/>
      <c r="V329" s="1"/>
      <c r="W329" s="1"/>
      <c r="X329" s="1"/>
      <c r="Y329" s="1"/>
      <c r="Z329" s="1"/>
    </row>
    <row r="330" spans="1:26" x14ac:dyDescent="0.2">
      <c r="A330" s="2">
        <v>630</v>
      </c>
      <c r="B330" s="1" t="s">
        <v>47</v>
      </c>
      <c r="C330" s="3">
        <v>54640</v>
      </c>
      <c r="D330" s="3">
        <v>54165</v>
      </c>
      <c r="E330" s="3">
        <v>8140</v>
      </c>
      <c r="F330" s="3">
        <v>47085</v>
      </c>
      <c r="G330" s="3">
        <v>47040</v>
      </c>
      <c r="H330" s="3">
        <v>42185</v>
      </c>
      <c r="I330" s="3">
        <v>43510</v>
      </c>
      <c r="J330" s="3">
        <v>37325</v>
      </c>
      <c r="K330" s="3">
        <v>32930</v>
      </c>
      <c r="L330" s="3">
        <v>35855</v>
      </c>
      <c r="M330" s="3">
        <v>39405</v>
      </c>
      <c r="N330" s="3">
        <v>32375</v>
      </c>
      <c r="O330" s="3">
        <v>28175</v>
      </c>
      <c r="P330" s="1"/>
      <c r="Q330" s="1"/>
      <c r="R330" s="1"/>
      <c r="S330" s="1" t="s">
        <v>10</v>
      </c>
      <c r="T330" s="1"/>
      <c r="U330" s="1"/>
      <c r="V330" s="1"/>
      <c r="W330" s="1"/>
      <c r="X330" s="1"/>
      <c r="Y330" s="1"/>
      <c r="Z330" s="1"/>
    </row>
    <row r="331" spans="1:26" x14ac:dyDescent="0.2">
      <c r="A331" s="2">
        <v>914</v>
      </c>
      <c r="B331" s="1" t="s">
        <v>45</v>
      </c>
      <c r="C331" s="1"/>
      <c r="D331" s="1"/>
      <c r="E331" s="1"/>
      <c r="F331" s="1"/>
      <c r="G331" s="1"/>
      <c r="H331" s="1"/>
      <c r="I331" s="1"/>
      <c r="J331" s="1"/>
      <c r="K331" s="1"/>
      <c r="L331" s="3">
        <v>52778</v>
      </c>
      <c r="M331" s="3">
        <v>78987</v>
      </c>
      <c r="N331" s="3">
        <v>78987</v>
      </c>
      <c r="O331" s="1" t="s">
        <v>46</v>
      </c>
      <c r="P331" s="1"/>
      <c r="Q331" s="1"/>
      <c r="R331" s="1"/>
      <c r="S331" s="1" t="s">
        <v>6</v>
      </c>
      <c r="T331" s="1"/>
      <c r="U331" s="1"/>
      <c r="V331" s="1"/>
      <c r="W331" s="1"/>
      <c r="X331" s="1"/>
      <c r="Y331" s="1"/>
      <c r="Z331" s="1"/>
    </row>
    <row r="332" spans="1:26" x14ac:dyDescent="0.2">
      <c r="A332" s="2">
        <v>914</v>
      </c>
      <c r="B332" s="1" t="s">
        <v>47</v>
      </c>
      <c r="C332" s="1"/>
      <c r="D332" s="1"/>
      <c r="E332" s="1"/>
      <c r="F332" s="1"/>
      <c r="G332" s="1"/>
      <c r="H332" s="1"/>
      <c r="I332" s="1"/>
      <c r="J332" s="1"/>
      <c r="K332" s="1"/>
      <c r="L332" s="3">
        <v>79167</v>
      </c>
      <c r="M332" s="3">
        <v>52658</v>
      </c>
      <c r="N332" s="3">
        <v>52658</v>
      </c>
      <c r="O332" s="1" t="s">
        <v>46</v>
      </c>
      <c r="P332" s="1"/>
      <c r="Q332" s="1"/>
      <c r="R332" s="1"/>
      <c r="S332" s="1" t="s">
        <v>6</v>
      </c>
      <c r="T332" s="1"/>
      <c r="U332" s="1"/>
      <c r="V332" s="1"/>
      <c r="W332" s="1"/>
      <c r="X332" s="1"/>
      <c r="Y332" s="1"/>
      <c r="Z332" s="1"/>
    </row>
    <row r="333" spans="1:26" x14ac:dyDescent="0.2">
      <c r="A333" s="2">
        <v>914</v>
      </c>
      <c r="B333" s="1" t="s">
        <v>50</v>
      </c>
      <c r="C333" s="1"/>
      <c r="D333" s="1"/>
      <c r="E333" s="1"/>
      <c r="F333" s="1"/>
      <c r="G333" s="1"/>
      <c r="H333" s="1"/>
      <c r="I333" s="1"/>
      <c r="J333" s="1"/>
      <c r="K333" s="1"/>
      <c r="L333" s="1" t="s">
        <v>48</v>
      </c>
      <c r="M333" s="1" t="s">
        <v>48</v>
      </c>
      <c r="N333" s="1" t="s">
        <v>48</v>
      </c>
      <c r="O333" s="1" t="s">
        <v>46</v>
      </c>
      <c r="P333" s="1"/>
      <c r="Q333" s="1"/>
      <c r="R333" s="1"/>
      <c r="S333" s="1" t="s">
        <v>6</v>
      </c>
      <c r="T333" s="1"/>
      <c r="U333" s="1"/>
      <c r="V333" s="1"/>
      <c r="W333" s="1"/>
      <c r="X333" s="1"/>
      <c r="Y333" s="1"/>
      <c r="Z333" s="1"/>
    </row>
    <row r="334" spans="1:26" x14ac:dyDescent="0.2">
      <c r="A334" s="2">
        <v>976</v>
      </c>
      <c r="B334" s="1" t="s">
        <v>45</v>
      </c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3">
        <v>48360</v>
      </c>
      <c r="O334" s="1" t="s">
        <v>46</v>
      </c>
      <c r="P334" s="1"/>
      <c r="Q334" s="1"/>
      <c r="R334" s="1"/>
      <c r="S334" s="1" t="s">
        <v>6</v>
      </c>
      <c r="T334" s="1"/>
      <c r="U334" s="1"/>
      <c r="V334" s="1"/>
      <c r="W334" s="1"/>
      <c r="X334" s="1"/>
      <c r="Y334" s="1"/>
      <c r="Z334" s="1"/>
    </row>
    <row r="335" spans="1:26" x14ac:dyDescent="0.2">
      <c r="A335" s="2">
        <v>976</v>
      </c>
      <c r="B335" s="1" t="s">
        <v>47</v>
      </c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3">
        <v>32240</v>
      </c>
      <c r="O335" s="1" t="s">
        <v>46</v>
      </c>
      <c r="P335" s="1"/>
      <c r="Q335" s="1"/>
      <c r="R335" s="1"/>
      <c r="S335" s="1" t="s">
        <v>6</v>
      </c>
      <c r="T335" s="1"/>
      <c r="U335" s="1"/>
      <c r="V335" s="1"/>
      <c r="W335" s="1"/>
      <c r="X335" s="1"/>
      <c r="Y335" s="1"/>
      <c r="Z335" s="1"/>
    </row>
    <row r="336" spans="1:26" x14ac:dyDescent="0.2">
      <c r="A336" s="2">
        <v>1012</v>
      </c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3">
        <v>98492</v>
      </c>
      <c r="P336" s="3">
        <v>109442.52</v>
      </c>
      <c r="Q336" s="1"/>
      <c r="R336" s="1"/>
      <c r="S336" s="1" t="s">
        <v>24</v>
      </c>
      <c r="T336" s="1"/>
      <c r="U336" s="1"/>
      <c r="V336" s="1"/>
      <c r="W336" s="1"/>
      <c r="X336" s="1"/>
      <c r="Y336" s="1"/>
      <c r="Z336" s="1"/>
    </row>
    <row r="337" spans="1:26" x14ac:dyDescent="0.2">
      <c r="A337" s="2">
        <v>199</v>
      </c>
      <c r="B337" s="1" t="s">
        <v>45</v>
      </c>
      <c r="C337" s="1"/>
      <c r="D337" s="1"/>
      <c r="E337" s="3">
        <v>27735</v>
      </c>
      <c r="F337" s="3">
        <v>40770</v>
      </c>
      <c r="G337" s="3">
        <v>38870</v>
      </c>
      <c r="H337" s="3">
        <v>38980</v>
      </c>
      <c r="I337" s="3">
        <v>6800</v>
      </c>
      <c r="J337" s="3">
        <v>6800</v>
      </c>
      <c r="K337" s="3">
        <v>6800</v>
      </c>
      <c r="L337" s="3">
        <v>6800</v>
      </c>
      <c r="M337" s="3">
        <v>42450</v>
      </c>
      <c r="N337" s="3">
        <v>40770</v>
      </c>
      <c r="O337" s="1" t="s">
        <v>46</v>
      </c>
      <c r="P337" s="1"/>
      <c r="Q337" s="1"/>
      <c r="R337" s="1"/>
      <c r="S337" s="1" t="s">
        <v>11</v>
      </c>
      <c r="T337" s="1"/>
      <c r="U337" s="1"/>
      <c r="V337" s="1"/>
      <c r="W337" s="1"/>
      <c r="X337" s="1"/>
      <c r="Y337" s="1"/>
      <c r="Z337" s="1"/>
    </row>
    <row r="338" spans="1:26" x14ac:dyDescent="0.2">
      <c r="A338" s="2">
        <v>199</v>
      </c>
      <c r="B338" s="1" t="s">
        <v>47</v>
      </c>
      <c r="C338" s="3">
        <v>25050</v>
      </c>
      <c r="D338" s="3">
        <v>68120</v>
      </c>
      <c r="E338" s="3">
        <v>23735</v>
      </c>
      <c r="F338" s="3">
        <v>5700</v>
      </c>
      <c r="G338" s="3">
        <v>14750</v>
      </c>
      <c r="H338" s="3">
        <v>14750</v>
      </c>
      <c r="I338" s="3">
        <v>2135</v>
      </c>
      <c r="J338" s="3">
        <v>2135</v>
      </c>
      <c r="K338" s="3">
        <v>2135</v>
      </c>
      <c r="L338" s="3">
        <v>2135</v>
      </c>
      <c r="M338" s="3">
        <v>8040</v>
      </c>
      <c r="N338" s="3">
        <v>7125</v>
      </c>
      <c r="O338" s="1" t="s">
        <v>46</v>
      </c>
      <c r="P338" s="1"/>
      <c r="Q338" s="1"/>
      <c r="R338" s="1"/>
      <c r="S338" s="1" t="s">
        <v>11</v>
      </c>
      <c r="T338" s="1"/>
      <c r="U338" s="1"/>
      <c r="V338" s="1"/>
      <c r="W338" s="1"/>
      <c r="X338" s="1"/>
      <c r="Y338" s="1"/>
      <c r="Z338" s="1"/>
    </row>
    <row r="339" spans="1:26" x14ac:dyDescent="0.2">
      <c r="A339" s="2">
        <v>519</v>
      </c>
      <c r="B339" s="1" t="s">
        <v>45</v>
      </c>
      <c r="C339" s="1"/>
      <c r="D339" s="1"/>
      <c r="E339" s="1"/>
      <c r="F339" s="1"/>
      <c r="G339" s="1"/>
      <c r="H339" s="1"/>
      <c r="I339" s="3">
        <v>121500</v>
      </c>
      <c r="J339" s="3">
        <v>112000</v>
      </c>
      <c r="K339" s="3">
        <v>112000</v>
      </c>
      <c r="L339" s="3">
        <v>112000</v>
      </c>
      <c r="M339" s="3">
        <v>121500</v>
      </c>
      <c r="N339" s="3">
        <v>121500</v>
      </c>
      <c r="O339" s="1" t="s">
        <v>46</v>
      </c>
      <c r="P339" s="1"/>
      <c r="Q339" s="1"/>
      <c r="R339" s="1"/>
      <c r="S339" s="1" t="s">
        <v>11</v>
      </c>
      <c r="T339" s="1"/>
      <c r="U339" s="1"/>
      <c r="V339" s="1"/>
      <c r="W339" s="1"/>
      <c r="X339" s="1"/>
      <c r="Y339" s="1"/>
      <c r="Z339" s="1"/>
    </row>
    <row r="340" spans="1:26" x14ac:dyDescent="0.2">
      <c r="A340" s="2">
        <v>519</v>
      </c>
      <c r="B340" s="1" t="s">
        <v>47</v>
      </c>
      <c r="C340" s="3">
        <v>218465</v>
      </c>
      <c r="D340" s="3">
        <v>187125</v>
      </c>
      <c r="E340" s="3">
        <v>88975</v>
      </c>
      <c r="F340" s="1"/>
      <c r="G340" s="1"/>
      <c r="H340" s="1"/>
      <c r="I340" s="3">
        <v>53700</v>
      </c>
      <c r="J340" s="3">
        <v>44750</v>
      </c>
      <c r="K340" s="3">
        <v>44750</v>
      </c>
      <c r="L340" s="1" t="s">
        <v>48</v>
      </c>
      <c r="M340" s="3">
        <v>53700</v>
      </c>
      <c r="N340" s="3">
        <v>44750</v>
      </c>
      <c r="O340" s="1" t="s">
        <v>46</v>
      </c>
      <c r="P340" s="1"/>
      <c r="Q340" s="1"/>
      <c r="R340" s="1"/>
      <c r="S340" s="1" t="s">
        <v>11</v>
      </c>
      <c r="T340" s="1"/>
      <c r="U340" s="1"/>
      <c r="V340" s="1"/>
      <c r="W340" s="1"/>
      <c r="X340" s="1"/>
      <c r="Y340" s="1"/>
      <c r="Z340" s="1"/>
    </row>
    <row r="341" spans="1:26" x14ac:dyDescent="0.2">
      <c r="A341" s="2">
        <v>889</v>
      </c>
      <c r="B341" s="1"/>
      <c r="C341" s="1"/>
      <c r="D341" s="1"/>
      <c r="E341" s="1"/>
      <c r="F341" s="1"/>
      <c r="G341" s="1"/>
      <c r="H341" s="1"/>
      <c r="I341" s="1"/>
      <c r="J341" s="3">
        <v>32075</v>
      </c>
      <c r="K341" s="3">
        <v>63190</v>
      </c>
      <c r="L341" s="3">
        <v>64940</v>
      </c>
      <c r="M341" s="1"/>
      <c r="N341" s="1"/>
      <c r="O341" s="3">
        <v>64620</v>
      </c>
      <c r="P341" s="1"/>
      <c r="Q341" s="1"/>
      <c r="R341" s="1"/>
      <c r="S341" s="1" t="s">
        <v>4</v>
      </c>
      <c r="T341" s="1"/>
      <c r="U341" s="1"/>
      <c r="V341" s="1"/>
      <c r="W341" s="1"/>
      <c r="X341" s="1"/>
      <c r="Y341" s="1"/>
      <c r="Z341" s="1"/>
    </row>
    <row r="342" spans="1:26" x14ac:dyDescent="0.2">
      <c r="A342" s="2">
        <v>956</v>
      </c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3">
        <v>61000</v>
      </c>
      <c r="N342" s="3">
        <v>61000</v>
      </c>
      <c r="O342" s="3">
        <v>61000</v>
      </c>
      <c r="P342" s="3">
        <v>55000</v>
      </c>
      <c r="Q342" s="1"/>
      <c r="R342" s="1"/>
      <c r="S342" s="1" t="s">
        <v>4</v>
      </c>
      <c r="T342" s="1"/>
      <c r="U342" s="1"/>
      <c r="V342" s="1"/>
      <c r="W342" s="1"/>
      <c r="X342" s="1"/>
      <c r="Y342" s="1"/>
      <c r="Z342" s="1"/>
    </row>
    <row r="343" spans="1:26" x14ac:dyDescent="0.2">
      <c r="A343" s="2">
        <v>851</v>
      </c>
      <c r="B343" s="1"/>
      <c r="C343" s="1"/>
      <c r="D343" s="1"/>
      <c r="E343" s="1"/>
      <c r="F343" s="1"/>
      <c r="G343" s="1"/>
      <c r="H343" s="1"/>
      <c r="I343" s="3">
        <v>65980</v>
      </c>
      <c r="J343" s="3">
        <v>70400</v>
      </c>
      <c r="K343" s="3">
        <v>71410</v>
      </c>
      <c r="L343" s="1"/>
      <c r="M343" s="1"/>
      <c r="N343" s="1"/>
      <c r="O343" s="3">
        <v>71410</v>
      </c>
      <c r="P343" s="3">
        <v>40825</v>
      </c>
      <c r="Q343" s="3">
        <v>40825</v>
      </c>
      <c r="R343" s="3">
        <v>40825</v>
      </c>
      <c r="S343" s="1" t="s">
        <v>10</v>
      </c>
      <c r="T343" s="1"/>
      <c r="U343" s="1"/>
      <c r="V343" s="1"/>
      <c r="W343" s="1"/>
      <c r="X343" s="1"/>
      <c r="Y343" s="1"/>
      <c r="Z343" s="1"/>
    </row>
    <row r="344" spans="1:26" x14ac:dyDescent="0.2">
      <c r="A344" s="2">
        <v>1001</v>
      </c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3">
        <v>290000</v>
      </c>
      <c r="P344" s="1"/>
      <c r="Q344" s="1"/>
      <c r="R344" s="1"/>
      <c r="S344" s="1" t="s">
        <v>11</v>
      </c>
      <c r="T344" s="1"/>
      <c r="U344" s="1"/>
      <c r="V344" s="1"/>
      <c r="W344" s="1"/>
      <c r="X344" s="1"/>
      <c r="Y344" s="1"/>
      <c r="Z344" s="1"/>
    </row>
    <row r="345" spans="1:26" x14ac:dyDescent="0.2">
      <c r="A345" s="2">
        <v>448</v>
      </c>
      <c r="B345" s="1" t="s">
        <v>45</v>
      </c>
      <c r="C345" s="3">
        <v>64755.5</v>
      </c>
      <c r="D345" s="3">
        <v>64755.5</v>
      </c>
      <c r="E345" s="3">
        <v>64743</v>
      </c>
      <c r="F345" s="3">
        <v>64743</v>
      </c>
      <c r="G345" s="3">
        <v>64743</v>
      </c>
      <c r="H345" s="3">
        <v>64743</v>
      </c>
      <c r="I345" s="3">
        <v>64743</v>
      </c>
      <c r="J345" s="3">
        <v>64743</v>
      </c>
      <c r="K345" s="3">
        <v>64743</v>
      </c>
      <c r="L345" s="3">
        <v>64743</v>
      </c>
      <c r="M345" s="3">
        <v>64743</v>
      </c>
      <c r="N345" s="3">
        <v>64743</v>
      </c>
      <c r="O345" s="3">
        <v>64743</v>
      </c>
      <c r="P345" s="3">
        <v>64743</v>
      </c>
      <c r="Q345" s="3">
        <v>75540</v>
      </c>
      <c r="R345" s="3">
        <v>108035</v>
      </c>
      <c r="S345" s="1" t="s">
        <v>11</v>
      </c>
      <c r="T345" s="1"/>
      <c r="U345" s="1"/>
      <c r="V345" s="1"/>
      <c r="W345" s="1"/>
      <c r="X345" s="1"/>
      <c r="Y345" s="1"/>
      <c r="Z345" s="1"/>
    </row>
    <row r="346" spans="1:26" x14ac:dyDescent="0.2">
      <c r="A346" s="2">
        <v>448</v>
      </c>
      <c r="B346" s="1" t="s">
        <v>47</v>
      </c>
      <c r="C346" s="3">
        <v>76533.5</v>
      </c>
      <c r="D346" s="3">
        <v>72807</v>
      </c>
      <c r="E346" s="3">
        <v>19158</v>
      </c>
      <c r="F346" s="3">
        <v>70540</v>
      </c>
      <c r="G346" s="3">
        <v>72844</v>
      </c>
      <c r="H346" s="3">
        <v>69870</v>
      </c>
      <c r="I346" s="3">
        <v>75012</v>
      </c>
      <c r="J346" s="3">
        <v>76020</v>
      </c>
      <c r="K346" s="3">
        <v>87496.85</v>
      </c>
      <c r="L346" s="3">
        <v>83707.5</v>
      </c>
      <c r="M346" s="3">
        <v>90966</v>
      </c>
      <c r="N346" s="3">
        <v>89246.65</v>
      </c>
      <c r="O346" s="3">
        <v>92657.1</v>
      </c>
      <c r="P346" s="3">
        <v>91132.95</v>
      </c>
      <c r="Q346" s="3">
        <v>12203</v>
      </c>
      <c r="R346" s="3">
        <v>26386.5</v>
      </c>
      <c r="S346" s="1" t="s">
        <v>11</v>
      </c>
      <c r="T346" s="1"/>
      <c r="U346" s="1"/>
      <c r="V346" s="1"/>
      <c r="W346" s="1"/>
      <c r="X346" s="1"/>
      <c r="Y346" s="1"/>
      <c r="Z346" s="1"/>
    </row>
    <row r="347" spans="1:26" x14ac:dyDescent="0.2">
      <c r="A347" s="2">
        <v>569</v>
      </c>
      <c r="B347" s="1" t="s">
        <v>52</v>
      </c>
      <c r="C347" s="1"/>
      <c r="D347" s="1"/>
      <c r="E347" s="3">
        <v>36415</v>
      </c>
      <c r="F347" s="3">
        <v>36415</v>
      </c>
      <c r="G347" s="3">
        <v>36415</v>
      </c>
      <c r="H347" s="3">
        <v>36415</v>
      </c>
      <c r="I347" s="3">
        <v>36415</v>
      </c>
      <c r="J347" s="3">
        <v>36415</v>
      </c>
      <c r="K347" s="3">
        <v>34225</v>
      </c>
      <c r="L347" s="3">
        <v>34225</v>
      </c>
      <c r="M347" s="3">
        <v>34225</v>
      </c>
      <c r="N347" s="3">
        <v>34225</v>
      </c>
      <c r="O347" s="3">
        <v>34225</v>
      </c>
      <c r="P347" s="3">
        <v>34225</v>
      </c>
      <c r="Q347" s="3">
        <v>40200</v>
      </c>
      <c r="R347" s="3">
        <v>40200</v>
      </c>
      <c r="S347" s="1" t="s">
        <v>11</v>
      </c>
      <c r="T347" s="1"/>
      <c r="U347" s="1"/>
      <c r="V347" s="1"/>
      <c r="W347" s="1"/>
      <c r="X347" s="1"/>
      <c r="Y347" s="1"/>
      <c r="Z347" s="1"/>
    </row>
    <row r="348" spans="1:26" x14ac:dyDescent="0.2">
      <c r="A348" s="2">
        <v>569</v>
      </c>
      <c r="B348" s="1" t="s">
        <v>50</v>
      </c>
      <c r="C348" s="1"/>
      <c r="D348" s="1"/>
      <c r="E348" s="1"/>
      <c r="F348" s="1"/>
      <c r="G348" s="1"/>
      <c r="H348" s="1"/>
      <c r="I348" s="1"/>
      <c r="J348" s="1"/>
      <c r="K348" s="3">
        <v>11210</v>
      </c>
      <c r="L348" s="3">
        <v>17540</v>
      </c>
      <c r="M348" s="3">
        <v>12875</v>
      </c>
      <c r="N348" s="3">
        <v>10765</v>
      </c>
      <c r="O348" s="3">
        <v>14985</v>
      </c>
      <c r="P348" s="3">
        <v>12875</v>
      </c>
      <c r="Q348" s="3">
        <v>16700</v>
      </c>
      <c r="R348" s="3">
        <v>19500</v>
      </c>
      <c r="S348" s="1" t="s">
        <v>11</v>
      </c>
      <c r="T348" s="1"/>
      <c r="U348" s="1"/>
      <c r="V348" s="1"/>
      <c r="W348" s="1"/>
      <c r="X348" s="1"/>
      <c r="Y348" s="1"/>
      <c r="Z348" s="1"/>
    </row>
    <row r="349" spans="1:26" x14ac:dyDescent="0.2">
      <c r="A349" s="2">
        <v>597</v>
      </c>
      <c r="B349" s="1" t="s">
        <v>45</v>
      </c>
      <c r="C349" s="3">
        <v>194850</v>
      </c>
      <c r="D349" s="3">
        <v>190675</v>
      </c>
      <c r="E349" s="3">
        <v>184016</v>
      </c>
      <c r="F349" s="3">
        <v>184016</v>
      </c>
      <c r="G349" s="3">
        <v>184016</v>
      </c>
      <c r="H349" s="3">
        <v>184016</v>
      </c>
      <c r="I349" s="3">
        <v>184016</v>
      </c>
      <c r="J349" s="3">
        <v>184016</v>
      </c>
      <c r="K349" s="3">
        <v>173934</v>
      </c>
      <c r="L349" s="3">
        <v>173619</v>
      </c>
      <c r="M349" s="3">
        <v>173934</v>
      </c>
      <c r="N349" s="3">
        <v>173619</v>
      </c>
      <c r="O349" s="3">
        <v>173934</v>
      </c>
      <c r="P349" s="3">
        <v>173619</v>
      </c>
      <c r="Q349" s="3">
        <v>193215</v>
      </c>
      <c r="R349" s="3">
        <v>203878</v>
      </c>
      <c r="S349" s="1" t="s">
        <v>4</v>
      </c>
      <c r="T349" s="1"/>
      <c r="U349" s="1"/>
      <c r="V349" s="1"/>
      <c r="W349" s="1"/>
      <c r="X349" s="1"/>
      <c r="Y349" s="1"/>
      <c r="Z349" s="1"/>
    </row>
    <row r="350" spans="1:26" x14ac:dyDescent="0.2">
      <c r="A350" s="2">
        <v>597</v>
      </c>
      <c r="B350" s="1" t="s">
        <v>47</v>
      </c>
      <c r="C350" s="3">
        <v>19185.96</v>
      </c>
      <c r="D350" s="3">
        <v>19340.21</v>
      </c>
      <c r="E350" s="3">
        <v>17928.09</v>
      </c>
      <c r="F350" s="3">
        <v>17928.09</v>
      </c>
      <c r="G350" s="3">
        <v>18235.53</v>
      </c>
      <c r="H350" s="3">
        <v>17241.91</v>
      </c>
      <c r="I350" s="3">
        <v>16633.400000000001</v>
      </c>
      <c r="J350" s="3">
        <v>15539.79</v>
      </c>
      <c r="K350" s="3">
        <v>15391.91</v>
      </c>
      <c r="L350" s="3">
        <v>15768.51</v>
      </c>
      <c r="M350" s="3">
        <v>14903.62</v>
      </c>
      <c r="N350" s="3">
        <v>15611.06</v>
      </c>
      <c r="O350" s="3">
        <v>15572.77</v>
      </c>
      <c r="P350" s="3">
        <v>14001</v>
      </c>
      <c r="Q350" s="3">
        <v>17343.46</v>
      </c>
      <c r="R350" s="3">
        <v>15975.34</v>
      </c>
      <c r="S350" s="1" t="s">
        <v>4</v>
      </c>
      <c r="T350" s="1"/>
      <c r="U350" s="1"/>
      <c r="V350" s="1"/>
      <c r="W350" s="1"/>
      <c r="X350" s="1"/>
      <c r="Y350" s="1"/>
      <c r="Z350" s="1"/>
    </row>
    <row r="351" spans="1:26" x14ac:dyDescent="0.2">
      <c r="A351" s="2">
        <v>947</v>
      </c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3">
        <v>88838</v>
      </c>
      <c r="M351" s="3">
        <v>100891</v>
      </c>
      <c r="N351" s="3">
        <v>106346</v>
      </c>
      <c r="O351" s="3">
        <v>70709</v>
      </c>
      <c r="P351" s="3">
        <v>107411</v>
      </c>
      <c r="Q351" s="1"/>
      <c r="R351" s="1"/>
      <c r="S351" s="1" t="s">
        <v>4</v>
      </c>
      <c r="T351" s="1"/>
      <c r="U351" s="1"/>
      <c r="V351" s="1"/>
      <c r="W351" s="1"/>
      <c r="X351" s="1"/>
      <c r="Y351" s="1"/>
      <c r="Z351" s="1"/>
    </row>
    <row r="352" spans="1:26" x14ac:dyDescent="0.2">
      <c r="A352" s="2">
        <v>708</v>
      </c>
      <c r="B352" s="1" t="s">
        <v>45</v>
      </c>
      <c r="C352" s="3">
        <v>343745</v>
      </c>
      <c r="D352" s="3">
        <v>501895</v>
      </c>
      <c r="E352" s="3">
        <v>660475</v>
      </c>
      <c r="F352" s="3">
        <v>743015</v>
      </c>
      <c r="G352" s="3">
        <v>780365</v>
      </c>
      <c r="H352" s="3">
        <v>676860</v>
      </c>
      <c r="I352" s="3">
        <v>142615</v>
      </c>
      <c r="J352" s="3">
        <v>161050</v>
      </c>
      <c r="K352" s="3">
        <v>141875</v>
      </c>
      <c r="L352" s="3">
        <v>141875</v>
      </c>
      <c r="M352" s="3">
        <v>187385</v>
      </c>
      <c r="N352" s="3">
        <v>355915</v>
      </c>
      <c r="O352" s="3">
        <v>356355</v>
      </c>
      <c r="P352" s="3">
        <v>357250</v>
      </c>
      <c r="Q352" s="1"/>
      <c r="R352" s="1"/>
      <c r="S352" s="1" t="s">
        <v>4</v>
      </c>
      <c r="T352" s="1"/>
      <c r="U352" s="1"/>
      <c r="V352" s="1"/>
      <c r="W352" s="1"/>
      <c r="X352" s="1"/>
      <c r="Y352" s="1"/>
      <c r="Z352" s="1"/>
    </row>
    <row r="353" spans="1:26" x14ac:dyDescent="0.2">
      <c r="A353" s="2">
        <v>708</v>
      </c>
      <c r="B353" s="1" t="s">
        <v>47</v>
      </c>
      <c r="C353" s="1"/>
      <c r="D353" s="1"/>
      <c r="E353" s="1"/>
      <c r="F353" s="3">
        <v>9500</v>
      </c>
      <c r="G353" s="3">
        <v>14725</v>
      </c>
      <c r="H353" s="3">
        <v>7125</v>
      </c>
      <c r="I353" s="3">
        <v>2850</v>
      </c>
      <c r="J353" s="3">
        <v>2850</v>
      </c>
      <c r="K353" s="3">
        <v>2850</v>
      </c>
      <c r="L353" s="3">
        <v>2850</v>
      </c>
      <c r="M353" s="3">
        <v>3800</v>
      </c>
      <c r="N353" s="1"/>
      <c r="O353" s="1"/>
      <c r="P353" s="1"/>
      <c r="Q353" s="1"/>
      <c r="R353" s="1"/>
      <c r="S353" s="1" t="s">
        <v>4</v>
      </c>
      <c r="T353" s="1"/>
      <c r="U353" s="1"/>
      <c r="V353" s="1"/>
      <c r="W353" s="1"/>
      <c r="X353" s="1"/>
      <c r="Y353" s="1"/>
      <c r="Z353" s="1"/>
    </row>
    <row r="354" spans="1:26" x14ac:dyDescent="0.2">
      <c r="A354" s="2">
        <v>850</v>
      </c>
      <c r="B354" s="1"/>
      <c r="C354" s="1"/>
      <c r="D354" s="1"/>
      <c r="E354" s="1"/>
      <c r="F354" s="1"/>
      <c r="G354" s="1"/>
      <c r="H354" s="1"/>
      <c r="I354" s="3">
        <v>84015</v>
      </c>
      <c r="J354" s="3">
        <v>78015</v>
      </c>
      <c r="K354" s="3">
        <v>78015</v>
      </c>
      <c r="L354" s="3">
        <v>80505</v>
      </c>
      <c r="M354" s="3">
        <v>80505</v>
      </c>
      <c r="N354" s="3">
        <v>78660</v>
      </c>
      <c r="O354" s="3">
        <v>80505</v>
      </c>
      <c r="P354" s="3">
        <v>76170</v>
      </c>
      <c r="Q354" s="3">
        <v>106433</v>
      </c>
      <c r="R354" s="3">
        <v>106433</v>
      </c>
      <c r="S354" s="1" t="s">
        <v>4</v>
      </c>
      <c r="T354" s="1"/>
      <c r="U354" s="1"/>
      <c r="V354" s="1"/>
      <c r="W354" s="1"/>
      <c r="X354" s="1"/>
      <c r="Y354" s="1"/>
      <c r="Z354" s="1"/>
    </row>
    <row r="355" spans="1:26" x14ac:dyDescent="0.2">
      <c r="A355" s="2">
        <v>958</v>
      </c>
      <c r="B355" s="1" t="s">
        <v>45</v>
      </c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3">
        <v>91450</v>
      </c>
      <c r="N355" s="3">
        <v>83850</v>
      </c>
      <c r="O355" s="3">
        <v>84850</v>
      </c>
      <c r="P355" s="3">
        <v>50250</v>
      </c>
      <c r="Q355" s="1"/>
      <c r="R355" s="1"/>
      <c r="S355" s="1" t="s">
        <v>26</v>
      </c>
      <c r="T355" s="1"/>
      <c r="U355" s="1"/>
      <c r="V355" s="1"/>
      <c r="W355" s="1"/>
      <c r="X355" s="1"/>
      <c r="Y355" s="1"/>
      <c r="Z355" s="1"/>
    </row>
    <row r="356" spans="1:26" x14ac:dyDescent="0.2">
      <c r="A356" s="2">
        <v>962</v>
      </c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3">
        <v>40400</v>
      </c>
      <c r="N356" s="3">
        <v>40600</v>
      </c>
      <c r="O356" s="3">
        <v>43400</v>
      </c>
      <c r="P356" s="3">
        <v>46700</v>
      </c>
      <c r="Q356" s="1"/>
      <c r="R356" s="1"/>
      <c r="S356" s="1" t="s">
        <v>10</v>
      </c>
      <c r="T356" s="1"/>
      <c r="U356" s="1"/>
      <c r="V356" s="1"/>
      <c r="W356" s="1"/>
      <c r="X356" s="1"/>
      <c r="Y356" s="1"/>
      <c r="Z356" s="1"/>
    </row>
    <row r="357" spans="1:26" x14ac:dyDescent="0.2">
      <c r="A357" s="2">
        <v>39</v>
      </c>
      <c r="B357" s="1" t="s">
        <v>45</v>
      </c>
      <c r="C357" s="3">
        <v>137700</v>
      </c>
      <c r="D357" s="3">
        <v>137700</v>
      </c>
      <c r="E357" s="3">
        <v>149206.5</v>
      </c>
      <c r="F357" s="3">
        <v>149206.5</v>
      </c>
      <c r="G357" s="3">
        <v>149206.5</v>
      </c>
      <c r="H357" s="3">
        <v>149206.5</v>
      </c>
      <c r="I357" s="3">
        <v>149206.5</v>
      </c>
      <c r="J357" s="3">
        <v>149206.5</v>
      </c>
      <c r="K357" s="3">
        <v>149206.5</v>
      </c>
      <c r="L357" s="3">
        <v>149206.5</v>
      </c>
      <c r="M357" s="3">
        <v>149206.5</v>
      </c>
      <c r="N357" s="3">
        <v>149206.5</v>
      </c>
      <c r="O357" s="3">
        <v>149206.5</v>
      </c>
      <c r="P357" s="3">
        <v>149206.5</v>
      </c>
      <c r="Q357" s="1"/>
      <c r="R357" s="1"/>
      <c r="S357" s="1" t="s">
        <v>8</v>
      </c>
      <c r="T357" s="1"/>
      <c r="U357" s="1"/>
      <c r="V357" s="1"/>
      <c r="W357" s="1"/>
      <c r="X357" s="1"/>
      <c r="Y357" s="1"/>
      <c r="Z357" s="1"/>
    </row>
    <row r="358" spans="1:26" x14ac:dyDescent="0.2">
      <c r="A358" s="2">
        <v>742</v>
      </c>
      <c r="B358" s="1" t="s">
        <v>45</v>
      </c>
      <c r="C358" s="1"/>
      <c r="D358" s="3">
        <v>126530</v>
      </c>
      <c r="E358" s="3">
        <v>117455</v>
      </c>
      <c r="F358" s="3">
        <v>117455</v>
      </c>
      <c r="G358" s="3">
        <v>117455</v>
      </c>
      <c r="H358" s="3">
        <v>117455</v>
      </c>
      <c r="I358" s="3">
        <v>117455</v>
      </c>
      <c r="J358" s="3">
        <v>117455</v>
      </c>
      <c r="K358" s="3">
        <v>117455</v>
      </c>
      <c r="L358" s="3">
        <v>140535</v>
      </c>
      <c r="M358" s="3">
        <v>117455</v>
      </c>
      <c r="N358" s="3">
        <v>117455</v>
      </c>
      <c r="O358" s="1"/>
      <c r="P358" s="3">
        <v>130750</v>
      </c>
      <c r="Q358" s="3">
        <v>147680</v>
      </c>
      <c r="R358" s="3">
        <v>147680</v>
      </c>
      <c r="S358" s="1" t="s">
        <v>8</v>
      </c>
      <c r="T358" s="1"/>
      <c r="U358" s="1"/>
      <c r="V358" s="1"/>
      <c r="W358" s="1"/>
      <c r="X358" s="1"/>
      <c r="Y358" s="1"/>
      <c r="Z358" s="1"/>
    </row>
    <row r="359" spans="1:26" x14ac:dyDescent="0.2">
      <c r="A359" s="2">
        <v>742</v>
      </c>
      <c r="B359" s="1" t="s">
        <v>47</v>
      </c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3">
        <v>3500</v>
      </c>
      <c r="S359" s="1" t="s">
        <v>8</v>
      </c>
      <c r="T359" s="1"/>
      <c r="U359" s="1"/>
      <c r="V359" s="1"/>
      <c r="W359" s="1"/>
      <c r="X359" s="1"/>
      <c r="Y359" s="1"/>
      <c r="Z359" s="1"/>
    </row>
    <row r="360" spans="1:26" x14ac:dyDescent="0.2">
      <c r="A360" s="2">
        <v>772</v>
      </c>
      <c r="B360" s="1" t="s">
        <v>45</v>
      </c>
      <c r="C360" s="1"/>
      <c r="D360" s="1"/>
      <c r="E360" s="3">
        <v>45570</v>
      </c>
      <c r="F360" s="3">
        <v>42570</v>
      </c>
      <c r="G360" s="3">
        <v>42570</v>
      </c>
      <c r="H360" s="3">
        <v>44680</v>
      </c>
      <c r="I360" s="3">
        <v>44680</v>
      </c>
      <c r="J360" s="3">
        <v>44680</v>
      </c>
      <c r="K360" s="3">
        <v>44680</v>
      </c>
      <c r="L360" s="3">
        <v>44680</v>
      </c>
      <c r="M360" s="3">
        <v>46790</v>
      </c>
      <c r="N360" s="3">
        <v>46790</v>
      </c>
      <c r="O360" s="3">
        <v>46790</v>
      </c>
      <c r="P360" s="3">
        <v>46790</v>
      </c>
      <c r="Q360" s="3">
        <v>62500</v>
      </c>
      <c r="R360" s="3">
        <v>62500</v>
      </c>
      <c r="S360" s="1" t="s">
        <v>8</v>
      </c>
      <c r="T360" s="1"/>
      <c r="U360" s="1"/>
      <c r="V360" s="1"/>
      <c r="W360" s="1"/>
      <c r="X360" s="1"/>
      <c r="Y360" s="1"/>
      <c r="Z360" s="1"/>
    </row>
    <row r="361" spans="1:26" x14ac:dyDescent="0.2">
      <c r="A361" s="2">
        <v>772</v>
      </c>
      <c r="B361" s="1" t="s">
        <v>47</v>
      </c>
      <c r="C361" s="1"/>
      <c r="D361" s="1"/>
      <c r="E361" s="3">
        <v>1055</v>
      </c>
      <c r="F361" s="3">
        <v>6620</v>
      </c>
      <c r="G361" s="3">
        <v>6860</v>
      </c>
      <c r="H361" s="3">
        <v>2400</v>
      </c>
      <c r="I361" s="3">
        <v>17745</v>
      </c>
      <c r="J361" s="3">
        <v>14770</v>
      </c>
      <c r="K361" s="3">
        <v>15825</v>
      </c>
      <c r="L361" s="3">
        <v>15060</v>
      </c>
      <c r="M361" s="1" t="s">
        <v>48</v>
      </c>
      <c r="N361" s="3">
        <v>18990</v>
      </c>
      <c r="O361" s="3">
        <v>13460</v>
      </c>
      <c r="P361" s="3">
        <v>15570</v>
      </c>
      <c r="Q361" s="3">
        <v>13300</v>
      </c>
      <c r="R361" s="3">
        <v>13300</v>
      </c>
      <c r="S361" s="1" t="s">
        <v>8</v>
      </c>
      <c r="T361" s="1"/>
      <c r="U361" s="1"/>
      <c r="V361" s="1"/>
      <c r="W361" s="1"/>
      <c r="X361" s="1"/>
      <c r="Y361" s="1"/>
      <c r="Z361" s="1"/>
    </row>
    <row r="362" spans="1:26" x14ac:dyDescent="0.2">
      <c r="A362" s="2">
        <v>45</v>
      </c>
      <c r="B362" s="1" t="s">
        <v>45</v>
      </c>
      <c r="C362" s="1"/>
      <c r="D362" s="1"/>
      <c r="E362" s="3">
        <v>22200</v>
      </c>
      <c r="F362" s="3">
        <v>22200</v>
      </c>
      <c r="G362" s="3">
        <v>22200</v>
      </c>
      <c r="H362" s="3">
        <v>22200</v>
      </c>
      <c r="I362" s="3">
        <v>22200</v>
      </c>
      <c r="J362" s="3">
        <v>22200</v>
      </c>
      <c r="K362" s="3">
        <v>22200</v>
      </c>
      <c r="L362" s="3">
        <v>22200</v>
      </c>
      <c r="M362" s="3">
        <v>22200</v>
      </c>
      <c r="N362" s="3">
        <v>22200</v>
      </c>
      <c r="O362" s="3">
        <v>22200</v>
      </c>
      <c r="P362" s="3">
        <v>22200</v>
      </c>
      <c r="Q362" s="1"/>
      <c r="R362" s="1"/>
      <c r="S362" s="1" t="s">
        <v>8</v>
      </c>
      <c r="T362" s="1"/>
      <c r="U362" s="1"/>
      <c r="V362" s="1"/>
      <c r="W362" s="1"/>
      <c r="X362" s="1"/>
      <c r="Y362" s="1"/>
      <c r="Z362" s="1"/>
    </row>
    <row r="363" spans="1:26" x14ac:dyDescent="0.2">
      <c r="A363" s="2">
        <v>45</v>
      </c>
      <c r="B363" s="1" t="s">
        <v>47</v>
      </c>
      <c r="C363" s="3">
        <v>35150</v>
      </c>
      <c r="D363" s="3">
        <v>47400</v>
      </c>
      <c r="E363" s="3">
        <v>26930</v>
      </c>
      <c r="F363" s="3">
        <v>42275</v>
      </c>
      <c r="G363" s="3">
        <v>49440</v>
      </c>
      <c r="H363" s="3">
        <v>36795</v>
      </c>
      <c r="I363" s="3">
        <v>39900</v>
      </c>
      <c r="J363" s="3">
        <v>39435</v>
      </c>
      <c r="K363" s="3">
        <v>48555</v>
      </c>
      <c r="L363" s="3">
        <v>13925</v>
      </c>
      <c r="M363" s="3">
        <v>62890</v>
      </c>
      <c r="N363" s="3">
        <v>74480</v>
      </c>
      <c r="O363" s="3">
        <v>66200</v>
      </c>
      <c r="P363" s="3">
        <v>55330</v>
      </c>
      <c r="Q363" s="1"/>
      <c r="R363" s="1"/>
      <c r="S363" s="1" t="s">
        <v>8</v>
      </c>
      <c r="T363" s="1"/>
      <c r="U363" s="1"/>
      <c r="V363" s="1"/>
      <c r="W363" s="1"/>
      <c r="X363" s="1"/>
      <c r="Y363" s="1"/>
      <c r="Z363" s="1"/>
    </row>
    <row r="364" spans="1:26" x14ac:dyDescent="0.2">
      <c r="A364" s="2">
        <v>46</v>
      </c>
      <c r="B364" s="1"/>
      <c r="C364" s="3">
        <v>37939.5</v>
      </c>
      <c r="D364" s="3">
        <v>37939.5</v>
      </c>
      <c r="E364" s="3">
        <v>39838.5</v>
      </c>
      <c r="F364" s="3">
        <v>39298.5</v>
      </c>
      <c r="G364" s="3">
        <v>39298.5</v>
      </c>
      <c r="H364" s="3">
        <v>39298.5</v>
      </c>
      <c r="I364" s="3">
        <v>39298.5</v>
      </c>
      <c r="J364" s="3">
        <v>39298.5</v>
      </c>
      <c r="K364" s="3">
        <v>39298.5</v>
      </c>
      <c r="L364" s="3">
        <v>39298.5</v>
      </c>
      <c r="M364" s="3">
        <v>39298.5</v>
      </c>
      <c r="N364" s="3">
        <v>39298.5</v>
      </c>
      <c r="O364" s="3">
        <v>39298.5</v>
      </c>
      <c r="P364" s="3">
        <v>39298.5</v>
      </c>
      <c r="Q364" s="1"/>
      <c r="R364" s="1"/>
      <c r="S364" s="1" t="s">
        <v>10</v>
      </c>
      <c r="T364" s="1"/>
      <c r="U364" s="1"/>
      <c r="V364" s="1"/>
      <c r="W364" s="1"/>
      <c r="X364" s="1"/>
      <c r="Y364" s="1"/>
      <c r="Z364" s="1"/>
    </row>
    <row r="365" spans="1:26" x14ac:dyDescent="0.2">
      <c r="A365" s="2">
        <v>49</v>
      </c>
      <c r="B365" s="1"/>
      <c r="C365" s="3">
        <v>85842</v>
      </c>
      <c r="D365" s="3">
        <v>85842</v>
      </c>
      <c r="E365" s="3">
        <v>83358</v>
      </c>
      <c r="F365" s="3">
        <v>83358</v>
      </c>
      <c r="G365" s="3">
        <v>83358</v>
      </c>
      <c r="H365" s="3">
        <v>83358</v>
      </c>
      <c r="I365" s="3">
        <v>83358</v>
      </c>
      <c r="J365" s="3">
        <v>83358</v>
      </c>
      <c r="K365" s="3">
        <v>84582</v>
      </c>
      <c r="L365" s="3">
        <v>84582</v>
      </c>
      <c r="M365" s="3">
        <v>84582</v>
      </c>
      <c r="N365" s="3">
        <v>84582</v>
      </c>
      <c r="O365" s="3">
        <v>84582</v>
      </c>
      <c r="P365" s="3">
        <v>84582</v>
      </c>
      <c r="Q365" s="1"/>
      <c r="R365" s="1"/>
      <c r="S365" s="1" t="s">
        <v>10</v>
      </c>
      <c r="T365" s="1"/>
      <c r="U365" s="1"/>
      <c r="V365" s="1"/>
      <c r="W365" s="1"/>
      <c r="X365" s="1"/>
      <c r="Y365" s="1"/>
      <c r="Z365" s="1"/>
    </row>
    <row r="366" spans="1:26" x14ac:dyDescent="0.2">
      <c r="A366" s="2">
        <v>54</v>
      </c>
      <c r="B366" s="1"/>
      <c r="C366" s="1"/>
      <c r="D366" s="1"/>
      <c r="E366" s="1"/>
      <c r="F366" s="1"/>
      <c r="G366" s="3">
        <v>41067</v>
      </c>
      <c r="H366" s="3">
        <v>38461.5</v>
      </c>
      <c r="I366" s="3">
        <v>32139</v>
      </c>
      <c r="J366" s="3">
        <v>31333.5</v>
      </c>
      <c r="K366" s="3">
        <v>32139</v>
      </c>
      <c r="L366" s="3">
        <v>32139</v>
      </c>
      <c r="M366" s="3">
        <v>49666.5</v>
      </c>
      <c r="N366" s="3">
        <v>50094</v>
      </c>
      <c r="O366" s="3">
        <v>50949</v>
      </c>
      <c r="P366" s="3">
        <v>50949</v>
      </c>
      <c r="Q366" s="1"/>
      <c r="R366" s="1"/>
      <c r="S366" s="1" t="s">
        <v>10</v>
      </c>
      <c r="T366" s="1"/>
      <c r="U366" s="1"/>
      <c r="V366" s="1"/>
      <c r="W366" s="1"/>
      <c r="X366" s="1"/>
      <c r="Y366" s="1"/>
      <c r="Z366" s="1"/>
    </row>
    <row r="367" spans="1:26" x14ac:dyDescent="0.2">
      <c r="A367" s="2">
        <v>966</v>
      </c>
      <c r="B367" s="1" t="s">
        <v>45</v>
      </c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3">
        <v>75700</v>
      </c>
      <c r="Q367" s="3">
        <v>65800</v>
      </c>
      <c r="R367" s="3">
        <v>67000</v>
      </c>
      <c r="S367" s="1" t="s">
        <v>10</v>
      </c>
      <c r="T367" s="1"/>
      <c r="U367" s="1"/>
      <c r="V367" s="1"/>
      <c r="W367" s="1"/>
      <c r="X367" s="1"/>
      <c r="Y367" s="1"/>
      <c r="Z367" s="1"/>
    </row>
    <row r="368" spans="1:26" x14ac:dyDescent="0.2">
      <c r="A368" s="2">
        <v>975</v>
      </c>
      <c r="B368" s="1" t="s">
        <v>45</v>
      </c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3">
        <v>46990</v>
      </c>
      <c r="O368" s="3">
        <v>45520</v>
      </c>
      <c r="P368" s="3">
        <v>50260</v>
      </c>
      <c r="Q368" s="3">
        <v>59773.5</v>
      </c>
      <c r="R368" s="3">
        <v>61006.5</v>
      </c>
      <c r="S368" s="1" t="s">
        <v>10</v>
      </c>
      <c r="T368" s="1"/>
      <c r="U368" s="1"/>
      <c r="V368" s="1"/>
      <c r="W368" s="1"/>
      <c r="X368" s="1"/>
      <c r="Y368" s="1"/>
      <c r="Z368" s="1"/>
    </row>
    <row r="369" spans="1:26" x14ac:dyDescent="0.2">
      <c r="A369" s="2">
        <v>975</v>
      </c>
      <c r="B369" s="1" t="s">
        <v>47</v>
      </c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3">
        <v>2322.34</v>
      </c>
      <c r="O369" s="3">
        <v>3141.49</v>
      </c>
      <c r="P369" s="3">
        <v>4568</v>
      </c>
      <c r="Q369" s="1"/>
      <c r="R369" s="1"/>
      <c r="S369" s="1" t="s">
        <v>10</v>
      </c>
      <c r="T369" s="1"/>
      <c r="U369" s="1"/>
      <c r="V369" s="1"/>
      <c r="W369" s="1"/>
      <c r="X369" s="1"/>
      <c r="Y369" s="1"/>
      <c r="Z369" s="1"/>
    </row>
    <row r="370" spans="1:26" x14ac:dyDescent="0.2">
      <c r="A370" s="2">
        <v>925</v>
      </c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3">
        <v>115260</v>
      </c>
      <c r="M370" s="3">
        <v>132520</v>
      </c>
      <c r="N370" s="3">
        <v>135230</v>
      </c>
      <c r="O370" s="3">
        <v>141750</v>
      </c>
      <c r="P370" s="3">
        <v>156040</v>
      </c>
      <c r="Q370" s="3">
        <v>120025</v>
      </c>
      <c r="R370" s="3">
        <v>43922.5</v>
      </c>
      <c r="S370" s="1" t="s">
        <v>10</v>
      </c>
      <c r="T370" s="1"/>
      <c r="U370" s="1"/>
      <c r="V370" s="1"/>
      <c r="W370" s="1"/>
      <c r="X370" s="1"/>
      <c r="Y370" s="1"/>
      <c r="Z370" s="1"/>
    </row>
    <row r="371" spans="1:26" x14ac:dyDescent="0.2">
      <c r="A371" s="2">
        <v>783</v>
      </c>
      <c r="B371" s="1"/>
      <c r="C371" s="1"/>
      <c r="D371" s="1"/>
      <c r="E371" s="3">
        <v>35000</v>
      </c>
      <c r="F371" s="3">
        <v>35000</v>
      </c>
      <c r="G371" s="3">
        <v>35000</v>
      </c>
      <c r="H371" s="3">
        <v>35000</v>
      </c>
      <c r="I371" s="3">
        <v>35000</v>
      </c>
      <c r="J371" s="3">
        <v>35000</v>
      </c>
      <c r="K371" s="3">
        <v>50000</v>
      </c>
      <c r="L371" s="3">
        <v>50000</v>
      </c>
      <c r="M371" s="3">
        <v>50000</v>
      </c>
      <c r="N371" s="3">
        <v>50000</v>
      </c>
      <c r="O371" s="3">
        <v>50000</v>
      </c>
      <c r="P371" s="3">
        <v>25000</v>
      </c>
      <c r="Q371" s="1"/>
      <c r="R371" s="1"/>
      <c r="S371" s="1" t="s">
        <v>6</v>
      </c>
      <c r="T371" s="1"/>
      <c r="U371" s="1"/>
      <c r="V371" s="1"/>
      <c r="W371" s="1"/>
      <c r="X371" s="1"/>
      <c r="Y371" s="1"/>
      <c r="Z371" s="1"/>
    </row>
    <row r="372" spans="1:26" x14ac:dyDescent="0.2">
      <c r="A372" s="2">
        <v>109</v>
      </c>
      <c r="B372" s="1" t="s">
        <v>45</v>
      </c>
      <c r="C372" s="3">
        <v>94000</v>
      </c>
      <c r="D372" s="3">
        <v>94000</v>
      </c>
      <c r="E372" s="3">
        <v>94000</v>
      </c>
      <c r="F372" s="3">
        <v>94000</v>
      </c>
      <c r="G372" s="3">
        <v>94000</v>
      </c>
      <c r="H372" s="3">
        <v>94000</v>
      </c>
      <c r="I372" s="3">
        <v>94000</v>
      </c>
      <c r="J372" s="3">
        <v>94000</v>
      </c>
      <c r="K372" s="3">
        <v>94000</v>
      </c>
      <c r="L372" s="3">
        <v>94000</v>
      </c>
      <c r="M372" s="3">
        <v>94000</v>
      </c>
      <c r="N372" s="3">
        <v>94000</v>
      </c>
      <c r="O372" s="3">
        <v>94000</v>
      </c>
      <c r="P372" s="3">
        <v>94000</v>
      </c>
      <c r="Q372" s="1"/>
      <c r="R372" s="1"/>
      <c r="S372" s="1" t="s">
        <v>4</v>
      </c>
      <c r="T372" s="1"/>
      <c r="U372" s="1"/>
      <c r="V372" s="1"/>
      <c r="W372" s="1"/>
      <c r="X372" s="1"/>
      <c r="Y372" s="1"/>
      <c r="Z372" s="1"/>
    </row>
    <row r="373" spans="1:26" x14ac:dyDescent="0.2">
      <c r="A373" s="2">
        <v>748</v>
      </c>
      <c r="B373" s="1" t="s">
        <v>45</v>
      </c>
      <c r="C373" s="1"/>
      <c r="D373" s="1"/>
      <c r="E373" s="3">
        <v>125530</v>
      </c>
      <c r="F373" s="3">
        <v>119800</v>
      </c>
      <c r="G373" s="3">
        <v>109925</v>
      </c>
      <c r="H373" s="3">
        <v>114885</v>
      </c>
      <c r="I373" s="3">
        <v>185665</v>
      </c>
      <c r="J373" s="3">
        <v>269360</v>
      </c>
      <c r="K373" s="3">
        <v>268895</v>
      </c>
      <c r="L373" s="3">
        <v>171865</v>
      </c>
      <c r="M373" s="3">
        <v>173765</v>
      </c>
      <c r="N373" s="3">
        <v>197110</v>
      </c>
      <c r="O373" s="3">
        <v>194260</v>
      </c>
      <c r="P373" s="3">
        <v>194735</v>
      </c>
      <c r="Q373" s="1"/>
      <c r="R373" s="3">
        <v>149500</v>
      </c>
      <c r="S373" s="1" t="s">
        <v>4</v>
      </c>
      <c r="T373" s="1"/>
      <c r="U373" s="1"/>
      <c r="V373" s="1"/>
      <c r="W373" s="1"/>
      <c r="X373" s="1"/>
      <c r="Y373" s="1"/>
      <c r="Z373" s="1"/>
    </row>
    <row r="374" spans="1:26" x14ac:dyDescent="0.2">
      <c r="A374" s="2">
        <v>748</v>
      </c>
      <c r="B374" s="1" t="s">
        <v>47</v>
      </c>
      <c r="C374" s="1"/>
      <c r="D374" s="1"/>
      <c r="E374" s="3">
        <v>5700</v>
      </c>
      <c r="F374" s="3">
        <v>9500</v>
      </c>
      <c r="G374" s="3">
        <v>9500</v>
      </c>
      <c r="H374" s="3">
        <v>14250</v>
      </c>
      <c r="I374" s="3">
        <v>37430</v>
      </c>
      <c r="J374" s="3">
        <v>36725</v>
      </c>
      <c r="K374" s="3">
        <v>53825</v>
      </c>
      <c r="L374" s="3">
        <v>28175</v>
      </c>
      <c r="M374" s="3">
        <v>28175</v>
      </c>
      <c r="N374" s="3">
        <v>32925</v>
      </c>
      <c r="O374" s="3">
        <v>32925</v>
      </c>
      <c r="P374" s="3">
        <v>32925</v>
      </c>
      <c r="Q374" s="1"/>
      <c r="R374" s="3">
        <v>7050</v>
      </c>
      <c r="S374" s="1" t="s">
        <v>4</v>
      </c>
      <c r="T374" s="1"/>
      <c r="U374" s="1"/>
      <c r="V374" s="1"/>
      <c r="W374" s="1"/>
      <c r="X374" s="1"/>
      <c r="Y374" s="1"/>
      <c r="Z374" s="1"/>
    </row>
    <row r="375" spans="1:26" x14ac:dyDescent="0.2">
      <c r="A375" s="2">
        <v>112</v>
      </c>
      <c r="B375" s="1"/>
      <c r="C375" s="3">
        <v>202450</v>
      </c>
      <c r="D375" s="3">
        <v>194050</v>
      </c>
      <c r="E375" s="3">
        <v>125000</v>
      </c>
      <c r="F375" s="3">
        <v>222000</v>
      </c>
      <c r="G375" s="3">
        <v>240800</v>
      </c>
      <c r="H375" s="3">
        <v>90090</v>
      </c>
      <c r="I375" s="3">
        <v>117090</v>
      </c>
      <c r="J375" s="3">
        <v>117090</v>
      </c>
      <c r="K375" s="3">
        <v>155090</v>
      </c>
      <c r="L375" s="3">
        <v>162650</v>
      </c>
      <c r="M375" s="3">
        <v>162650</v>
      </c>
      <c r="N375" s="3">
        <v>132410</v>
      </c>
      <c r="O375" s="3">
        <v>132410</v>
      </c>
      <c r="P375" s="3">
        <v>132410</v>
      </c>
      <c r="Q375" s="1"/>
      <c r="R375" s="3">
        <v>136730</v>
      </c>
      <c r="S375" s="1" t="s">
        <v>5</v>
      </c>
      <c r="T375" s="1"/>
      <c r="U375" s="1"/>
      <c r="V375" s="1"/>
      <c r="W375" s="1"/>
      <c r="X375" s="1"/>
      <c r="Y375" s="1"/>
      <c r="Z375" s="1"/>
    </row>
    <row r="376" spans="1:26" x14ac:dyDescent="0.2">
      <c r="A376" s="2">
        <v>656</v>
      </c>
      <c r="B376" s="1" t="s">
        <v>52</v>
      </c>
      <c r="C376" s="1"/>
      <c r="D376" s="1"/>
      <c r="E376" s="1"/>
      <c r="F376" s="1"/>
      <c r="G376" s="3">
        <v>152931</v>
      </c>
      <c r="H376" s="3">
        <v>147231</v>
      </c>
      <c r="I376" s="3">
        <v>147231</v>
      </c>
      <c r="J376" s="3">
        <v>147231</v>
      </c>
      <c r="K376" s="3">
        <v>147231</v>
      </c>
      <c r="L376" s="3">
        <v>147231</v>
      </c>
      <c r="M376" s="3">
        <v>147231</v>
      </c>
      <c r="N376" s="3">
        <v>147231</v>
      </c>
      <c r="O376" s="3">
        <v>120916</v>
      </c>
      <c r="P376" s="3">
        <v>118313</v>
      </c>
      <c r="Q376" s="1"/>
      <c r="R376" s="1"/>
      <c r="S376" s="1" t="s">
        <v>10</v>
      </c>
      <c r="T376" s="1"/>
      <c r="U376" s="1"/>
      <c r="V376" s="1"/>
      <c r="W376" s="1"/>
      <c r="X376" s="1"/>
      <c r="Y376" s="1"/>
      <c r="Z376" s="1"/>
    </row>
    <row r="377" spans="1:26" x14ac:dyDescent="0.2">
      <c r="A377" s="2">
        <v>656</v>
      </c>
      <c r="B377" s="1" t="s">
        <v>50</v>
      </c>
      <c r="C377" s="1"/>
      <c r="D377" s="1"/>
      <c r="E377" s="1"/>
      <c r="F377" s="1"/>
      <c r="G377" s="3">
        <v>16200</v>
      </c>
      <c r="H377" s="3">
        <v>7700</v>
      </c>
      <c r="I377" s="3">
        <v>7200</v>
      </c>
      <c r="J377" s="3">
        <v>7000</v>
      </c>
      <c r="K377" s="3">
        <v>7000</v>
      </c>
      <c r="L377" s="3">
        <v>5000</v>
      </c>
      <c r="M377" s="1" t="s">
        <v>48</v>
      </c>
      <c r="N377" s="3">
        <v>20300</v>
      </c>
      <c r="O377" s="3">
        <v>43000</v>
      </c>
      <c r="P377" s="3">
        <v>38300</v>
      </c>
      <c r="Q377" s="1"/>
      <c r="R377" s="1"/>
      <c r="S377" s="1" t="s">
        <v>10</v>
      </c>
      <c r="T377" s="1"/>
      <c r="U377" s="1"/>
      <c r="V377" s="1"/>
      <c r="W377" s="1"/>
      <c r="X377" s="1"/>
      <c r="Y377" s="1"/>
      <c r="Z377" s="1"/>
    </row>
    <row r="378" spans="1:26" x14ac:dyDescent="0.2">
      <c r="A378" s="2">
        <v>744</v>
      </c>
      <c r="B378" s="1" t="s">
        <v>45</v>
      </c>
      <c r="C378" s="1"/>
      <c r="D378" s="1"/>
      <c r="E378" s="1"/>
      <c r="F378" s="3">
        <v>79800</v>
      </c>
      <c r="G378" s="3">
        <v>82400</v>
      </c>
      <c r="H378" s="3">
        <v>44550</v>
      </c>
      <c r="I378" s="3">
        <v>36100</v>
      </c>
      <c r="J378" s="3">
        <v>36100</v>
      </c>
      <c r="K378" s="3">
        <v>44550</v>
      </c>
      <c r="L378" s="3">
        <v>36100</v>
      </c>
      <c r="M378" s="3">
        <v>36100</v>
      </c>
      <c r="N378" s="3">
        <v>54600</v>
      </c>
      <c r="O378" s="3">
        <v>54600</v>
      </c>
      <c r="P378" s="3">
        <v>54600</v>
      </c>
      <c r="Q378" s="3">
        <v>54600</v>
      </c>
      <c r="R378" s="1"/>
      <c r="S378" s="1" t="s">
        <v>11</v>
      </c>
      <c r="T378" s="1"/>
      <c r="U378" s="1"/>
      <c r="V378" s="1"/>
      <c r="W378" s="1"/>
      <c r="X378" s="1"/>
      <c r="Y378" s="1"/>
      <c r="Z378" s="1"/>
    </row>
    <row r="379" spans="1:26" x14ac:dyDescent="0.2">
      <c r="A379" s="2">
        <v>744</v>
      </c>
      <c r="B379" s="1" t="s">
        <v>47</v>
      </c>
      <c r="C379" s="1"/>
      <c r="D379" s="1"/>
      <c r="E379" s="1"/>
      <c r="F379" s="3">
        <v>11864.42</v>
      </c>
      <c r="G379" s="3">
        <v>10354.549999999999</v>
      </c>
      <c r="H379" s="1" t="s">
        <v>48</v>
      </c>
      <c r="I379" s="3">
        <v>19277.3</v>
      </c>
      <c r="J379" s="3">
        <v>4688</v>
      </c>
      <c r="K379" s="3">
        <v>2311</v>
      </c>
      <c r="L379" s="3">
        <v>13415.32</v>
      </c>
      <c r="M379" s="3">
        <v>7851.06</v>
      </c>
      <c r="N379" s="3">
        <v>2910.64</v>
      </c>
      <c r="O379" s="3">
        <v>8984</v>
      </c>
      <c r="P379" s="3">
        <v>7735.11</v>
      </c>
      <c r="Q379" s="3">
        <v>17707</v>
      </c>
      <c r="R379" s="1"/>
      <c r="S379" s="1" t="s">
        <v>11</v>
      </c>
      <c r="T379" s="1"/>
      <c r="U379" s="1"/>
      <c r="V379" s="1"/>
      <c r="W379" s="1"/>
      <c r="X379" s="1"/>
      <c r="Y379" s="1"/>
      <c r="Z379" s="1"/>
    </row>
    <row r="380" spans="1:26" x14ac:dyDescent="0.2">
      <c r="A380" s="2">
        <v>801</v>
      </c>
      <c r="B380" s="1" t="s">
        <v>52</v>
      </c>
      <c r="C380" s="1"/>
      <c r="D380" s="1"/>
      <c r="E380" s="1"/>
      <c r="F380" s="1"/>
      <c r="G380" s="1"/>
      <c r="H380" s="3">
        <v>126747.25</v>
      </c>
      <c r="I380" s="3">
        <v>114327.25</v>
      </c>
      <c r="J380" s="3">
        <v>112947.25</v>
      </c>
      <c r="K380" s="3">
        <v>113493.5</v>
      </c>
      <c r="L380" s="3">
        <v>113493.5</v>
      </c>
      <c r="M380" s="3">
        <v>113493.5</v>
      </c>
      <c r="N380" s="3">
        <v>82420.5</v>
      </c>
      <c r="O380" s="3">
        <v>82420.5</v>
      </c>
      <c r="P380" s="3">
        <v>82420.5</v>
      </c>
      <c r="Q380" s="1"/>
      <c r="R380" s="1"/>
      <c r="S380" s="1" t="s">
        <v>8</v>
      </c>
      <c r="T380" s="1"/>
      <c r="U380" s="1"/>
      <c r="V380" s="1"/>
      <c r="W380" s="1"/>
      <c r="X380" s="1"/>
      <c r="Y380" s="1"/>
      <c r="Z380" s="1"/>
    </row>
    <row r="381" spans="1:26" x14ac:dyDescent="0.2">
      <c r="A381" s="2">
        <v>801</v>
      </c>
      <c r="B381" s="1" t="s">
        <v>50</v>
      </c>
      <c r="C381" s="1"/>
      <c r="D381" s="1"/>
      <c r="E381" s="1"/>
      <c r="F381" s="1"/>
      <c r="G381" s="1"/>
      <c r="H381" s="3">
        <v>14268.89</v>
      </c>
      <c r="I381" s="3">
        <v>21395.59</v>
      </c>
      <c r="J381" s="3">
        <v>21560</v>
      </c>
      <c r="K381" s="3">
        <v>62135.82</v>
      </c>
      <c r="L381" s="3">
        <v>44629.96</v>
      </c>
      <c r="M381" s="3">
        <v>41079.32</v>
      </c>
      <c r="N381" s="3">
        <v>14549.1</v>
      </c>
      <c r="O381" s="3">
        <v>12232.07</v>
      </c>
      <c r="P381" s="3">
        <v>10801.22</v>
      </c>
      <c r="Q381" s="1"/>
      <c r="R381" s="1"/>
      <c r="S381" s="1" t="s">
        <v>8</v>
      </c>
      <c r="T381" s="1"/>
      <c r="U381" s="1"/>
      <c r="V381" s="1"/>
      <c r="W381" s="1"/>
      <c r="X381" s="1"/>
      <c r="Y381" s="1"/>
      <c r="Z381" s="1"/>
    </row>
    <row r="382" spans="1:26" x14ac:dyDescent="0.2">
      <c r="A382" s="2">
        <v>944</v>
      </c>
      <c r="B382" s="1" t="s">
        <v>45</v>
      </c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3">
        <v>122200</v>
      </c>
      <c r="N382" s="1" t="s">
        <v>46</v>
      </c>
      <c r="O382" s="1"/>
      <c r="P382" s="1"/>
      <c r="Q382" s="1"/>
      <c r="R382" s="1"/>
      <c r="S382" s="1" t="s">
        <v>10</v>
      </c>
      <c r="T382" s="1"/>
      <c r="U382" s="1"/>
      <c r="V382" s="1"/>
      <c r="W382" s="1"/>
      <c r="X382" s="1"/>
      <c r="Y382" s="1"/>
      <c r="Z382" s="1"/>
    </row>
    <row r="383" spans="1:26" x14ac:dyDescent="0.2">
      <c r="A383" s="2">
        <v>944</v>
      </c>
      <c r="B383" s="1" t="s">
        <v>47</v>
      </c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 t="s">
        <v>48</v>
      </c>
      <c r="N383" s="1" t="s">
        <v>46</v>
      </c>
      <c r="O383" s="1"/>
      <c r="P383" s="1"/>
      <c r="Q383" s="1"/>
      <c r="R383" s="1"/>
      <c r="S383" s="1" t="s">
        <v>10</v>
      </c>
      <c r="T383" s="1"/>
      <c r="U383" s="1"/>
      <c r="V383" s="1"/>
      <c r="W383" s="1"/>
      <c r="X383" s="1"/>
      <c r="Y383" s="1"/>
      <c r="Z383" s="1"/>
    </row>
    <row r="384" spans="1:26" x14ac:dyDescent="0.2">
      <c r="A384" s="2">
        <v>887</v>
      </c>
      <c r="B384" s="1" t="s">
        <v>45</v>
      </c>
      <c r="C384" s="1"/>
      <c r="D384" s="1"/>
      <c r="E384" s="1"/>
      <c r="F384" s="1"/>
      <c r="G384" s="1"/>
      <c r="H384" s="1"/>
      <c r="I384" s="1"/>
      <c r="J384" s="1"/>
      <c r="K384" s="3">
        <v>94500</v>
      </c>
      <c r="L384" s="3">
        <v>94500</v>
      </c>
      <c r="M384" s="3">
        <v>94500</v>
      </c>
      <c r="N384" s="3">
        <v>94500</v>
      </c>
      <c r="O384" s="3">
        <v>94500</v>
      </c>
      <c r="P384" s="3">
        <v>94500</v>
      </c>
      <c r="Q384" s="1"/>
      <c r="R384" s="1"/>
      <c r="S384" s="1" t="s">
        <v>8</v>
      </c>
      <c r="T384" s="1"/>
      <c r="U384" s="1"/>
      <c r="V384" s="1"/>
      <c r="W384" s="1"/>
      <c r="X384" s="1"/>
      <c r="Y384" s="1"/>
      <c r="Z384" s="1"/>
    </row>
    <row r="385" spans="1:26" x14ac:dyDescent="0.2">
      <c r="A385" s="2">
        <v>887</v>
      </c>
      <c r="B385" s="1" t="s">
        <v>47</v>
      </c>
      <c r="C385" s="1"/>
      <c r="D385" s="1"/>
      <c r="E385" s="1"/>
      <c r="F385" s="1"/>
      <c r="G385" s="1"/>
      <c r="H385" s="1"/>
      <c r="I385" s="1"/>
      <c r="J385" s="1"/>
      <c r="K385" s="1" t="s">
        <v>48</v>
      </c>
      <c r="L385" s="1" t="s">
        <v>48</v>
      </c>
      <c r="M385" s="1" t="s">
        <v>48</v>
      </c>
      <c r="N385" s="3">
        <v>101400</v>
      </c>
      <c r="O385" s="1" t="s">
        <v>48</v>
      </c>
      <c r="P385" s="1" t="s">
        <v>48</v>
      </c>
      <c r="Q385" s="1"/>
      <c r="R385" s="1"/>
      <c r="S385" s="1" t="s">
        <v>8</v>
      </c>
      <c r="T385" s="1"/>
      <c r="U385" s="1"/>
      <c r="V385" s="1"/>
      <c r="W385" s="1"/>
      <c r="X385" s="1"/>
      <c r="Y385" s="1"/>
      <c r="Z385" s="1"/>
    </row>
    <row r="386" spans="1:26" x14ac:dyDescent="0.2">
      <c r="A386" s="2">
        <v>879</v>
      </c>
      <c r="B386" s="1" t="s">
        <v>45</v>
      </c>
      <c r="C386" s="1"/>
      <c r="D386" s="1"/>
      <c r="E386" s="1"/>
      <c r="F386" s="1"/>
      <c r="G386" s="1"/>
      <c r="H386" s="1"/>
      <c r="I386" s="1"/>
      <c r="J386" s="1"/>
      <c r="K386" s="3">
        <v>66375</v>
      </c>
      <c r="L386" s="3">
        <v>66950</v>
      </c>
      <c r="M386" s="3">
        <v>66475</v>
      </c>
      <c r="N386" s="3">
        <v>66950</v>
      </c>
      <c r="O386" s="3">
        <v>66475</v>
      </c>
      <c r="P386" s="3">
        <v>66950</v>
      </c>
      <c r="Q386" s="1"/>
      <c r="R386" s="3">
        <v>136450</v>
      </c>
      <c r="S386" s="1" t="s">
        <v>10</v>
      </c>
      <c r="T386" s="1"/>
      <c r="U386" s="1"/>
      <c r="V386" s="1"/>
      <c r="W386" s="1"/>
      <c r="X386" s="1"/>
      <c r="Y386" s="1"/>
      <c r="Z386" s="1"/>
    </row>
    <row r="387" spans="1:26" x14ac:dyDescent="0.2">
      <c r="A387" s="2">
        <v>879</v>
      </c>
      <c r="B387" s="1" t="s">
        <v>50</v>
      </c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3">
        <v>50950</v>
      </c>
      <c r="N387" s="3">
        <v>50950</v>
      </c>
      <c r="O387" s="3">
        <v>50950</v>
      </c>
      <c r="P387" s="3">
        <v>57950</v>
      </c>
      <c r="Q387" s="1"/>
      <c r="R387" s="1"/>
      <c r="S387" s="1" t="s">
        <v>10</v>
      </c>
      <c r="T387" s="1"/>
      <c r="U387" s="1"/>
      <c r="V387" s="1"/>
      <c r="W387" s="1"/>
      <c r="X387" s="1"/>
      <c r="Y387" s="1"/>
      <c r="Z387" s="1"/>
    </row>
    <row r="388" spans="1:26" x14ac:dyDescent="0.2">
      <c r="A388" s="2">
        <v>818</v>
      </c>
      <c r="B388" s="1" t="s">
        <v>52</v>
      </c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3">
        <v>285830</v>
      </c>
      <c r="O388" s="3">
        <v>281395</v>
      </c>
      <c r="P388" s="3">
        <v>282170</v>
      </c>
      <c r="Q388" s="3">
        <v>97525</v>
      </c>
      <c r="R388" s="3">
        <v>103945</v>
      </c>
      <c r="S388" s="1" t="s">
        <v>8</v>
      </c>
      <c r="T388" s="1"/>
      <c r="U388" s="1"/>
      <c r="V388" s="1"/>
      <c r="W388" s="1"/>
      <c r="X388" s="1"/>
      <c r="Y388" s="1"/>
      <c r="Z388" s="1"/>
    </row>
    <row r="389" spans="1:26" x14ac:dyDescent="0.2">
      <c r="A389" s="2">
        <v>818</v>
      </c>
      <c r="B389" s="1" t="s">
        <v>50</v>
      </c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 t="s">
        <v>48</v>
      </c>
      <c r="O389" s="3">
        <v>36851.67</v>
      </c>
      <c r="P389" s="3">
        <v>12537.6</v>
      </c>
      <c r="Q389" s="1" t="s">
        <v>48</v>
      </c>
      <c r="R389" s="3">
        <v>5511.7</v>
      </c>
      <c r="S389" s="1" t="s">
        <v>8</v>
      </c>
      <c r="T389" s="1"/>
      <c r="U389" s="1"/>
      <c r="V389" s="1"/>
      <c r="W389" s="1"/>
      <c r="X389" s="1"/>
      <c r="Y389" s="1"/>
      <c r="Z389" s="1"/>
    </row>
    <row r="390" spans="1:26" x14ac:dyDescent="0.2">
      <c r="A390" s="2">
        <v>154</v>
      </c>
      <c r="B390" s="1" t="s">
        <v>52</v>
      </c>
      <c r="C390" s="3">
        <v>57545</v>
      </c>
      <c r="D390" s="3">
        <v>57545</v>
      </c>
      <c r="E390" s="3">
        <v>57545</v>
      </c>
      <c r="F390" s="3">
        <v>57545</v>
      </c>
      <c r="G390" s="3">
        <v>57545</v>
      </c>
      <c r="H390" s="3">
        <v>57545</v>
      </c>
      <c r="I390" s="3">
        <v>57545</v>
      </c>
      <c r="J390" s="3">
        <v>57545</v>
      </c>
      <c r="K390" s="3">
        <v>57545</v>
      </c>
      <c r="L390" s="3">
        <v>57545</v>
      </c>
      <c r="M390" s="3">
        <v>57545</v>
      </c>
      <c r="N390" s="3">
        <v>75100</v>
      </c>
      <c r="O390" s="3">
        <v>75100</v>
      </c>
      <c r="P390" s="3">
        <v>75100</v>
      </c>
      <c r="Q390" s="3">
        <v>75200</v>
      </c>
      <c r="R390" s="3">
        <v>75200</v>
      </c>
      <c r="S390" s="1" t="s">
        <v>6</v>
      </c>
      <c r="T390" s="1"/>
      <c r="U390" s="1"/>
      <c r="V390" s="1"/>
      <c r="W390" s="1"/>
      <c r="X390" s="1"/>
      <c r="Y390" s="1"/>
      <c r="Z390" s="1"/>
    </row>
    <row r="391" spans="1:26" x14ac:dyDescent="0.2">
      <c r="A391" s="2">
        <v>154</v>
      </c>
      <c r="B391" s="1" t="s">
        <v>50</v>
      </c>
      <c r="C391" s="1"/>
      <c r="D391" s="1"/>
      <c r="E391" s="1"/>
      <c r="F391" s="1"/>
      <c r="G391" s="3">
        <v>10000</v>
      </c>
      <c r="H391" s="1" t="s">
        <v>48</v>
      </c>
      <c r="I391" s="1" t="s">
        <v>48</v>
      </c>
      <c r="J391" s="3">
        <v>22000</v>
      </c>
      <c r="K391" s="1" t="s">
        <v>48</v>
      </c>
      <c r="L391" s="3">
        <v>3000</v>
      </c>
      <c r="M391" s="1" t="s">
        <v>48</v>
      </c>
      <c r="N391" s="3">
        <v>5000</v>
      </c>
      <c r="O391" s="1" t="s">
        <v>48</v>
      </c>
      <c r="P391" s="3">
        <v>15200</v>
      </c>
      <c r="Q391" s="1" t="s">
        <v>48</v>
      </c>
      <c r="R391" s="3">
        <v>7500</v>
      </c>
      <c r="S391" s="1" t="s">
        <v>6</v>
      </c>
      <c r="T391" s="1"/>
      <c r="U391" s="1"/>
      <c r="V391" s="1"/>
      <c r="W391" s="1"/>
      <c r="X391" s="1"/>
      <c r="Y391" s="1"/>
      <c r="Z391" s="1"/>
    </row>
    <row r="392" spans="1:26" x14ac:dyDescent="0.2">
      <c r="A392" s="2">
        <v>154</v>
      </c>
      <c r="B392" s="1" t="s">
        <v>50</v>
      </c>
      <c r="C392" s="1"/>
      <c r="D392" s="1"/>
      <c r="E392" s="1"/>
      <c r="F392" s="1"/>
      <c r="G392" s="1"/>
      <c r="H392" s="1"/>
      <c r="I392" s="1"/>
      <c r="J392" s="1"/>
      <c r="K392" s="1"/>
      <c r="L392" s="3">
        <v>10000</v>
      </c>
      <c r="M392" s="1"/>
      <c r="N392" s="1"/>
      <c r="O392" s="1"/>
      <c r="P392" s="1"/>
      <c r="Q392" s="1"/>
      <c r="R392" s="1"/>
      <c r="S392" s="1" t="s">
        <v>6</v>
      </c>
      <c r="T392" s="1"/>
      <c r="U392" s="1"/>
      <c r="V392" s="1"/>
      <c r="W392" s="1"/>
      <c r="X392" s="1"/>
      <c r="Y392" s="1"/>
      <c r="Z392" s="1"/>
    </row>
    <row r="393" spans="1:26" x14ac:dyDescent="0.2">
      <c r="A393" s="2">
        <v>751</v>
      </c>
      <c r="B393" s="1" t="s">
        <v>52</v>
      </c>
      <c r="C393" s="1"/>
      <c r="D393" s="1"/>
      <c r="E393" s="3">
        <v>132100</v>
      </c>
      <c r="F393" s="3">
        <v>135900</v>
      </c>
      <c r="G393" s="3">
        <v>191050</v>
      </c>
      <c r="H393" s="3">
        <v>172250</v>
      </c>
      <c r="I393" s="3">
        <v>131655</v>
      </c>
      <c r="J393" s="3">
        <v>91800</v>
      </c>
      <c r="K393" s="3">
        <v>105100</v>
      </c>
      <c r="L393" s="3">
        <v>152950</v>
      </c>
      <c r="M393" s="3">
        <v>162950</v>
      </c>
      <c r="N393" s="3">
        <v>155600</v>
      </c>
      <c r="O393" s="3">
        <v>154800</v>
      </c>
      <c r="P393" s="3">
        <v>144950</v>
      </c>
      <c r="Q393" s="3">
        <v>106450</v>
      </c>
      <c r="R393" s="3">
        <v>173550</v>
      </c>
      <c r="S393" s="1" t="s">
        <v>4</v>
      </c>
      <c r="T393" s="1"/>
      <c r="U393" s="1"/>
      <c r="V393" s="1"/>
      <c r="W393" s="1"/>
      <c r="X393" s="1"/>
      <c r="Y393" s="1"/>
      <c r="Z393" s="1"/>
    </row>
    <row r="394" spans="1:26" x14ac:dyDescent="0.2">
      <c r="A394" s="2">
        <v>751</v>
      </c>
      <c r="B394" s="1" t="s">
        <v>50</v>
      </c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3">
        <v>46600</v>
      </c>
      <c r="S394" s="1" t="s">
        <v>4</v>
      </c>
      <c r="T394" s="1"/>
      <c r="U394" s="1"/>
      <c r="V394" s="1"/>
      <c r="W394" s="1"/>
      <c r="X394" s="1"/>
      <c r="Y394" s="1"/>
      <c r="Z394" s="1"/>
    </row>
    <row r="395" spans="1:26" x14ac:dyDescent="0.2">
      <c r="A395" s="2">
        <v>747</v>
      </c>
      <c r="B395" s="1" t="s">
        <v>45</v>
      </c>
      <c r="C395" s="1"/>
      <c r="D395" s="1"/>
      <c r="E395" s="3">
        <v>18000</v>
      </c>
      <c r="F395" s="3">
        <v>15500</v>
      </c>
      <c r="G395" s="3">
        <v>25350</v>
      </c>
      <c r="H395" s="3">
        <v>24600</v>
      </c>
      <c r="I395" s="3">
        <v>6200</v>
      </c>
      <c r="J395" s="3">
        <v>17600</v>
      </c>
      <c r="K395" s="3">
        <v>12200</v>
      </c>
      <c r="L395" s="3">
        <v>14600</v>
      </c>
      <c r="M395" s="3">
        <v>18200</v>
      </c>
      <c r="N395" s="3">
        <v>14900</v>
      </c>
      <c r="O395" s="3">
        <v>20900</v>
      </c>
      <c r="P395" s="3">
        <v>16700</v>
      </c>
      <c r="Q395" s="3">
        <v>15750</v>
      </c>
      <c r="R395" s="3">
        <v>22000</v>
      </c>
      <c r="S395" s="1" t="s">
        <v>4</v>
      </c>
      <c r="T395" s="1"/>
      <c r="U395" s="1"/>
      <c r="V395" s="1"/>
      <c r="W395" s="1"/>
      <c r="X395" s="1"/>
      <c r="Y395" s="1"/>
      <c r="Z395" s="1"/>
    </row>
    <row r="396" spans="1:26" x14ac:dyDescent="0.2">
      <c r="A396" s="2">
        <v>746</v>
      </c>
      <c r="B396" s="1"/>
      <c r="C396" s="1"/>
      <c r="D396" s="1"/>
      <c r="E396" s="3">
        <v>17800</v>
      </c>
      <c r="F396" s="3">
        <v>21050</v>
      </c>
      <c r="G396" s="3">
        <v>10650</v>
      </c>
      <c r="H396" s="3">
        <v>18800</v>
      </c>
      <c r="I396" s="3">
        <v>13450</v>
      </c>
      <c r="J396" s="3">
        <v>5300</v>
      </c>
      <c r="K396" s="3">
        <v>13000</v>
      </c>
      <c r="L396" s="3">
        <v>13600</v>
      </c>
      <c r="M396" s="3">
        <v>9000</v>
      </c>
      <c r="N396" s="3">
        <v>16650</v>
      </c>
      <c r="O396" s="3">
        <v>16950</v>
      </c>
      <c r="P396" s="3">
        <v>14700</v>
      </c>
      <c r="Q396" s="3">
        <v>3350</v>
      </c>
      <c r="R396" s="3">
        <v>6550</v>
      </c>
      <c r="S396" s="1" t="s">
        <v>4</v>
      </c>
      <c r="T396" s="1"/>
      <c r="U396" s="1"/>
      <c r="V396" s="1"/>
      <c r="W396" s="1"/>
      <c r="X396" s="1"/>
      <c r="Y396" s="1"/>
      <c r="Z396" s="1"/>
    </row>
    <row r="397" spans="1:26" x14ac:dyDescent="0.2">
      <c r="A397" s="2">
        <v>749</v>
      </c>
      <c r="B397" s="1"/>
      <c r="C397" s="1"/>
      <c r="D397" s="1"/>
      <c r="E397" s="3">
        <v>20300</v>
      </c>
      <c r="F397" s="3">
        <v>31200</v>
      </c>
      <c r="G397" s="3">
        <v>14000</v>
      </c>
      <c r="H397" s="3">
        <v>5150</v>
      </c>
      <c r="I397" s="3">
        <v>7900</v>
      </c>
      <c r="J397" s="3">
        <v>7450</v>
      </c>
      <c r="K397" s="3">
        <v>22650</v>
      </c>
      <c r="L397" s="3">
        <v>12650</v>
      </c>
      <c r="M397" s="3">
        <v>11750</v>
      </c>
      <c r="N397" s="3">
        <v>22050</v>
      </c>
      <c r="O397" s="3">
        <v>18750</v>
      </c>
      <c r="P397" s="3">
        <v>19050</v>
      </c>
      <c r="Q397" s="3">
        <v>9200</v>
      </c>
      <c r="R397" s="3">
        <v>10500</v>
      </c>
      <c r="S397" s="1" t="s">
        <v>4</v>
      </c>
      <c r="T397" s="1"/>
      <c r="U397" s="1"/>
      <c r="V397" s="1"/>
      <c r="W397" s="1"/>
      <c r="X397" s="1"/>
      <c r="Y397" s="1"/>
      <c r="Z397" s="1"/>
    </row>
    <row r="398" spans="1:26" x14ac:dyDescent="0.2">
      <c r="A398" s="2">
        <v>722</v>
      </c>
      <c r="B398" s="1" t="s">
        <v>45</v>
      </c>
      <c r="C398" s="1"/>
      <c r="D398" s="1"/>
      <c r="E398" s="3">
        <v>43015.5</v>
      </c>
      <c r="F398" s="3">
        <v>42178.5</v>
      </c>
      <c r="G398" s="3">
        <v>47760</v>
      </c>
      <c r="H398" s="3">
        <v>46865</v>
      </c>
      <c r="I398" s="3">
        <v>47760</v>
      </c>
      <c r="J398" s="3">
        <v>46865</v>
      </c>
      <c r="K398" s="3">
        <v>47760</v>
      </c>
      <c r="L398" s="3">
        <v>46865</v>
      </c>
      <c r="M398" s="3">
        <v>46865</v>
      </c>
      <c r="N398" s="3">
        <v>46865</v>
      </c>
      <c r="O398" s="3">
        <v>46865</v>
      </c>
      <c r="P398" s="3">
        <v>46865</v>
      </c>
      <c r="Q398" s="3">
        <v>44900</v>
      </c>
      <c r="R398" s="3">
        <v>44200</v>
      </c>
      <c r="S398" s="1" t="s">
        <v>8</v>
      </c>
      <c r="T398" s="1"/>
      <c r="U398" s="1"/>
      <c r="V398" s="1"/>
      <c r="W398" s="1"/>
      <c r="X398" s="1"/>
      <c r="Y398" s="1"/>
      <c r="Z398" s="1"/>
    </row>
    <row r="399" spans="1:26" x14ac:dyDescent="0.2">
      <c r="A399" s="2">
        <v>722</v>
      </c>
      <c r="B399" s="1" t="s">
        <v>47</v>
      </c>
      <c r="C399" s="1"/>
      <c r="D399" s="1"/>
      <c r="E399" s="3">
        <v>12343.5</v>
      </c>
      <c r="F399" s="3">
        <v>13293</v>
      </c>
      <c r="G399" s="3">
        <v>36925</v>
      </c>
      <c r="H399" s="3">
        <v>25320</v>
      </c>
      <c r="I399" s="3">
        <v>34815</v>
      </c>
      <c r="J399" s="3">
        <v>27430</v>
      </c>
      <c r="K399" s="3">
        <v>15825</v>
      </c>
      <c r="L399" s="3">
        <v>10550</v>
      </c>
      <c r="M399" s="3">
        <v>26375</v>
      </c>
      <c r="N399" s="3">
        <v>29540</v>
      </c>
      <c r="O399" s="3">
        <v>29540</v>
      </c>
      <c r="P399" s="3">
        <v>31650</v>
      </c>
      <c r="Q399" s="3">
        <v>39800</v>
      </c>
      <c r="R399" s="3">
        <v>43700</v>
      </c>
      <c r="S399" s="1" t="s">
        <v>8</v>
      </c>
      <c r="T399" s="1"/>
      <c r="U399" s="1"/>
      <c r="V399" s="1"/>
      <c r="W399" s="1"/>
      <c r="X399" s="1"/>
      <c r="Y399" s="1"/>
      <c r="Z399" s="1"/>
    </row>
    <row r="400" spans="1:26" x14ac:dyDescent="0.2">
      <c r="A400" s="2">
        <v>743</v>
      </c>
      <c r="B400" s="1" t="s">
        <v>45</v>
      </c>
      <c r="C400" s="1"/>
      <c r="D400" s="1"/>
      <c r="E400" s="1"/>
      <c r="F400" s="3">
        <v>28377.5</v>
      </c>
      <c r="G400" s="3">
        <v>25377.5</v>
      </c>
      <c r="H400" s="3">
        <v>25377.5</v>
      </c>
      <c r="I400" s="3">
        <v>25377.5</v>
      </c>
      <c r="J400" s="3">
        <v>25377.5</v>
      </c>
      <c r="K400" s="3">
        <v>25377.5</v>
      </c>
      <c r="L400" s="3">
        <v>27100</v>
      </c>
      <c r="M400" s="3">
        <v>28050</v>
      </c>
      <c r="N400" s="3">
        <v>28050</v>
      </c>
      <c r="O400" s="3">
        <v>32200</v>
      </c>
      <c r="P400" s="3">
        <v>33400</v>
      </c>
      <c r="Q400" s="3">
        <v>33400</v>
      </c>
      <c r="R400" s="3">
        <v>33400</v>
      </c>
      <c r="S400" s="1" t="s">
        <v>10</v>
      </c>
      <c r="T400" s="1"/>
      <c r="U400" s="1"/>
      <c r="V400" s="1"/>
      <c r="W400" s="1"/>
      <c r="X400" s="1"/>
      <c r="Y400" s="1"/>
      <c r="Z400" s="1"/>
    </row>
    <row r="401" spans="1:26" x14ac:dyDescent="0.2">
      <c r="A401" s="2">
        <v>743</v>
      </c>
      <c r="B401" s="1" t="s">
        <v>47</v>
      </c>
      <c r="C401" s="1"/>
      <c r="D401" s="1"/>
      <c r="E401" s="1"/>
      <c r="F401" s="3">
        <v>28377.5</v>
      </c>
      <c r="G401" s="3">
        <v>25377.5</v>
      </c>
      <c r="H401" s="3">
        <v>25377.5</v>
      </c>
      <c r="I401" s="3">
        <v>25377.5</v>
      </c>
      <c r="J401" s="3">
        <v>25377.5</v>
      </c>
      <c r="K401" s="3">
        <v>25377.5</v>
      </c>
      <c r="L401" s="3">
        <v>27100</v>
      </c>
      <c r="M401" s="3">
        <v>28050</v>
      </c>
      <c r="N401" s="3">
        <v>28050</v>
      </c>
      <c r="O401" s="3">
        <v>32200</v>
      </c>
      <c r="P401" s="3">
        <v>33400</v>
      </c>
      <c r="Q401" s="3">
        <v>33400</v>
      </c>
      <c r="R401" s="3">
        <v>33400</v>
      </c>
      <c r="S401" s="1" t="s">
        <v>10</v>
      </c>
      <c r="T401" s="1"/>
      <c r="U401" s="1"/>
      <c r="V401" s="1"/>
      <c r="W401" s="1"/>
      <c r="X401" s="1"/>
      <c r="Y401" s="1"/>
      <c r="Z401" s="1"/>
    </row>
    <row r="402" spans="1:26" x14ac:dyDescent="0.2">
      <c r="A402" s="2">
        <v>915</v>
      </c>
      <c r="B402" s="1" t="s">
        <v>45</v>
      </c>
      <c r="C402" s="1"/>
      <c r="D402" s="1"/>
      <c r="E402" s="1"/>
      <c r="F402" s="1"/>
      <c r="G402" s="1"/>
      <c r="H402" s="1"/>
      <c r="I402" s="1"/>
      <c r="J402" s="1"/>
      <c r="K402" s="3">
        <v>220027.2</v>
      </c>
      <c r="L402" s="3">
        <v>229268.6</v>
      </c>
      <c r="M402" s="3">
        <v>229121.4</v>
      </c>
      <c r="N402" s="3">
        <v>175025.4</v>
      </c>
      <c r="O402" s="3">
        <v>172748.4</v>
      </c>
      <c r="P402" s="3">
        <v>172467.8</v>
      </c>
      <c r="Q402" s="1"/>
      <c r="R402" s="1"/>
      <c r="S402" s="1" t="s">
        <v>8</v>
      </c>
      <c r="T402" s="1"/>
      <c r="U402" s="1"/>
      <c r="V402" s="1"/>
      <c r="W402" s="1"/>
      <c r="X402" s="1"/>
      <c r="Y402" s="1"/>
      <c r="Z402" s="1"/>
    </row>
    <row r="403" spans="1:26" x14ac:dyDescent="0.2">
      <c r="A403" s="2">
        <v>915</v>
      </c>
      <c r="B403" s="1" t="s">
        <v>47</v>
      </c>
      <c r="C403" s="1"/>
      <c r="D403" s="1"/>
      <c r="E403" s="1"/>
      <c r="F403" s="1"/>
      <c r="G403" s="1"/>
      <c r="H403" s="1"/>
      <c r="I403" s="1"/>
      <c r="J403" s="1"/>
      <c r="K403" s="1" t="s">
        <v>48</v>
      </c>
      <c r="L403" s="3">
        <v>2535.1</v>
      </c>
      <c r="M403" s="3">
        <v>2538.3000000000002</v>
      </c>
      <c r="N403" s="1" t="s">
        <v>48</v>
      </c>
      <c r="O403" s="3">
        <v>2228</v>
      </c>
      <c r="P403" s="3">
        <v>3210.2</v>
      </c>
      <c r="Q403" s="1"/>
      <c r="R403" s="1"/>
      <c r="S403" s="1" t="s">
        <v>8</v>
      </c>
      <c r="T403" s="1"/>
      <c r="U403" s="1"/>
      <c r="V403" s="1"/>
      <c r="W403" s="1"/>
      <c r="X403" s="1"/>
      <c r="Y403" s="1"/>
      <c r="Z403" s="1"/>
    </row>
    <row r="404" spans="1:26" x14ac:dyDescent="0.2">
      <c r="A404" s="2">
        <v>917</v>
      </c>
      <c r="B404" s="1" t="s">
        <v>45</v>
      </c>
      <c r="C404" s="1"/>
      <c r="D404" s="1"/>
      <c r="E404" s="1"/>
      <c r="F404" s="1"/>
      <c r="G404" s="1"/>
      <c r="H404" s="1"/>
      <c r="I404" s="1"/>
      <c r="J404" s="1"/>
      <c r="K404" s="3">
        <v>74300</v>
      </c>
      <c r="L404" s="3">
        <v>62900</v>
      </c>
      <c r="M404" s="3">
        <v>38700</v>
      </c>
      <c r="N404" s="3">
        <v>47900</v>
      </c>
      <c r="O404" s="3">
        <v>52600</v>
      </c>
      <c r="P404" s="3">
        <v>54700</v>
      </c>
      <c r="Q404" s="1"/>
      <c r="R404" s="1"/>
      <c r="S404" s="1" t="s">
        <v>8</v>
      </c>
      <c r="T404" s="1"/>
      <c r="U404" s="1"/>
      <c r="V404" s="1"/>
      <c r="W404" s="1"/>
      <c r="X404" s="1"/>
      <c r="Y404" s="1"/>
      <c r="Z404" s="1"/>
    </row>
    <row r="405" spans="1:26" x14ac:dyDescent="0.2">
      <c r="A405" s="2">
        <v>918</v>
      </c>
      <c r="B405" s="1" t="s">
        <v>45</v>
      </c>
      <c r="C405" s="1"/>
      <c r="D405" s="1"/>
      <c r="E405" s="1"/>
      <c r="F405" s="1"/>
      <c r="G405" s="1"/>
      <c r="H405" s="1"/>
      <c r="I405" s="1"/>
      <c r="J405" s="1"/>
      <c r="K405" s="3">
        <v>46500</v>
      </c>
      <c r="L405" s="3">
        <v>77500</v>
      </c>
      <c r="M405" s="3">
        <v>77500</v>
      </c>
      <c r="N405" s="3">
        <v>113500</v>
      </c>
      <c r="O405" s="3">
        <v>77500</v>
      </c>
      <c r="P405" s="3">
        <v>77500</v>
      </c>
      <c r="Q405" s="1"/>
      <c r="R405" s="1"/>
      <c r="S405" s="1" t="s">
        <v>8</v>
      </c>
      <c r="T405" s="1"/>
      <c r="U405" s="1"/>
      <c r="V405" s="1"/>
      <c r="W405" s="1"/>
      <c r="X405" s="1"/>
      <c r="Y405" s="1"/>
      <c r="Z405" s="1"/>
    </row>
    <row r="406" spans="1:26" x14ac:dyDescent="0.2">
      <c r="A406" s="2">
        <v>918</v>
      </c>
      <c r="B406" s="1" t="s">
        <v>47</v>
      </c>
      <c r="C406" s="1"/>
      <c r="D406" s="1"/>
      <c r="E406" s="1"/>
      <c r="F406" s="1"/>
      <c r="G406" s="1"/>
      <c r="H406" s="1"/>
      <c r="I406" s="1"/>
      <c r="J406" s="1"/>
      <c r="K406" s="1" t="s">
        <v>48</v>
      </c>
      <c r="L406" s="1" t="s">
        <v>48</v>
      </c>
      <c r="M406" s="3">
        <v>104404.98</v>
      </c>
      <c r="N406" s="1" t="s">
        <v>48</v>
      </c>
      <c r="O406" s="3">
        <v>5595</v>
      </c>
      <c r="P406" s="1" t="s">
        <v>48</v>
      </c>
      <c r="Q406" s="1"/>
      <c r="R406" s="1"/>
      <c r="S406" s="1" t="s">
        <v>8</v>
      </c>
      <c r="T406" s="1"/>
      <c r="U406" s="1"/>
      <c r="V406" s="1"/>
      <c r="W406" s="1"/>
      <c r="X406" s="1"/>
      <c r="Y406" s="1"/>
      <c r="Z406" s="1"/>
    </row>
    <row r="407" spans="1:26" x14ac:dyDescent="0.2">
      <c r="A407" s="2">
        <v>1006</v>
      </c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3">
        <v>145195</v>
      </c>
      <c r="O407" s="3">
        <v>140495</v>
      </c>
      <c r="P407" s="3">
        <v>140495</v>
      </c>
      <c r="Q407" s="1"/>
      <c r="R407" s="1"/>
      <c r="S407" s="1" t="s">
        <v>10</v>
      </c>
      <c r="T407" s="1"/>
      <c r="U407" s="1"/>
      <c r="V407" s="1"/>
      <c r="W407" s="1"/>
      <c r="X407" s="1"/>
      <c r="Y407" s="1"/>
      <c r="Z407" s="1"/>
    </row>
    <row r="408" spans="1:26" x14ac:dyDescent="0.2">
      <c r="A408" s="2">
        <v>979</v>
      </c>
      <c r="B408" s="1" t="s">
        <v>45</v>
      </c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3">
        <v>211131</v>
      </c>
      <c r="O408" s="3">
        <v>219636</v>
      </c>
      <c r="P408" s="3">
        <v>230067</v>
      </c>
      <c r="Q408" s="1"/>
      <c r="R408" s="1"/>
      <c r="S408" s="1" t="s">
        <v>6</v>
      </c>
      <c r="T408" s="1"/>
      <c r="U408" s="1"/>
      <c r="V408" s="1"/>
      <c r="W408" s="1"/>
      <c r="X408" s="1"/>
      <c r="Y408" s="1"/>
      <c r="Z408" s="1"/>
    </row>
    <row r="409" spans="1:26" x14ac:dyDescent="0.2">
      <c r="A409" s="2">
        <v>979</v>
      </c>
      <c r="B409" s="1" t="s">
        <v>47</v>
      </c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3">
        <v>20671.84</v>
      </c>
      <c r="O409" s="3">
        <v>24458.97</v>
      </c>
      <c r="P409" s="3">
        <v>24869.21</v>
      </c>
      <c r="Q409" s="1"/>
      <c r="R409" s="1"/>
      <c r="S409" s="1" t="s">
        <v>6</v>
      </c>
      <c r="T409" s="1"/>
      <c r="U409" s="1"/>
      <c r="V409" s="1"/>
      <c r="W409" s="1"/>
      <c r="X409" s="1"/>
      <c r="Y409" s="1"/>
      <c r="Z409" s="1"/>
    </row>
    <row r="410" spans="1:26" x14ac:dyDescent="0.2">
      <c r="A410" s="2">
        <v>190</v>
      </c>
      <c r="B410" s="1"/>
      <c r="C410" s="3">
        <v>149080</v>
      </c>
      <c r="D410" s="3">
        <v>149100</v>
      </c>
      <c r="E410" s="3">
        <v>177595</v>
      </c>
      <c r="F410" s="3">
        <v>171260</v>
      </c>
      <c r="G410" s="3">
        <v>150220</v>
      </c>
      <c r="H410" s="3">
        <v>148220</v>
      </c>
      <c r="I410" s="3">
        <v>152695</v>
      </c>
      <c r="J410" s="3">
        <v>152695</v>
      </c>
      <c r="K410" s="3">
        <v>152695</v>
      </c>
      <c r="L410" s="3">
        <v>152970</v>
      </c>
      <c r="M410" s="3">
        <v>148815</v>
      </c>
      <c r="N410" s="3">
        <v>146475</v>
      </c>
      <c r="O410" s="3">
        <v>143580</v>
      </c>
      <c r="P410" s="3">
        <v>137745</v>
      </c>
      <c r="Q410" s="3">
        <v>104025</v>
      </c>
      <c r="R410" s="3">
        <v>123810</v>
      </c>
      <c r="S410" s="1" t="s">
        <v>4</v>
      </c>
      <c r="T410" s="1"/>
      <c r="U410" s="1"/>
      <c r="V410" s="1"/>
      <c r="W410" s="1"/>
      <c r="X410" s="1"/>
      <c r="Y410" s="1"/>
      <c r="Z410" s="1"/>
    </row>
    <row r="411" spans="1:26" x14ac:dyDescent="0.2">
      <c r="A411" s="2">
        <v>196</v>
      </c>
      <c r="B411" s="1"/>
      <c r="C411" s="3">
        <v>53400</v>
      </c>
      <c r="D411" s="3">
        <v>48400</v>
      </c>
      <c r="E411" s="1"/>
      <c r="F411" s="3">
        <v>49350</v>
      </c>
      <c r="G411" s="3">
        <v>54625</v>
      </c>
      <c r="H411" s="3">
        <v>55470</v>
      </c>
      <c r="I411" s="3">
        <v>53780</v>
      </c>
      <c r="J411" s="3">
        <v>43230</v>
      </c>
      <c r="K411" s="3">
        <v>43230</v>
      </c>
      <c r="L411" s="3">
        <v>43230</v>
      </c>
      <c r="M411" s="3">
        <v>44075</v>
      </c>
      <c r="N411" s="3">
        <v>55470</v>
      </c>
      <c r="O411" s="3">
        <v>26540</v>
      </c>
      <c r="P411" s="3">
        <v>26540</v>
      </c>
      <c r="Q411" s="1"/>
      <c r="R411" s="1"/>
      <c r="S411" s="1" t="s">
        <v>11</v>
      </c>
      <c r="T411" s="1"/>
      <c r="U411" s="1"/>
      <c r="V411" s="1"/>
      <c r="W411" s="1"/>
      <c r="X411" s="1"/>
      <c r="Y411" s="1"/>
      <c r="Z411" s="1"/>
    </row>
    <row r="412" spans="1:26" x14ac:dyDescent="0.2">
      <c r="A412" s="2">
        <v>645</v>
      </c>
      <c r="B412" s="1"/>
      <c r="C412" s="3">
        <v>58060</v>
      </c>
      <c r="D412" s="3">
        <v>46135</v>
      </c>
      <c r="E412" s="1"/>
      <c r="F412" s="3">
        <v>36590</v>
      </c>
      <c r="G412" s="3">
        <v>38000</v>
      </c>
      <c r="H412" s="3">
        <v>36010</v>
      </c>
      <c r="I412" s="3">
        <v>41225</v>
      </c>
      <c r="J412" s="3">
        <v>37690</v>
      </c>
      <c r="K412" s="3">
        <v>42755</v>
      </c>
      <c r="L412" s="3">
        <v>43045</v>
      </c>
      <c r="M412" s="3">
        <v>38000</v>
      </c>
      <c r="N412" s="3">
        <v>16300</v>
      </c>
      <c r="O412" s="3">
        <v>15350</v>
      </c>
      <c r="P412" s="3">
        <v>16300</v>
      </c>
      <c r="Q412" s="1"/>
      <c r="R412" s="1"/>
      <c r="S412" s="1" t="s">
        <v>11</v>
      </c>
      <c r="T412" s="1"/>
      <c r="U412" s="1"/>
      <c r="V412" s="1"/>
      <c r="W412" s="1"/>
      <c r="X412" s="1"/>
      <c r="Y412" s="1"/>
      <c r="Z412" s="1"/>
    </row>
    <row r="413" spans="1:26" x14ac:dyDescent="0.2">
      <c r="A413" s="2">
        <v>739</v>
      </c>
      <c r="B413" s="1"/>
      <c r="C413" s="1"/>
      <c r="D413" s="1"/>
      <c r="E413" s="3">
        <v>72325</v>
      </c>
      <c r="F413" s="3">
        <v>63325</v>
      </c>
      <c r="G413" s="3">
        <v>62735</v>
      </c>
      <c r="H413" s="3">
        <v>62125</v>
      </c>
      <c r="I413" s="3">
        <v>63180</v>
      </c>
      <c r="J413" s="3">
        <v>63180</v>
      </c>
      <c r="K413" s="3">
        <v>84405</v>
      </c>
      <c r="L413" s="3">
        <v>80405</v>
      </c>
      <c r="M413" s="3">
        <v>80405</v>
      </c>
      <c r="N413" s="3">
        <v>80405</v>
      </c>
      <c r="O413" s="3">
        <v>80405</v>
      </c>
      <c r="P413" s="3">
        <v>80405</v>
      </c>
      <c r="Q413" s="3">
        <v>80405</v>
      </c>
      <c r="R413" s="3">
        <v>54542.5</v>
      </c>
      <c r="S413" s="1" t="s">
        <v>10</v>
      </c>
      <c r="T413" s="1"/>
      <c r="U413" s="1"/>
      <c r="V413" s="1"/>
      <c r="W413" s="1"/>
      <c r="X413" s="1"/>
      <c r="Y413" s="1"/>
      <c r="Z413" s="1"/>
    </row>
    <row r="414" spans="1:26" x14ac:dyDescent="0.2">
      <c r="A414" s="2">
        <v>673</v>
      </c>
      <c r="B414" s="1" t="s">
        <v>52</v>
      </c>
      <c r="C414" s="1"/>
      <c r="D414" s="1"/>
      <c r="E414" s="1"/>
      <c r="F414" s="1"/>
      <c r="G414" s="1"/>
      <c r="H414" s="1"/>
      <c r="I414" s="3">
        <v>221405</v>
      </c>
      <c r="J414" s="3">
        <v>216145</v>
      </c>
      <c r="K414" s="3">
        <v>216145</v>
      </c>
      <c r="L414" s="3">
        <v>216145</v>
      </c>
      <c r="M414" s="3">
        <v>223145</v>
      </c>
      <c r="N414" s="3">
        <v>223145</v>
      </c>
      <c r="O414" s="3">
        <v>223990</v>
      </c>
      <c r="P414" s="3">
        <v>224885</v>
      </c>
      <c r="Q414" s="3">
        <v>226050</v>
      </c>
      <c r="R414" s="3">
        <v>226050</v>
      </c>
      <c r="S414" s="1" t="s">
        <v>8</v>
      </c>
      <c r="T414" s="1"/>
      <c r="U414" s="1"/>
      <c r="V414" s="1"/>
      <c r="W414" s="1"/>
      <c r="X414" s="1"/>
      <c r="Y414" s="1"/>
      <c r="Z414" s="1"/>
    </row>
    <row r="415" spans="1:26" x14ac:dyDescent="0.2">
      <c r="A415" s="2">
        <v>673</v>
      </c>
      <c r="B415" s="1" t="s">
        <v>50</v>
      </c>
      <c r="C415" s="1"/>
      <c r="D415" s="1"/>
      <c r="E415" s="1"/>
      <c r="F415" s="1"/>
      <c r="G415" s="1"/>
      <c r="H415" s="1"/>
      <c r="I415" s="3">
        <v>3965</v>
      </c>
      <c r="J415" s="2">
        <v>915</v>
      </c>
      <c r="K415" s="3">
        <v>1830</v>
      </c>
      <c r="L415" s="3">
        <v>12200</v>
      </c>
      <c r="M415" s="1" t="s">
        <v>48</v>
      </c>
      <c r="N415" s="1" t="s">
        <v>48</v>
      </c>
      <c r="O415" s="1" t="s">
        <v>48</v>
      </c>
      <c r="P415" s="1" t="s">
        <v>48</v>
      </c>
      <c r="Q415" s="1" t="s">
        <v>48</v>
      </c>
      <c r="R415" s="1" t="s">
        <v>48</v>
      </c>
      <c r="S415" s="1" t="s">
        <v>8</v>
      </c>
      <c r="T415" s="1"/>
      <c r="U415" s="1"/>
      <c r="V415" s="1"/>
      <c r="W415" s="1"/>
      <c r="X415" s="1"/>
      <c r="Y415" s="1"/>
      <c r="Z415" s="1"/>
    </row>
    <row r="416" spans="1:26" x14ac:dyDescent="0.2">
      <c r="A416" s="2">
        <v>752</v>
      </c>
      <c r="B416" s="1" t="s">
        <v>45</v>
      </c>
      <c r="C416" s="1"/>
      <c r="D416" s="1"/>
      <c r="E416" s="3">
        <v>75570</v>
      </c>
      <c r="F416" s="3">
        <v>41685</v>
      </c>
      <c r="G416" s="3">
        <v>41380</v>
      </c>
      <c r="H416" s="3">
        <v>41330</v>
      </c>
      <c r="I416" s="3">
        <v>41380</v>
      </c>
      <c r="J416" s="3">
        <v>41330</v>
      </c>
      <c r="K416" s="3">
        <v>41330</v>
      </c>
      <c r="L416" s="3">
        <v>41330</v>
      </c>
      <c r="M416" s="3">
        <v>41330</v>
      </c>
      <c r="N416" s="3">
        <v>41380</v>
      </c>
      <c r="O416" s="3">
        <v>41330</v>
      </c>
      <c r="P416" s="3">
        <v>41380</v>
      </c>
      <c r="Q416" s="3">
        <v>40000</v>
      </c>
      <c r="R416" s="3">
        <v>41500</v>
      </c>
      <c r="S416" s="1" t="s">
        <v>8</v>
      </c>
      <c r="T416" s="1"/>
      <c r="U416" s="1"/>
      <c r="V416" s="1"/>
      <c r="W416" s="1"/>
      <c r="X416" s="1"/>
      <c r="Y416" s="1"/>
      <c r="Z416" s="1"/>
    </row>
    <row r="417" spans="1:26" x14ac:dyDescent="0.2">
      <c r="A417" s="2">
        <v>752</v>
      </c>
      <c r="B417" s="1" t="s">
        <v>47</v>
      </c>
      <c r="C417" s="1"/>
      <c r="D417" s="1"/>
      <c r="E417" s="3">
        <v>1525</v>
      </c>
      <c r="F417" s="3">
        <v>7050</v>
      </c>
      <c r="G417" s="3">
        <v>4000</v>
      </c>
      <c r="H417" s="3">
        <v>4000</v>
      </c>
      <c r="I417" s="3">
        <v>4000</v>
      </c>
      <c r="J417" s="3">
        <v>4000</v>
      </c>
      <c r="K417" s="3">
        <v>4000</v>
      </c>
      <c r="L417" s="3">
        <v>4000</v>
      </c>
      <c r="M417" s="3">
        <v>4000</v>
      </c>
      <c r="N417" s="3">
        <v>4000</v>
      </c>
      <c r="O417" s="3">
        <v>4000</v>
      </c>
      <c r="P417" s="3">
        <v>4000</v>
      </c>
      <c r="Q417" s="1"/>
      <c r="R417" s="3">
        <v>1110</v>
      </c>
      <c r="S417" s="1" t="s">
        <v>8</v>
      </c>
      <c r="T417" s="1"/>
      <c r="U417" s="1"/>
      <c r="V417" s="1"/>
      <c r="W417" s="1"/>
      <c r="X417" s="1"/>
      <c r="Y417" s="1"/>
      <c r="Z417" s="1"/>
    </row>
    <row r="418" spans="1:26" x14ac:dyDescent="0.2">
      <c r="A418" s="2">
        <v>791</v>
      </c>
      <c r="B418" s="1" t="s">
        <v>52</v>
      </c>
      <c r="C418" s="1"/>
      <c r="D418" s="1"/>
      <c r="E418" s="1"/>
      <c r="F418" s="1"/>
      <c r="G418" s="3">
        <v>800000</v>
      </c>
      <c r="H418" s="3">
        <v>800000</v>
      </c>
      <c r="I418" s="3">
        <v>800000</v>
      </c>
      <c r="J418" s="3">
        <v>800000</v>
      </c>
      <c r="K418" s="3">
        <v>800000</v>
      </c>
      <c r="L418" s="3">
        <v>800000</v>
      </c>
      <c r="M418" s="3">
        <v>800000</v>
      </c>
      <c r="N418" s="3">
        <v>800000</v>
      </c>
      <c r="O418" s="3">
        <v>800000</v>
      </c>
      <c r="P418" s="3">
        <v>800000</v>
      </c>
      <c r="Q418" s="3">
        <v>729833.33</v>
      </c>
      <c r="R418" s="3">
        <v>729833.33</v>
      </c>
      <c r="S418" s="1" t="s">
        <v>4</v>
      </c>
      <c r="T418" s="1"/>
      <c r="U418" s="1"/>
      <c r="V418" s="1"/>
      <c r="W418" s="1"/>
      <c r="X418" s="1"/>
      <c r="Y418" s="1"/>
      <c r="Z418" s="1"/>
    </row>
    <row r="419" spans="1:26" x14ac:dyDescent="0.2">
      <c r="A419" s="2">
        <v>791</v>
      </c>
      <c r="B419" s="1" t="s">
        <v>50</v>
      </c>
      <c r="C419" s="1"/>
      <c r="D419" s="1"/>
      <c r="E419" s="1"/>
      <c r="F419" s="1"/>
      <c r="G419" s="3">
        <v>63600</v>
      </c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 t="s">
        <v>4</v>
      </c>
      <c r="T419" s="1"/>
      <c r="U419" s="1"/>
      <c r="V419" s="1"/>
      <c r="W419" s="1"/>
      <c r="X419" s="1"/>
      <c r="Y419" s="1"/>
      <c r="Z419" s="1"/>
    </row>
    <row r="420" spans="1:26" x14ac:dyDescent="0.2">
      <c r="A420" s="2">
        <v>610</v>
      </c>
      <c r="B420" s="1" t="s">
        <v>52</v>
      </c>
      <c r="C420" s="1"/>
      <c r="D420" s="1"/>
      <c r="E420" s="1"/>
      <c r="F420" s="1"/>
      <c r="G420" s="1"/>
      <c r="H420" s="1"/>
      <c r="I420" s="1"/>
      <c r="J420" s="1"/>
      <c r="K420" s="3">
        <v>139860</v>
      </c>
      <c r="L420" s="3">
        <v>139860</v>
      </c>
      <c r="M420" s="3">
        <v>139860</v>
      </c>
      <c r="N420" s="3">
        <v>139860</v>
      </c>
      <c r="O420" s="3">
        <v>139860</v>
      </c>
      <c r="P420" s="3">
        <v>139860</v>
      </c>
      <c r="Q420" s="3">
        <v>136300</v>
      </c>
      <c r="R420" s="3">
        <v>136300</v>
      </c>
      <c r="S420" s="1" t="s">
        <v>11</v>
      </c>
      <c r="T420" s="1"/>
      <c r="U420" s="1"/>
      <c r="V420" s="1"/>
      <c r="W420" s="1"/>
      <c r="X420" s="1"/>
      <c r="Y420" s="1"/>
      <c r="Z420" s="1"/>
    </row>
    <row r="421" spans="1:26" x14ac:dyDescent="0.2">
      <c r="A421" s="2">
        <v>610</v>
      </c>
      <c r="B421" s="1" t="s">
        <v>50</v>
      </c>
      <c r="C421" s="3">
        <v>135995</v>
      </c>
      <c r="D421" s="3">
        <v>135995</v>
      </c>
      <c r="E421" s="3">
        <v>131425</v>
      </c>
      <c r="F421" s="3">
        <v>140565</v>
      </c>
      <c r="G421" s="3">
        <v>146845</v>
      </c>
      <c r="H421" s="3">
        <v>146845</v>
      </c>
      <c r="I421" s="3">
        <v>146845</v>
      </c>
      <c r="J421" s="3">
        <v>135985</v>
      </c>
      <c r="K421" s="3">
        <v>10065</v>
      </c>
      <c r="L421" s="3">
        <v>11285</v>
      </c>
      <c r="M421" s="3">
        <v>10675</v>
      </c>
      <c r="N421" s="3">
        <v>10675</v>
      </c>
      <c r="O421" s="3">
        <v>10675</v>
      </c>
      <c r="P421" s="3">
        <v>10675</v>
      </c>
      <c r="Q421" s="3">
        <v>14000</v>
      </c>
      <c r="R421" s="3">
        <v>14000</v>
      </c>
      <c r="S421" s="1" t="s">
        <v>11</v>
      </c>
      <c r="T421" s="1"/>
      <c r="U421" s="1"/>
      <c r="V421" s="1"/>
      <c r="W421" s="1"/>
      <c r="X421" s="1"/>
      <c r="Y421" s="1"/>
      <c r="Z421" s="1"/>
    </row>
    <row r="422" spans="1:26" x14ac:dyDescent="0.2">
      <c r="A422" s="2">
        <v>629</v>
      </c>
      <c r="B422" s="1" t="s">
        <v>45</v>
      </c>
      <c r="C422" s="3">
        <v>25745</v>
      </c>
      <c r="D422" s="3">
        <v>26167.5</v>
      </c>
      <c r="E422" s="3">
        <v>33127.5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 t="s">
        <v>11</v>
      </c>
      <c r="T422" s="1"/>
      <c r="U422" s="1"/>
      <c r="V422" s="1"/>
      <c r="W422" s="1"/>
      <c r="X422" s="1"/>
      <c r="Y422" s="1"/>
      <c r="Z422" s="1"/>
    </row>
    <row r="423" spans="1:26" x14ac:dyDescent="0.2">
      <c r="A423" s="2">
        <v>629</v>
      </c>
      <c r="B423" s="1" t="s">
        <v>47</v>
      </c>
      <c r="C423" s="3">
        <v>25745</v>
      </c>
      <c r="D423" s="3">
        <v>26167.5</v>
      </c>
      <c r="E423" s="3">
        <v>33127.5</v>
      </c>
      <c r="F423" s="3">
        <v>56115</v>
      </c>
      <c r="G423" s="3">
        <v>104976</v>
      </c>
      <c r="H423" s="3">
        <v>94329</v>
      </c>
      <c r="I423" s="3">
        <v>95850</v>
      </c>
      <c r="J423" s="3">
        <v>95850</v>
      </c>
      <c r="K423" s="3">
        <v>95850</v>
      </c>
      <c r="L423" s="3">
        <v>95850</v>
      </c>
      <c r="M423" s="3">
        <v>95850</v>
      </c>
      <c r="N423" s="3">
        <v>95850</v>
      </c>
      <c r="O423" s="3">
        <v>95850</v>
      </c>
      <c r="P423" s="3">
        <v>95850</v>
      </c>
      <c r="Q423" s="1"/>
      <c r="R423" s="1"/>
      <c r="S423" s="1" t="s">
        <v>11</v>
      </c>
      <c r="T423" s="1"/>
      <c r="U423" s="1"/>
      <c r="V423" s="1"/>
      <c r="W423" s="1"/>
      <c r="X423" s="1"/>
      <c r="Y423" s="1"/>
      <c r="Z423" s="1"/>
    </row>
    <row r="424" spans="1:26" x14ac:dyDescent="0.2">
      <c r="A424" s="2">
        <v>228</v>
      </c>
      <c r="B424" s="1" t="s">
        <v>53</v>
      </c>
      <c r="C424" s="3">
        <v>28200</v>
      </c>
      <c r="D424" s="3">
        <v>28200</v>
      </c>
      <c r="E424" s="3">
        <v>33885</v>
      </c>
      <c r="F424" s="3">
        <v>33885</v>
      </c>
      <c r="G424" s="3">
        <v>33885</v>
      </c>
      <c r="H424" s="3">
        <v>33885</v>
      </c>
      <c r="I424" s="3">
        <v>33885</v>
      </c>
      <c r="J424" s="3">
        <v>33885</v>
      </c>
      <c r="K424" s="3">
        <v>33885</v>
      </c>
      <c r="L424" s="3">
        <v>33885</v>
      </c>
      <c r="M424" s="3">
        <v>33885</v>
      </c>
      <c r="N424" s="3">
        <v>33885</v>
      </c>
      <c r="O424" s="3">
        <v>33885</v>
      </c>
      <c r="P424" s="3">
        <v>33885</v>
      </c>
      <c r="Q424" s="3">
        <v>43400</v>
      </c>
      <c r="R424" s="3">
        <v>43400</v>
      </c>
      <c r="S424" s="1" t="s">
        <v>4</v>
      </c>
      <c r="T424" s="1"/>
      <c r="U424" s="1"/>
      <c r="V424" s="1"/>
      <c r="W424" s="1"/>
      <c r="X424" s="1"/>
      <c r="Y424" s="1"/>
      <c r="Z424" s="1"/>
    </row>
    <row r="425" spans="1:26" x14ac:dyDescent="0.2">
      <c r="A425" s="2">
        <v>890</v>
      </c>
      <c r="B425" s="1" t="s">
        <v>45</v>
      </c>
      <c r="C425" s="3">
        <v>68700</v>
      </c>
      <c r="D425" s="3">
        <v>68700</v>
      </c>
      <c r="E425" s="3">
        <v>70470</v>
      </c>
      <c r="F425" s="3">
        <v>89650</v>
      </c>
      <c r="G425" s="3">
        <v>77320</v>
      </c>
      <c r="H425" s="3">
        <v>83900</v>
      </c>
      <c r="I425" s="3">
        <v>83900</v>
      </c>
      <c r="J425" s="3">
        <v>83900</v>
      </c>
      <c r="K425" s="3">
        <v>83900</v>
      </c>
      <c r="L425" s="3">
        <v>83900</v>
      </c>
      <c r="M425" s="3">
        <v>83900</v>
      </c>
      <c r="N425" s="3">
        <v>83900</v>
      </c>
      <c r="O425" s="3">
        <v>83900</v>
      </c>
      <c r="P425" s="3">
        <v>83900</v>
      </c>
      <c r="Q425" s="3">
        <v>42300</v>
      </c>
      <c r="R425" s="3">
        <v>42300</v>
      </c>
      <c r="S425" s="1" t="s">
        <v>4</v>
      </c>
      <c r="T425" s="1"/>
      <c r="U425" s="1"/>
      <c r="V425" s="1"/>
      <c r="W425" s="1"/>
      <c r="X425" s="1"/>
      <c r="Y425" s="1"/>
      <c r="Z425" s="1"/>
    </row>
    <row r="426" spans="1:26" x14ac:dyDescent="0.2">
      <c r="A426" s="2">
        <v>890</v>
      </c>
      <c r="B426" s="1" t="s">
        <v>47</v>
      </c>
      <c r="C426" s="1"/>
      <c r="D426" s="1"/>
      <c r="E426" s="1"/>
      <c r="F426" s="1"/>
      <c r="G426" s="1"/>
      <c r="H426" s="1"/>
      <c r="I426" s="1"/>
      <c r="J426" s="1"/>
      <c r="K426" s="3">
        <v>38330</v>
      </c>
      <c r="L426" s="3">
        <v>40410</v>
      </c>
      <c r="M426" s="3">
        <v>58520</v>
      </c>
      <c r="N426" s="3">
        <v>34495</v>
      </c>
      <c r="O426" s="3">
        <v>33865</v>
      </c>
      <c r="P426" s="3">
        <v>45990</v>
      </c>
      <c r="Q426" s="3">
        <v>86400</v>
      </c>
      <c r="R426" s="3">
        <v>126900</v>
      </c>
      <c r="S426" s="1" t="s">
        <v>4</v>
      </c>
      <c r="T426" s="1"/>
      <c r="U426" s="1"/>
      <c r="V426" s="1"/>
      <c r="W426" s="1"/>
      <c r="X426" s="1"/>
      <c r="Y426" s="1"/>
      <c r="Z426" s="1"/>
    </row>
    <row r="427" spans="1:26" x14ac:dyDescent="0.2">
      <c r="A427" s="2">
        <v>940</v>
      </c>
      <c r="B427" s="1" t="s">
        <v>52</v>
      </c>
      <c r="C427" s="1"/>
      <c r="D427" s="1"/>
      <c r="E427" s="1"/>
      <c r="F427" s="1"/>
      <c r="G427" s="1"/>
      <c r="H427" s="1"/>
      <c r="I427" s="1"/>
      <c r="J427" s="1"/>
      <c r="K427" s="1"/>
      <c r="L427" s="3">
        <v>40500</v>
      </c>
      <c r="M427" s="1"/>
      <c r="N427" s="3">
        <v>41200</v>
      </c>
      <c r="O427" s="1"/>
      <c r="P427" s="3">
        <v>41200</v>
      </c>
      <c r="Q427" s="1"/>
      <c r="R427" s="3">
        <v>41200</v>
      </c>
      <c r="S427" s="1" t="s">
        <v>10</v>
      </c>
      <c r="T427" s="1"/>
      <c r="U427" s="1"/>
      <c r="V427" s="1"/>
      <c r="W427" s="1"/>
      <c r="X427" s="1"/>
      <c r="Y427" s="1"/>
      <c r="Z427" s="1"/>
    </row>
    <row r="428" spans="1:26" x14ac:dyDescent="0.2">
      <c r="A428" s="2">
        <v>940</v>
      </c>
      <c r="B428" s="1" t="s">
        <v>50</v>
      </c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3">
        <v>20000</v>
      </c>
      <c r="O428" s="3">
        <v>79655</v>
      </c>
      <c r="P428" s="3">
        <v>62093.3</v>
      </c>
      <c r="Q428" s="3">
        <v>61093.3</v>
      </c>
      <c r="R428" s="3">
        <v>61335</v>
      </c>
      <c r="S428" s="1" t="s">
        <v>10</v>
      </c>
      <c r="T428" s="1"/>
      <c r="U428" s="1"/>
      <c r="V428" s="1"/>
      <c r="W428" s="1"/>
      <c r="X428" s="1"/>
      <c r="Y428" s="1"/>
      <c r="Z428" s="1"/>
    </row>
    <row r="429" spans="1:26" x14ac:dyDescent="0.2">
      <c r="A429" s="2">
        <v>941</v>
      </c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3">
        <v>26200</v>
      </c>
      <c r="M429" s="1"/>
      <c r="N429" s="3">
        <v>26200</v>
      </c>
      <c r="O429" s="1"/>
      <c r="P429" s="3">
        <v>26900</v>
      </c>
      <c r="Q429" s="1"/>
      <c r="R429" s="3">
        <v>26900</v>
      </c>
      <c r="S429" s="1" t="s">
        <v>10</v>
      </c>
      <c r="T429" s="1"/>
      <c r="U429" s="1"/>
      <c r="V429" s="1"/>
      <c r="W429" s="1"/>
      <c r="X429" s="1"/>
      <c r="Y429" s="1"/>
      <c r="Z429" s="1"/>
    </row>
    <row r="430" spans="1:26" x14ac:dyDescent="0.2">
      <c r="A430" s="2">
        <v>471</v>
      </c>
      <c r="B430" s="1" t="s">
        <v>45</v>
      </c>
      <c r="C430" s="3">
        <v>89185.11</v>
      </c>
      <c r="D430" s="3">
        <v>74986.179999999993</v>
      </c>
      <c r="E430" s="3">
        <v>63305.1</v>
      </c>
      <c r="F430" s="3">
        <v>69513.19</v>
      </c>
      <c r="G430" s="3">
        <v>75127.44</v>
      </c>
      <c r="H430" s="3">
        <v>100518.83</v>
      </c>
      <c r="I430" s="3">
        <v>91826.81</v>
      </c>
      <c r="J430" s="3">
        <v>103176.17</v>
      </c>
      <c r="K430" s="3">
        <v>100914.15</v>
      </c>
      <c r="L430" s="3">
        <v>95501.13</v>
      </c>
      <c r="M430" s="3">
        <v>96679.360000000001</v>
      </c>
      <c r="N430" s="3">
        <v>113011</v>
      </c>
      <c r="O430" s="3">
        <v>91770.64</v>
      </c>
      <c r="P430" s="3">
        <v>99410.96</v>
      </c>
      <c r="Q430" s="3">
        <v>115821</v>
      </c>
      <c r="R430" s="3">
        <v>127200</v>
      </c>
      <c r="S430" s="1" t="s">
        <v>4</v>
      </c>
      <c r="T430" s="1"/>
      <c r="U430" s="1"/>
      <c r="V430" s="1"/>
      <c r="W430" s="1"/>
      <c r="X430" s="1"/>
      <c r="Y430" s="1"/>
      <c r="Z430" s="1"/>
    </row>
    <row r="431" spans="1:26" x14ac:dyDescent="0.2">
      <c r="A431" s="2">
        <v>471</v>
      </c>
      <c r="B431" s="1" t="s">
        <v>47</v>
      </c>
      <c r="C431" s="1"/>
      <c r="D431" s="1"/>
      <c r="E431" s="1"/>
      <c r="F431" s="1"/>
      <c r="G431" s="2">
        <v>0.01</v>
      </c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 t="s">
        <v>4</v>
      </c>
      <c r="T431" s="1"/>
      <c r="U431" s="1"/>
      <c r="V431" s="1"/>
      <c r="W431" s="1"/>
      <c r="X431" s="1"/>
      <c r="Y431" s="1"/>
      <c r="Z431" s="1"/>
    </row>
    <row r="432" spans="1:26" x14ac:dyDescent="0.2">
      <c r="A432" s="2">
        <v>547</v>
      </c>
      <c r="B432" s="1" t="s">
        <v>52</v>
      </c>
      <c r="C432" s="3">
        <v>144180</v>
      </c>
      <c r="D432" s="3">
        <v>104660</v>
      </c>
      <c r="E432" s="3">
        <v>226420</v>
      </c>
      <c r="F432" s="3">
        <v>139660</v>
      </c>
      <c r="G432" s="3">
        <v>165540</v>
      </c>
      <c r="H432" s="3">
        <v>168680</v>
      </c>
      <c r="I432" s="3">
        <v>166520</v>
      </c>
      <c r="J432" s="3">
        <v>83360</v>
      </c>
      <c r="K432" s="3">
        <v>104440</v>
      </c>
      <c r="L432" s="3">
        <v>128040</v>
      </c>
      <c r="M432" s="3">
        <v>166320</v>
      </c>
      <c r="N432" s="3">
        <v>166690</v>
      </c>
      <c r="O432" s="3">
        <v>117280</v>
      </c>
      <c r="P432" s="3">
        <v>215040</v>
      </c>
      <c r="Q432" s="3">
        <v>166000</v>
      </c>
      <c r="R432" s="3">
        <v>164960</v>
      </c>
      <c r="S432" s="1" t="s">
        <v>6</v>
      </c>
      <c r="T432" s="1"/>
      <c r="U432" s="1"/>
      <c r="V432" s="1"/>
      <c r="W432" s="1"/>
      <c r="X432" s="1"/>
      <c r="Y432" s="1"/>
      <c r="Z432" s="1"/>
    </row>
    <row r="433" spans="1:26" x14ac:dyDescent="0.2">
      <c r="A433" s="2">
        <v>868</v>
      </c>
      <c r="B433" s="1"/>
      <c r="C433" s="1"/>
      <c r="D433" s="1"/>
      <c r="E433" s="1"/>
      <c r="F433" s="1"/>
      <c r="G433" s="1"/>
      <c r="H433" s="1"/>
      <c r="I433" s="3">
        <v>41960</v>
      </c>
      <c r="J433" s="3">
        <v>48000</v>
      </c>
      <c r="K433" s="3">
        <v>48760</v>
      </c>
      <c r="L433" s="3">
        <v>48760</v>
      </c>
      <c r="M433" s="3">
        <v>52690</v>
      </c>
      <c r="N433" s="3">
        <v>51650</v>
      </c>
      <c r="O433" s="3">
        <v>52690</v>
      </c>
      <c r="P433" s="3">
        <v>52690</v>
      </c>
      <c r="Q433" s="1"/>
      <c r="R433" s="1"/>
      <c r="S433" s="1" t="s">
        <v>6</v>
      </c>
      <c r="T433" s="1"/>
      <c r="U433" s="1"/>
      <c r="V433" s="1"/>
      <c r="W433" s="1"/>
      <c r="X433" s="1"/>
      <c r="Y433" s="1"/>
      <c r="Z433" s="1"/>
    </row>
    <row r="434" spans="1:26" x14ac:dyDescent="0.2">
      <c r="A434" s="2">
        <v>682</v>
      </c>
      <c r="B434" s="1" t="s">
        <v>45</v>
      </c>
      <c r="C434" s="3">
        <v>28864</v>
      </c>
      <c r="D434" s="3">
        <v>23944</v>
      </c>
      <c r="E434" s="3">
        <v>23944</v>
      </c>
      <c r="F434" s="3">
        <v>23944</v>
      </c>
      <c r="G434" s="3">
        <v>23944</v>
      </c>
      <c r="H434" s="1"/>
      <c r="I434" s="1"/>
      <c r="J434" s="1"/>
      <c r="K434" s="1"/>
      <c r="L434" s="1"/>
      <c r="M434" s="3">
        <v>90075</v>
      </c>
      <c r="N434" s="3">
        <v>90075</v>
      </c>
      <c r="O434" s="3">
        <v>90075</v>
      </c>
      <c r="P434" s="3">
        <v>90075</v>
      </c>
      <c r="Q434" s="1"/>
      <c r="R434" s="1"/>
      <c r="S434" s="1" t="s">
        <v>4</v>
      </c>
      <c r="T434" s="1"/>
      <c r="U434" s="1"/>
      <c r="V434" s="1"/>
      <c r="W434" s="1"/>
      <c r="X434" s="1"/>
      <c r="Y434" s="1"/>
      <c r="Z434" s="1"/>
    </row>
    <row r="435" spans="1:26" x14ac:dyDescent="0.2">
      <c r="A435" s="2">
        <v>682</v>
      </c>
      <c r="B435" s="1" t="s">
        <v>47</v>
      </c>
      <c r="C435" s="3">
        <v>274011.2</v>
      </c>
      <c r="D435" s="3">
        <v>287852.79999999999</v>
      </c>
      <c r="E435" s="3">
        <v>243732.7</v>
      </c>
      <c r="F435" s="3">
        <v>277295.8</v>
      </c>
      <c r="G435" s="3">
        <v>252063.9</v>
      </c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 t="s">
        <v>4</v>
      </c>
      <c r="T435" s="1"/>
      <c r="U435" s="1"/>
      <c r="V435" s="1"/>
      <c r="W435" s="1"/>
      <c r="X435" s="1"/>
      <c r="Y435" s="1"/>
      <c r="Z435" s="1"/>
    </row>
    <row r="436" spans="1:26" x14ac:dyDescent="0.2">
      <c r="A436" s="2">
        <v>951</v>
      </c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3">
        <v>402400</v>
      </c>
      <c r="N436" s="3">
        <v>402400</v>
      </c>
      <c r="O436" s="3">
        <v>402400</v>
      </c>
      <c r="P436" s="3">
        <v>402400</v>
      </c>
      <c r="Q436" s="1"/>
      <c r="R436" s="1"/>
      <c r="S436" s="1" t="s">
        <v>4</v>
      </c>
      <c r="T436" s="1"/>
      <c r="U436" s="1"/>
      <c r="V436" s="1"/>
      <c r="W436" s="1"/>
      <c r="X436" s="1"/>
      <c r="Y436" s="1"/>
      <c r="Z436" s="1"/>
    </row>
    <row r="437" spans="1:26" x14ac:dyDescent="0.2">
      <c r="A437" s="2">
        <v>777</v>
      </c>
      <c r="B437" s="1" t="s">
        <v>45</v>
      </c>
      <c r="C437" s="1"/>
      <c r="D437" s="1"/>
      <c r="E437" s="1"/>
      <c r="F437" s="3">
        <v>57590</v>
      </c>
      <c r="G437" s="3">
        <v>58275</v>
      </c>
      <c r="H437" s="3">
        <v>57075</v>
      </c>
      <c r="I437" s="3">
        <v>57075</v>
      </c>
      <c r="J437" s="3">
        <v>57075</v>
      </c>
      <c r="K437" s="3">
        <v>73695</v>
      </c>
      <c r="L437" s="3">
        <v>72640</v>
      </c>
      <c r="M437" s="3">
        <v>73695</v>
      </c>
      <c r="N437" s="3">
        <v>77015</v>
      </c>
      <c r="O437" s="3">
        <v>81120</v>
      </c>
      <c r="P437" s="3">
        <v>80065</v>
      </c>
      <c r="Q437" s="1"/>
      <c r="R437" s="1"/>
      <c r="S437" s="1" t="s">
        <v>6</v>
      </c>
      <c r="T437" s="1"/>
      <c r="U437" s="1"/>
      <c r="V437" s="1"/>
      <c r="W437" s="1"/>
      <c r="X437" s="1"/>
      <c r="Y437" s="1"/>
      <c r="Z437" s="1"/>
    </row>
    <row r="438" spans="1:26" x14ac:dyDescent="0.2">
      <c r="A438" s="2">
        <v>777</v>
      </c>
      <c r="B438" s="1" t="s">
        <v>47</v>
      </c>
      <c r="C438" s="1"/>
      <c r="D438" s="1"/>
      <c r="E438" s="1"/>
      <c r="F438" s="1" t="s">
        <v>48</v>
      </c>
      <c r="G438" s="1" t="s">
        <v>48</v>
      </c>
      <c r="H438" s="3">
        <v>3660</v>
      </c>
      <c r="I438" s="3">
        <v>7625</v>
      </c>
      <c r="J438" s="3">
        <v>9150</v>
      </c>
      <c r="K438" s="3">
        <v>20225</v>
      </c>
      <c r="L438" s="3">
        <v>36295</v>
      </c>
      <c r="M438" s="3">
        <v>30295</v>
      </c>
      <c r="N438" s="3">
        <v>43395</v>
      </c>
      <c r="O438" s="3">
        <v>35560</v>
      </c>
      <c r="P438" s="3">
        <v>38620</v>
      </c>
      <c r="Q438" s="1"/>
      <c r="R438" s="1"/>
      <c r="S438" s="1" t="s">
        <v>6</v>
      </c>
      <c r="T438" s="1"/>
      <c r="U438" s="1"/>
      <c r="V438" s="1"/>
      <c r="W438" s="1"/>
      <c r="X438" s="1"/>
      <c r="Y438" s="1"/>
      <c r="Z438" s="1"/>
    </row>
    <row r="439" spans="1:26" x14ac:dyDescent="0.2">
      <c r="A439" s="2">
        <v>778</v>
      </c>
      <c r="B439" s="1" t="s">
        <v>45</v>
      </c>
      <c r="C439" s="1"/>
      <c r="D439" s="1"/>
      <c r="E439" s="1"/>
      <c r="F439" s="3">
        <v>48285</v>
      </c>
      <c r="G439" s="3">
        <v>78235</v>
      </c>
      <c r="H439" s="3">
        <v>96535</v>
      </c>
      <c r="I439" s="3">
        <v>97145</v>
      </c>
      <c r="J439" s="3">
        <v>92175</v>
      </c>
      <c r="K439" s="3">
        <v>24510</v>
      </c>
      <c r="L439" s="3">
        <v>24510</v>
      </c>
      <c r="M439" s="3">
        <v>24510</v>
      </c>
      <c r="N439" s="3">
        <v>25360</v>
      </c>
      <c r="O439" s="3">
        <v>25360</v>
      </c>
      <c r="P439" s="3">
        <v>25360</v>
      </c>
      <c r="Q439" s="1"/>
      <c r="R439" s="1"/>
      <c r="S439" s="1" t="s">
        <v>6</v>
      </c>
      <c r="T439" s="1"/>
      <c r="U439" s="1"/>
      <c r="V439" s="1"/>
      <c r="W439" s="1"/>
      <c r="X439" s="1"/>
      <c r="Y439" s="1"/>
      <c r="Z439" s="1"/>
    </row>
    <row r="440" spans="1:26" x14ac:dyDescent="0.2">
      <c r="A440" s="2">
        <v>778</v>
      </c>
      <c r="B440" s="1" t="s">
        <v>47</v>
      </c>
      <c r="C440" s="1"/>
      <c r="D440" s="1"/>
      <c r="E440" s="1"/>
      <c r="F440" s="2">
        <v>915</v>
      </c>
      <c r="G440" s="3">
        <v>5795</v>
      </c>
      <c r="H440" s="3">
        <v>1525</v>
      </c>
      <c r="I440" s="3">
        <v>7625</v>
      </c>
      <c r="J440" s="3">
        <v>1830</v>
      </c>
      <c r="K440" s="3">
        <v>23400</v>
      </c>
      <c r="L440" s="3">
        <v>23400</v>
      </c>
      <c r="M440" s="3">
        <v>18540</v>
      </c>
      <c r="N440" s="3">
        <v>27470</v>
      </c>
      <c r="O440" s="3">
        <v>23400</v>
      </c>
      <c r="P440" s="3">
        <v>22505</v>
      </c>
      <c r="Q440" s="1"/>
      <c r="R440" s="1"/>
      <c r="S440" s="1" t="s">
        <v>6</v>
      </c>
      <c r="T440" s="1"/>
      <c r="U440" s="1"/>
      <c r="V440" s="1"/>
      <c r="W440" s="1"/>
      <c r="X440" s="1"/>
      <c r="Y440" s="1"/>
      <c r="Z440" s="1"/>
    </row>
    <row r="441" spans="1:26" x14ac:dyDescent="0.2">
      <c r="A441" s="2">
        <v>804</v>
      </c>
      <c r="B441" s="1" t="s">
        <v>45</v>
      </c>
      <c r="C441" s="1"/>
      <c r="D441" s="1"/>
      <c r="E441" s="1"/>
      <c r="F441" s="1"/>
      <c r="G441" s="3">
        <v>36605</v>
      </c>
      <c r="H441" s="3">
        <v>29795</v>
      </c>
      <c r="I441" s="3">
        <v>28250</v>
      </c>
      <c r="J441" s="3">
        <v>35460</v>
      </c>
      <c r="K441" s="3">
        <v>27580</v>
      </c>
      <c r="L441" s="3">
        <v>68095</v>
      </c>
      <c r="M441" s="3">
        <v>26915</v>
      </c>
      <c r="N441" s="3">
        <v>36205</v>
      </c>
      <c r="O441" s="3">
        <v>28900</v>
      </c>
      <c r="P441" s="3">
        <v>69210</v>
      </c>
      <c r="Q441" s="1"/>
      <c r="R441" s="1"/>
      <c r="S441" s="1" t="s">
        <v>11</v>
      </c>
      <c r="T441" s="1"/>
      <c r="U441" s="1"/>
      <c r="V441" s="1"/>
      <c r="W441" s="1"/>
      <c r="X441" s="1"/>
      <c r="Y441" s="1"/>
      <c r="Z441" s="1"/>
    </row>
    <row r="442" spans="1:26" x14ac:dyDescent="0.2">
      <c r="A442" s="2">
        <v>804</v>
      </c>
      <c r="B442" s="1" t="s">
        <v>47</v>
      </c>
      <c r="C442" s="1"/>
      <c r="D442" s="1"/>
      <c r="E442" s="1"/>
      <c r="F442" s="1"/>
      <c r="G442" s="1"/>
      <c r="H442" s="1"/>
      <c r="I442" s="3">
        <v>4105</v>
      </c>
      <c r="J442" s="1"/>
      <c r="K442" s="1"/>
      <c r="L442" s="1"/>
      <c r="M442" s="1"/>
      <c r="N442" s="1"/>
      <c r="O442" s="1"/>
      <c r="P442" s="1"/>
      <c r="Q442" s="1"/>
      <c r="R442" s="1"/>
      <c r="S442" s="1" t="s">
        <v>11</v>
      </c>
      <c r="T442" s="1"/>
      <c r="U442" s="1"/>
      <c r="V442" s="1"/>
      <c r="W442" s="1"/>
      <c r="X442" s="1"/>
      <c r="Y442" s="1"/>
      <c r="Z442" s="1"/>
    </row>
    <row r="443" spans="1:26" x14ac:dyDescent="0.2">
      <c r="A443" s="2">
        <v>808</v>
      </c>
      <c r="B443" s="1"/>
      <c r="C443" s="1"/>
      <c r="D443" s="1"/>
      <c r="E443" s="1"/>
      <c r="F443" s="1"/>
      <c r="G443" s="1"/>
      <c r="H443" s="1"/>
      <c r="I443" s="3">
        <v>84000</v>
      </c>
      <c r="J443" s="3">
        <v>78000</v>
      </c>
      <c r="K443" s="3">
        <v>78000</v>
      </c>
      <c r="L443" s="3">
        <v>73050</v>
      </c>
      <c r="M443" s="3">
        <v>101020</v>
      </c>
      <c r="N443" s="3">
        <v>100285</v>
      </c>
      <c r="O443" s="3">
        <v>73050</v>
      </c>
      <c r="P443" s="1"/>
      <c r="Q443" s="1"/>
      <c r="R443" s="1"/>
      <c r="S443" s="1" t="s">
        <v>26</v>
      </c>
      <c r="T443" s="1"/>
      <c r="U443" s="1"/>
      <c r="V443" s="1"/>
      <c r="W443" s="1"/>
      <c r="X443" s="1"/>
      <c r="Y443" s="1"/>
      <c r="Z443" s="1"/>
    </row>
    <row r="444" spans="1:26" x14ac:dyDescent="0.2">
      <c r="A444" s="2">
        <v>350</v>
      </c>
      <c r="B444" s="1" t="s">
        <v>45</v>
      </c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3">
        <v>121000</v>
      </c>
      <c r="O444" s="3">
        <v>121000</v>
      </c>
      <c r="P444" s="3">
        <v>121000</v>
      </c>
      <c r="Q444" s="3">
        <v>117500</v>
      </c>
      <c r="R444" s="3">
        <v>117500</v>
      </c>
      <c r="S444" s="1" t="s">
        <v>10</v>
      </c>
      <c r="T444" s="1"/>
      <c r="U444" s="1"/>
      <c r="V444" s="1"/>
      <c r="W444" s="1"/>
      <c r="X444" s="1"/>
      <c r="Y444" s="1"/>
      <c r="Z444" s="1"/>
    </row>
    <row r="445" spans="1:26" x14ac:dyDescent="0.2">
      <c r="A445" s="2">
        <v>350</v>
      </c>
      <c r="B445" s="1" t="s">
        <v>47</v>
      </c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 t="s">
        <v>48</v>
      </c>
      <c r="O445" s="1" t="s">
        <v>48</v>
      </c>
      <c r="P445" s="2">
        <v>305</v>
      </c>
      <c r="Q445" s="2">
        <v>305</v>
      </c>
      <c r="R445" s="2">
        <v>305</v>
      </c>
      <c r="S445" s="1" t="s">
        <v>10</v>
      </c>
      <c r="T445" s="1"/>
      <c r="U445" s="1"/>
      <c r="V445" s="1"/>
      <c r="W445" s="1"/>
      <c r="X445" s="1"/>
      <c r="Y445" s="1"/>
      <c r="Z445" s="1"/>
    </row>
    <row r="446" spans="1:26" x14ac:dyDescent="0.2">
      <c r="A446" s="2">
        <v>955</v>
      </c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3">
        <v>9300</v>
      </c>
      <c r="N446" s="3">
        <v>9300</v>
      </c>
      <c r="O446" s="3">
        <v>13200</v>
      </c>
      <c r="P446" s="3">
        <v>17400</v>
      </c>
      <c r="Q446" s="1"/>
      <c r="R446" s="1"/>
      <c r="S446" s="1" t="s">
        <v>10</v>
      </c>
      <c r="T446" s="1"/>
      <c r="U446" s="1"/>
      <c r="V446" s="1"/>
      <c r="W446" s="1"/>
      <c r="X446" s="1"/>
      <c r="Y446" s="1"/>
      <c r="Z446" s="1"/>
    </row>
    <row r="447" spans="1:26" x14ac:dyDescent="0.2">
      <c r="A447" s="2">
        <v>1004</v>
      </c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3">
        <v>34000</v>
      </c>
      <c r="P447" s="2">
        <v>0</v>
      </c>
      <c r="Q447" s="1"/>
      <c r="R447" s="1"/>
      <c r="S447" s="1" t="s">
        <v>19</v>
      </c>
      <c r="T447" s="1"/>
      <c r="U447" s="1"/>
      <c r="V447" s="1"/>
      <c r="W447" s="1"/>
      <c r="X447" s="1"/>
      <c r="Y447" s="1"/>
      <c r="Z447" s="1"/>
    </row>
    <row r="448" spans="1:26" x14ac:dyDescent="0.2">
      <c r="A448" s="2">
        <v>281</v>
      </c>
      <c r="B448" s="1" t="s">
        <v>52</v>
      </c>
      <c r="C448" s="3">
        <v>76550</v>
      </c>
      <c r="D448" s="3">
        <v>79950</v>
      </c>
      <c r="E448" s="3">
        <v>66900</v>
      </c>
      <c r="F448" s="3">
        <v>89150</v>
      </c>
      <c r="G448" s="3">
        <v>108450</v>
      </c>
      <c r="H448" s="3">
        <v>77100</v>
      </c>
      <c r="I448" s="3">
        <v>78800</v>
      </c>
      <c r="J448" s="3">
        <v>126740</v>
      </c>
      <c r="K448" s="3">
        <v>117730</v>
      </c>
      <c r="L448" s="3">
        <v>115860</v>
      </c>
      <c r="M448" s="3">
        <v>160770</v>
      </c>
      <c r="N448" s="3">
        <v>142490</v>
      </c>
      <c r="O448" s="3">
        <v>99125</v>
      </c>
      <c r="P448" s="3">
        <v>74350</v>
      </c>
      <c r="Q448" s="3">
        <v>105775</v>
      </c>
      <c r="R448" s="3">
        <v>92065</v>
      </c>
      <c r="S448" s="1" t="s">
        <v>6</v>
      </c>
      <c r="T448" s="1"/>
      <c r="U448" s="1"/>
      <c r="V448" s="1"/>
      <c r="W448" s="1"/>
      <c r="X448" s="1"/>
      <c r="Y448" s="1"/>
      <c r="Z448" s="1"/>
    </row>
    <row r="449" spans="1:26" x14ac:dyDescent="0.2">
      <c r="A449" s="2">
        <v>281</v>
      </c>
      <c r="B449" s="1" t="s">
        <v>50</v>
      </c>
      <c r="C449" s="3">
        <v>21450</v>
      </c>
      <c r="D449" s="3">
        <v>13300</v>
      </c>
      <c r="E449" s="3">
        <v>15900</v>
      </c>
      <c r="F449" s="3">
        <v>19850</v>
      </c>
      <c r="G449" s="3">
        <v>17350</v>
      </c>
      <c r="H449" s="3">
        <v>14650</v>
      </c>
      <c r="I449" s="3">
        <v>15900</v>
      </c>
      <c r="J449" s="3">
        <v>3000</v>
      </c>
      <c r="K449" s="1"/>
      <c r="L449" s="1"/>
      <c r="M449" s="1"/>
      <c r="N449" s="1"/>
      <c r="O449" s="1"/>
      <c r="P449" s="1"/>
      <c r="Q449" s="1"/>
      <c r="R449" s="1"/>
      <c r="S449" s="1" t="s">
        <v>6</v>
      </c>
      <c r="T449" s="1"/>
      <c r="U449" s="1"/>
      <c r="V449" s="1"/>
      <c r="W449" s="1"/>
      <c r="X449" s="1"/>
      <c r="Y449" s="1"/>
      <c r="Z449" s="1"/>
    </row>
    <row r="450" spans="1:26" x14ac:dyDescent="0.2">
      <c r="A450" s="2">
        <v>785</v>
      </c>
      <c r="B450" s="1"/>
      <c r="C450" s="1"/>
      <c r="D450" s="1"/>
      <c r="E450" s="1"/>
      <c r="F450" s="3">
        <v>5306.6</v>
      </c>
      <c r="G450" s="3">
        <v>12898.1</v>
      </c>
      <c r="H450" s="3">
        <v>5287</v>
      </c>
      <c r="I450" s="3">
        <v>10180</v>
      </c>
      <c r="J450" s="3">
        <v>8600</v>
      </c>
      <c r="K450" s="3">
        <v>3860</v>
      </c>
      <c r="L450" s="3">
        <v>8600</v>
      </c>
      <c r="M450" s="2">
        <v>700</v>
      </c>
      <c r="N450" s="2">
        <v>700</v>
      </c>
      <c r="O450" s="1" t="s">
        <v>48</v>
      </c>
      <c r="P450" s="1" t="s">
        <v>48</v>
      </c>
      <c r="Q450" s="1"/>
      <c r="R450" s="1"/>
      <c r="S450" s="1" t="s">
        <v>6</v>
      </c>
      <c r="T450" s="1"/>
      <c r="U450" s="1"/>
      <c r="V450" s="1"/>
      <c r="W450" s="1"/>
      <c r="X450" s="1"/>
      <c r="Y450" s="1"/>
      <c r="Z450" s="1"/>
    </row>
    <row r="451" spans="1:26" x14ac:dyDescent="0.2">
      <c r="A451" s="2">
        <v>913</v>
      </c>
      <c r="B451" s="1"/>
      <c r="C451" s="1"/>
      <c r="D451" s="1"/>
      <c r="E451" s="1"/>
      <c r="F451" s="1"/>
      <c r="G451" s="1"/>
      <c r="H451" s="1"/>
      <c r="I451" s="1"/>
      <c r="J451" s="1"/>
      <c r="K451" s="3">
        <v>58200</v>
      </c>
      <c r="L451" s="3">
        <v>58200</v>
      </c>
      <c r="M451" s="3">
        <v>58200</v>
      </c>
      <c r="N451" s="3">
        <v>58200</v>
      </c>
      <c r="O451" s="3">
        <v>58200</v>
      </c>
      <c r="P451" s="3">
        <v>58200</v>
      </c>
      <c r="Q451" s="1"/>
      <c r="R451" s="1"/>
      <c r="S451" s="1" t="s">
        <v>10</v>
      </c>
      <c r="T451" s="1"/>
      <c r="U451" s="1"/>
      <c r="V451" s="1"/>
      <c r="W451" s="1"/>
      <c r="X451" s="1"/>
      <c r="Y451" s="1"/>
      <c r="Z451" s="1"/>
    </row>
    <row r="452" spans="1:26" x14ac:dyDescent="0.2">
      <c r="A452" s="2">
        <v>930</v>
      </c>
      <c r="B452" s="1" t="s">
        <v>45</v>
      </c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3">
        <v>36687.5</v>
      </c>
      <c r="N452" s="3">
        <v>31152.5</v>
      </c>
      <c r="O452" s="3">
        <v>30350</v>
      </c>
      <c r="P452" s="3">
        <v>34547.5</v>
      </c>
      <c r="Q452" s="3">
        <v>25750</v>
      </c>
      <c r="R452" s="3">
        <v>25600</v>
      </c>
      <c r="S452" s="1" t="s">
        <v>11</v>
      </c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>
      <selection activeCell="F28" sqref="F28"/>
    </sheetView>
  </sheetViews>
  <sheetFormatPr defaultColWidth="12.5703125" defaultRowHeight="15.75" customHeight="1" x14ac:dyDescent="0.2"/>
  <cols>
    <col min="3" max="3" width="32.140625" customWidth="1"/>
    <col min="10" max="10" width="10.140625" customWidth="1"/>
  </cols>
  <sheetData>
    <row r="1" spans="1:3" ht="12.75" x14ac:dyDescent="0.2">
      <c r="A1" s="1" t="s">
        <v>0</v>
      </c>
      <c r="B1" s="1" t="s">
        <v>1</v>
      </c>
      <c r="C1" s="1" t="s">
        <v>2</v>
      </c>
    </row>
    <row r="2" spans="1:3" ht="12.75" x14ac:dyDescent="0.2">
      <c r="A2" s="2">
        <v>15</v>
      </c>
      <c r="B2" s="1" t="s">
        <v>9</v>
      </c>
      <c r="C2" s="1" t="s">
        <v>7</v>
      </c>
    </row>
    <row r="3" spans="1:3" ht="12.75" x14ac:dyDescent="0.2">
      <c r="A3" s="2">
        <v>15</v>
      </c>
      <c r="B3" s="1" t="s">
        <v>13</v>
      </c>
      <c r="C3" s="1" t="s">
        <v>7</v>
      </c>
    </row>
    <row r="4" spans="1:3" ht="12.75" x14ac:dyDescent="0.2">
      <c r="A4" s="2">
        <v>15</v>
      </c>
      <c r="B4" s="1" t="s">
        <v>14</v>
      </c>
      <c r="C4" s="1" t="s">
        <v>7</v>
      </c>
    </row>
    <row r="5" spans="1:3" ht="12.75" x14ac:dyDescent="0.2">
      <c r="A5" s="2">
        <v>15</v>
      </c>
      <c r="B5" s="1" t="s">
        <v>15</v>
      </c>
      <c r="C5" s="1" t="s">
        <v>7</v>
      </c>
    </row>
    <row r="6" spans="1:3" ht="12.75" x14ac:dyDescent="0.2">
      <c r="A6" s="2">
        <v>15</v>
      </c>
      <c r="B6" s="1" t="s">
        <v>17</v>
      </c>
      <c r="C6" s="1" t="s">
        <v>7</v>
      </c>
    </row>
    <row r="7" spans="1:3" ht="12.75" customHeight="1" x14ac:dyDescent="0.2">
      <c r="A7" s="2">
        <v>16</v>
      </c>
      <c r="B7" s="1" t="s">
        <v>9</v>
      </c>
      <c r="C7" s="1" t="s">
        <v>7</v>
      </c>
    </row>
    <row r="8" spans="1:3" ht="12.75" customHeight="1" x14ac:dyDescent="0.2">
      <c r="A8" s="2">
        <v>31</v>
      </c>
      <c r="B8" s="1" t="s">
        <v>9</v>
      </c>
      <c r="C8" s="1" t="s">
        <v>4</v>
      </c>
    </row>
    <row r="9" spans="1:3" ht="12.75" customHeight="1" x14ac:dyDescent="0.2">
      <c r="A9" s="2">
        <v>39</v>
      </c>
      <c r="B9" s="1" t="s">
        <v>9</v>
      </c>
      <c r="C9" s="1" t="s">
        <v>7</v>
      </c>
    </row>
    <row r="10" spans="1:3" ht="12.75" customHeight="1" x14ac:dyDescent="0.2">
      <c r="A10" s="2">
        <v>39</v>
      </c>
      <c r="B10" s="1" t="s">
        <v>25</v>
      </c>
      <c r="C10" s="1" t="s">
        <v>8</v>
      </c>
    </row>
    <row r="11" spans="1:3" ht="12.75" customHeight="1" x14ac:dyDescent="0.2">
      <c r="A11" s="2">
        <v>42</v>
      </c>
      <c r="B11" s="1" t="s">
        <v>3</v>
      </c>
      <c r="C11" s="1" t="s">
        <v>4</v>
      </c>
    </row>
    <row r="12" spans="1:3" ht="12.75" customHeight="1" x14ac:dyDescent="0.2">
      <c r="A12" s="2">
        <v>45</v>
      </c>
      <c r="B12" s="1" t="s">
        <v>9</v>
      </c>
      <c r="C12" s="1" t="s">
        <v>8</v>
      </c>
    </row>
    <row r="13" spans="1:3" ht="12.75" customHeight="1" x14ac:dyDescent="0.2">
      <c r="A13" s="2">
        <v>45</v>
      </c>
      <c r="B13" s="1" t="s">
        <v>25</v>
      </c>
      <c r="C13" s="1" t="s">
        <v>8</v>
      </c>
    </row>
    <row r="14" spans="1:3" ht="12.75" customHeight="1" x14ac:dyDescent="0.2">
      <c r="A14" s="2">
        <v>46</v>
      </c>
      <c r="B14" s="1" t="s">
        <v>9</v>
      </c>
      <c r="C14" s="1" t="s">
        <v>4</v>
      </c>
    </row>
    <row r="15" spans="1:3" ht="12.75" customHeight="1" x14ac:dyDescent="0.2">
      <c r="A15" s="2">
        <v>46</v>
      </c>
      <c r="B15" s="1" t="s">
        <v>25</v>
      </c>
      <c r="C15" s="1" t="s">
        <v>10</v>
      </c>
    </row>
    <row r="16" spans="1:3" ht="12.75" customHeight="1" x14ac:dyDescent="0.2">
      <c r="A16" s="2">
        <v>48</v>
      </c>
      <c r="B16" s="1" t="s">
        <v>15</v>
      </c>
      <c r="C16" s="1" t="s">
        <v>4</v>
      </c>
    </row>
    <row r="17" spans="1:3" ht="12.75" customHeight="1" x14ac:dyDescent="0.2">
      <c r="A17" s="2">
        <v>48</v>
      </c>
      <c r="B17" s="1" t="s">
        <v>23</v>
      </c>
      <c r="C17" s="1" t="s">
        <v>10</v>
      </c>
    </row>
    <row r="18" spans="1:3" ht="12.75" customHeight="1" x14ac:dyDescent="0.2">
      <c r="A18" s="2">
        <v>49</v>
      </c>
      <c r="B18" s="1" t="s">
        <v>9</v>
      </c>
      <c r="C18" s="1" t="s">
        <v>4</v>
      </c>
    </row>
    <row r="19" spans="1:3" ht="12.75" customHeight="1" x14ac:dyDescent="0.2">
      <c r="A19" s="2">
        <v>49</v>
      </c>
      <c r="B19" s="1" t="s">
        <v>25</v>
      </c>
      <c r="C19" s="1" t="s">
        <v>10</v>
      </c>
    </row>
    <row r="20" spans="1:3" ht="12.75" customHeight="1" x14ac:dyDescent="0.2">
      <c r="A20" s="2">
        <v>54</v>
      </c>
      <c r="B20" s="1" t="s">
        <v>25</v>
      </c>
      <c r="C20" s="1" t="s">
        <v>10</v>
      </c>
    </row>
    <row r="21" spans="1:3" ht="12.75" customHeight="1" x14ac:dyDescent="0.2">
      <c r="A21" s="2">
        <v>55</v>
      </c>
      <c r="B21" s="1" t="s">
        <v>17</v>
      </c>
      <c r="C21" s="1" t="s">
        <v>7</v>
      </c>
    </row>
    <row r="22" spans="1:3" ht="12.75" customHeight="1" x14ac:dyDescent="0.2">
      <c r="A22" s="2">
        <v>56</v>
      </c>
      <c r="B22" s="1" t="s">
        <v>14</v>
      </c>
      <c r="C22" s="1" t="s">
        <v>4</v>
      </c>
    </row>
    <row r="23" spans="1:3" ht="12.75" customHeight="1" x14ac:dyDescent="0.2">
      <c r="A23" s="2">
        <v>83</v>
      </c>
      <c r="B23" s="1" t="s">
        <v>22</v>
      </c>
      <c r="C23" s="1" t="s">
        <v>10</v>
      </c>
    </row>
    <row r="24" spans="1:3" ht="12.75" customHeight="1" x14ac:dyDescent="0.2">
      <c r="A24" s="2">
        <v>86</v>
      </c>
      <c r="B24" s="1" t="s">
        <v>21</v>
      </c>
      <c r="C24" s="1" t="s">
        <v>8</v>
      </c>
    </row>
    <row r="25" spans="1:3" ht="12.75" customHeight="1" x14ac:dyDescent="0.2">
      <c r="A25" s="2">
        <v>87</v>
      </c>
      <c r="B25" s="1" t="s">
        <v>3</v>
      </c>
      <c r="C25" s="1" t="s">
        <v>6</v>
      </c>
    </row>
    <row r="26" spans="1:3" ht="12.75" customHeight="1" x14ac:dyDescent="0.2">
      <c r="A26" s="2">
        <v>87</v>
      </c>
      <c r="B26" s="1" t="s">
        <v>17</v>
      </c>
      <c r="C26" s="1" t="s">
        <v>7</v>
      </c>
    </row>
    <row r="27" spans="1:3" ht="12.75" customHeight="1" x14ac:dyDescent="0.2">
      <c r="A27" s="2">
        <v>101</v>
      </c>
      <c r="B27" s="1" t="s">
        <v>13</v>
      </c>
      <c r="C27" s="1" t="s">
        <v>8</v>
      </c>
    </row>
    <row r="28" spans="1:3" ht="12.75" customHeight="1" x14ac:dyDescent="0.2">
      <c r="A28" s="2">
        <v>107</v>
      </c>
      <c r="B28" s="1" t="s">
        <v>12</v>
      </c>
      <c r="C28" s="1" t="s">
        <v>4</v>
      </c>
    </row>
    <row r="29" spans="1:3" ht="12.75" customHeight="1" x14ac:dyDescent="0.2">
      <c r="A29" s="2">
        <v>107</v>
      </c>
      <c r="B29" s="1" t="s">
        <v>16</v>
      </c>
      <c r="C29" s="1" t="s">
        <v>4</v>
      </c>
    </row>
    <row r="30" spans="1:3" ht="12.75" customHeight="1" x14ac:dyDescent="0.2">
      <c r="A30" s="2">
        <v>107</v>
      </c>
      <c r="B30" s="1" t="s">
        <v>20</v>
      </c>
      <c r="C30" s="1" t="s">
        <v>4</v>
      </c>
    </row>
    <row r="31" spans="1:3" ht="12.75" customHeight="1" x14ac:dyDescent="0.2">
      <c r="A31" s="2">
        <v>107</v>
      </c>
      <c r="B31" s="1" t="s">
        <v>23</v>
      </c>
      <c r="C31" s="1" t="s">
        <v>11</v>
      </c>
    </row>
    <row r="32" spans="1:3" ht="12.75" customHeight="1" x14ac:dyDescent="0.2">
      <c r="A32" s="2">
        <v>109</v>
      </c>
      <c r="B32" s="1" t="s">
        <v>20</v>
      </c>
      <c r="C32" s="1" t="s">
        <v>4</v>
      </c>
    </row>
    <row r="33" spans="1:3" ht="12.75" customHeight="1" x14ac:dyDescent="0.2">
      <c r="A33" s="2">
        <v>109</v>
      </c>
      <c r="B33" s="1" t="s">
        <v>25</v>
      </c>
      <c r="C33" s="1" t="s">
        <v>4</v>
      </c>
    </row>
    <row r="34" spans="1:3" ht="12.75" customHeight="1" x14ac:dyDescent="0.2">
      <c r="A34" s="2">
        <v>112</v>
      </c>
      <c r="B34" s="1" t="s">
        <v>9</v>
      </c>
      <c r="C34" s="1" t="s">
        <v>7</v>
      </c>
    </row>
    <row r="35" spans="1:3" ht="12.75" customHeight="1" x14ac:dyDescent="0.2">
      <c r="A35" s="2">
        <v>112</v>
      </c>
      <c r="B35" s="1" t="s">
        <v>14</v>
      </c>
      <c r="C35" s="1" t="s">
        <v>7</v>
      </c>
    </row>
    <row r="36" spans="1:3" ht="12.75" customHeight="1" x14ac:dyDescent="0.2">
      <c r="A36" s="2">
        <v>112</v>
      </c>
      <c r="B36" s="1" t="s">
        <v>17</v>
      </c>
      <c r="C36" s="1" t="s">
        <v>7</v>
      </c>
    </row>
    <row r="37" spans="1:3" ht="12.75" customHeight="1" x14ac:dyDescent="0.2">
      <c r="A37" s="2">
        <v>112</v>
      </c>
      <c r="B37" s="1" t="s">
        <v>21</v>
      </c>
      <c r="C37" s="1" t="s">
        <v>5</v>
      </c>
    </row>
    <row r="38" spans="1:3" ht="12.75" customHeight="1" x14ac:dyDescent="0.2">
      <c r="A38" s="2">
        <v>112</v>
      </c>
      <c r="B38" s="1" t="s">
        <v>25</v>
      </c>
      <c r="C38" s="1" t="s">
        <v>5</v>
      </c>
    </row>
    <row r="39" spans="1:3" ht="12.75" customHeight="1" x14ac:dyDescent="0.2">
      <c r="A39" s="2">
        <v>154</v>
      </c>
      <c r="B39" s="1" t="s">
        <v>9</v>
      </c>
      <c r="C39" s="1" t="s">
        <v>8</v>
      </c>
    </row>
    <row r="40" spans="1:3" ht="12.75" customHeight="1" x14ac:dyDescent="0.2">
      <c r="A40" s="2">
        <v>154</v>
      </c>
      <c r="B40" s="1" t="s">
        <v>13</v>
      </c>
      <c r="C40" s="1" t="s">
        <v>8</v>
      </c>
    </row>
    <row r="41" spans="1:3" ht="12.75" customHeight="1" x14ac:dyDescent="0.2">
      <c r="A41" s="2">
        <v>154</v>
      </c>
      <c r="B41" s="1" t="s">
        <v>15</v>
      </c>
      <c r="C41" s="1" t="s">
        <v>8</v>
      </c>
    </row>
    <row r="42" spans="1:3" ht="12.75" customHeight="1" x14ac:dyDescent="0.2">
      <c r="A42" s="2">
        <v>154</v>
      </c>
      <c r="B42" s="1" t="s">
        <v>18</v>
      </c>
      <c r="C42" s="1" t="s">
        <v>7</v>
      </c>
    </row>
    <row r="43" spans="1:3" ht="12.75" customHeight="1" x14ac:dyDescent="0.2">
      <c r="A43" s="2">
        <v>154</v>
      </c>
      <c r="B43" s="1" t="s">
        <v>21</v>
      </c>
      <c r="C43" s="1" t="s">
        <v>6</v>
      </c>
    </row>
    <row r="44" spans="1:3" ht="12.75" customHeight="1" x14ac:dyDescent="0.2">
      <c r="A44" s="2">
        <v>154</v>
      </c>
      <c r="B44" s="1" t="s">
        <v>25</v>
      </c>
      <c r="C44" s="1" t="s">
        <v>6</v>
      </c>
    </row>
    <row r="45" spans="1:3" ht="12.75" customHeight="1" x14ac:dyDescent="0.2">
      <c r="A45" s="2">
        <v>174</v>
      </c>
      <c r="B45" s="1" t="s">
        <v>13</v>
      </c>
      <c r="C45" s="1" t="s">
        <v>7</v>
      </c>
    </row>
    <row r="46" spans="1:3" ht="12.75" customHeight="1" x14ac:dyDescent="0.2">
      <c r="A46" s="2">
        <v>180</v>
      </c>
      <c r="B46" s="1" t="s">
        <v>13</v>
      </c>
      <c r="C46" s="1" t="s">
        <v>8</v>
      </c>
    </row>
    <row r="47" spans="1:3" ht="12.75" customHeight="1" x14ac:dyDescent="0.2">
      <c r="A47" s="2">
        <v>180</v>
      </c>
      <c r="B47" s="1" t="s">
        <v>20</v>
      </c>
      <c r="C47" s="1" t="s">
        <v>8</v>
      </c>
    </row>
    <row r="48" spans="1:3" ht="12.75" customHeight="1" x14ac:dyDescent="0.2">
      <c r="A48" s="2">
        <v>190</v>
      </c>
      <c r="B48" s="1" t="s">
        <v>13</v>
      </c>
      <c r="C48" s="1" t="s">
        <v>4</v>
      </c>
    </row>
    <row r="49" spans="1:3" ht="12.75" customHeight="1" x14ac:dyDescent="0.2">
      <c r="A49" s="2">
        <v>190</v>
      </c>
      <c r="B49" s="1" t="s">
        <v>25</v>
      </c>
      <c r="C49" s="1" t="s">
        <v>4</v>
      </c>
    </row>
    <row r="50" spans="1:3" ht="12.75" customHeight="1" x14ac:dyDescent="0.2">
      <c r="A50" s="2">
        <v>193</v>
      </c>
      <c r="B50" s="1" t="s">
        <v>9</v>
      </c>
      <c r="C50" s="1" t="s">
        <v>7</v>
      </c>
    </row>
    <row r="51" spans="1:3" ht="12.75" customHeight="1" x14ac:dyDescent="0.2">
      <c r="A51" s="2">
        <v>196</v>
      </c>
      <c r="B51" s="1" t="s">
        <v>9</v>
      </c>
      <c r="C51" s="1" t="s">
        <v>6</v>
      </c>
    </row>
    <row r="52" spans="1:3" ht="12.75" customHeight="1" x14ac:dyDescent="0.2">
      <c r="A52" s="2">
        <v>196</v>
      </c>
      <c r="B52" s="1" t="s">
        <v>25</v>
      </c>
      <c r="C52" s="1" t="s">
        <v>11</v>
      </c>
    </row>
    <row r="53" spans="1:3" ht="12.75" customHeight="1" x14ac:dyDescent="0.2">
      <c r="A53" s="2">
        <v>199</v>
      </c>
      <c r="B53" s="1" t="s">
        <v>9</v>
      </c>
      <c r="C53" s="1" t="s">
        <v>6</v>
      </c>
    </row>
    <row r="54" spans="1:3" ht="12.75" customHeight="1" x14ac:dyDescent="0.2">
      <c r="A54" s="2">
        <v>199</v>
      </c>
      <c r="B54" s="1" t="s">
        <v>23</v>
      </c>
      <c r="C54" s="1" t="s">
        <v>11</v>
      </c>
    </row>
    <row r="55" spans="1:3" ht="12.75" customHeight="1" x14ac:dyDescent="0.2">
      <c r="A55" s="2">
        <v>211</v>
      </c>
      <c r="B55" s="1" t="s">
        <v>18</v>
      </c>
      <c r="C55" s="1" t="s">
        <v>4</v>
      </c>
    </row>
    <row r="56" spans="1:3" ht="12.75" customHeight="1" x14ac:dyDescent="0.2">
      <c r="A56" s="2">
        <v>228</v>
      </c>
      <c r="B56" s="1" t="s">
        <v>9</v>
      </c>
      <c r="C56" s="1" t="s">
        <v>4</v>
      </c>
    </row>
    <row r="57" spans="1:3" ht="12.75" customHeight="1" x14ac:dyDescent="0.2">
      <c r="A57" s="2">
        <v>228</v>
      </c>
      <c r="B57" s="1" t="s">
        <v>25</v>
      </c>
      <c r="C57" s="1" t="s">
        <v>4</v>
      </c>
    </row>
    <row r="58" spans="1:3" ht="12.75" customHeight="1" x14ac:dyDescent="0.2">
      <c r="A58" s="2">
        <v>230</v>
      </c>
      <c r="B58" s="1" t="s">
        <v>12</v>
      </c>
      <c r="C58" s="1" t="s">
        <v>6</v>
      </c>
    </row>
    <row r="59" spans="1:3" ht="12.75" customHeight="1" x14ac:dyDescent="0.2">
      <c r="A59" s="2">
        <v>242</v>
      </c>
      <c r="B59" s="1" t="s">
        <v>9</v>
      </c>
      <c r="C59" s="1" t="s">
        <v>6</v>
      </c>
    </row>
    <row r="60" spans="1:3" ht="12.75" customHeight="1" x14ac:dyDescent="0.2">
      <c r="A60" s="2">
        <v>244</v>
      </c>
      <c r="B60" s="1" t="s">
        <v>14</v>
      </c>
      <c r="C60" s="1" t="s">
        <v>4</v>
      </c>
    </row>
    <row r="61" spans="1:3" ht="12.75" customHeight="1" x14ac:dyDescent="0.2">
      <c r="A61" s="2">
        <v>244</v>
      </c>
      <c r="B61" s="1" t="s">
        <v>15</v>
      </c>
      <c r="C61" s="1" t="s">
        <v>4</v>
      </c>
    </row>
    <row r="62" spans="1:3" ht="12.75" customHeight="1" x14ac:dyDescent="0.2">
      <c r="A62" s="2">
        <v>244</v>
      </c>
      <c r="B62" s="1" t="s">
        <v>23</v>
      </c>
      <c r="C62" s="1" t="s">
        <v>4</v>
      </c>
    </row>
    <row r="63" spans="1:3" ht="12.75" customHeight="1" x14ac:dyDescent="0.2">
      <c r="A63" s="2">
        <v>266</v>
      </c>
      <c r="B63" s="1" t="s">
        <v>9</v>
      </c>
      <c r="C63" s="1" t="s">
        <v>6</v>
      </c>
    </row>
    <row r="64" spans="1:3" ht="12.75" customHeight="1" x14ac:dyDescent="0.2">
      <c r="A64" s="2">
        <v>268</v>
      </c>
      <c r="B64" s="1" t="s">
        <v>20</v>
      </c>
      <c r="C64" s="1" t="s">
        <v>10</v>
      </c>
    </row>
    <row r="65" spans="1:3" ht="12.75" customHeight="1" x14ac:dyDescent="0.2">
      <c r="A65" s="2">
        <v>273</v>
      </c>
      <c r="B65" s="1" t="s">
        <v>13</v>
      </c>
      <c r="C65" s="1" t="s">
        <v>6</v>
      </c>
    </row>
    <row r="66" spans="1:3" ht="12.75" customHeight="1" x14ac:dyDescent="0.2">
      <c r="A66" s="2">
        <v>273</v>
      </c>
      <c r="B66" s="1" t="s">
        <v>23</v>
      </c>
      <c r="C66" s="1" t="s">
        <v>6</v>
      </c>
    </row>
    <row r="67" spans="1:3" ht="12.75" customHeight="1" x14ac:dyDescent="0.2">
      <c r="A67" s="2">
        <v>274</v>
      </c>
      <c r="B67" s="1" t="s">
        <v>9</v>
      </c>
      <c r="C67" s="1" t="s">
        <v>6</v>
      </c>
    </row>
    <row r="68" spans="1:3" ht="12.75" customHeight="1" x14ac:dyDescent="0.2">
      <c r="A68" s="2">
        <v>274</v>
      </c>
      <c r="B68" s="1" t="s">
        <v>14</v>
      </c>
      <c r="C68" s="1" t="s">
        <v>6</v>
      </c>
    </row>
    <row r="69" spans="1:3" ht="12.75" customHeight="1" x14ac:dyDescent="0.2">
      <c r="A69" s="2">
        <v>274</v>
      </c>
      <c r="B69" s="1" t="s">
        <v>17</v>
      </c>
      <c r="C69" s="1" t="s">
        <v>6</v>
      </c>
    </row>
    <row r="70" spans="1:3" ht="12.75" customHeight="1" x14ac:dyDescent="0.2">
      <c r="A70" s="2">
        <v>274</v>
      </c>
      <c r="B70" s="1" t="s">
        <v>18</v>
      </c>
      <c r="C70" s="1" t="s">
        <v>6</v>
      </c>
    </row>
    <row r="71" spans="1:3" ht="12.75" customHeight="1" x14ac:dyDescent="0.2">
      <c r="A71" s="2">
        <v>274</v>
      </c>
      <c r="B71" s="1" t="s">
        <v>20</v>
      </c>
      <c r="C71" s="1" t="s">
        <v>6</v>
      </c>
    </row>
    <row r="72" spans="1:3" ht="12.75" customHeight="1" x14ac:dyDescent="0.2">
      <c r="A72" s="2">
        <v>281</v>
      </c>
      <c r="B72" s="1" t="s">
        <v>9</v>
      </c>
      <c r="C72" s="1" t="s">
        <v>5</v>
      </c>
    </row>
    <row r="73" spans="1:3" ht="12.75" customHeight="1" x14ac:dyDescent="0.2">
      <c r="A73" s="2">
        <v>281</v>
      </c>
      <c r="B73" s="1" t="s">
        <v>16</v>
      </c>
      <c r="C73" s="1" t="s">
        <v>6</v>
      </c>
    </row>
    <row r="74" spans="1:3" ht="12.75" customHeight="1" x14ac:dyDescent="0.2">
      <c r="A74" s="2">
        <v>281</v>
      </c>
      <c r="B74" s="1" t="s">
        <v>25</v>
      </c>
      <c r="C74" s="1" t="s">
        <v>6</v>
      </c>
    </row>
    <row r="75" spans="1:3" ht="12.75" customHeight="1" x14ac:dyDescent="0.2">
      <c r="A75" s="2">
        <v>294</v>
      </c>
      <c r="B75" s="1" t="s">
        <v>16</v>
      </c>
      <c r="C75" s="1" t="s">
        <v>10</v>
      </c>
    </row>
    <row r="76" spans="1:3" ht="12.75" customHeight="1" x14ac:dyDescent="0.2">
      <c r="A76" s="2">
        <v>301</v>
      </c>
      <c r="B76" s="1" t="s">
        <v>3</v>
      </c>
      <c r="C76" s="1" t="s">
        <v>8</v>
      </c>
    </row>
    <row r="77" spans="1:3" ht="12.75" customHeight="1" x14ac:dyDescent="0.2">
      <c r="A77" s="2">
        <v>301</v>
      </c>
      <c r="B77" s="1" t="s">
        <v>13</v>
      </c>
      <c r="C77" s="1" t="s">
        <v>8</v>
      </c>
    </row>
    <row r="78" spans="1:3" ht="12.75" customHeight="1" x14ac:dyDescent="0.2">
      <c r="A78" s="2">
        <v>301</v>
      </c>
      <c r="B78" s="1" t="s">
        <v>16</v>
      </c>
      <c r="C78" s="1" t="s">
        <v>8</v>
      </c>
    </row>
    <row r="79" spans="1:3" ht="12.75" customHeight="1" x14ac:dyDescent="0.2">
      <c r="A79" s="2">
        <v>318</v>
      </c>
      <c r="B79" s="1" t="s">
        <v>9</v>
      </c>
      <c r="C79" s="1" t="s">
        <v>8</v>
      </c>
    </row>
    <row r="80" spans="1:3" ht="12.75" customHeight="1" x14ac:dyDescent="0.2">
      <c r="A80" s="2">
        <v>328</v>
      </c>
      <c r="B80" s="1" t="s">
        <v>9</v>
      </c>
      <c r="C80" s="1" t="s">
        <v>7</v>
      </c>
    </row>
    <row r="81" spans="1:3" ht="12.75" customHeight="1" x14ac:dyDescent="0.2">
      <c r="A81" s="2">
        <v>337</v>
      </c>
      <c r="B81" s="1" t="s">
        <v>17</v>
      </c>
      <c r="C81" s="1" t="s">
        <v>8</v>
      </c>
    </row>
    <row r="82" spans="1:3" ht="12.75" customHeight="1" x14ac:dyDescent="0.2">
      <c r="A82" s="2">
        <v>337</v>
      </c>
      <c r="B82" s="1" t="s">
        <v>20</v>
      </c>
      <c r="C82" s="1" t="s">
        <v>8</v>
      </c>
    </row>
    <row r="83" spans="1:3" ht="12.75" customHeight="1" x14ac:dyDescent="0.2">
      <c r="A83" s="2">
        <v>346</v>
      </c>
      <c r="B83" s="1" t="s">
        <v>18</v>
      </c>
      <c r="C83" s="1" t="s">
        <v>7</v>
      </c>
    </row>
    <row r="84" spans="1:3" ht="12.75" customHeight="1" x14ac:dyDescent="0.2">
      <c r="A84" s="2">
        <v>348</v>
      </c>
      <c r="B84" s="1" t="s">
        <v>13</v>
      </c>
      <c r="C84" s="1" t="s">
        <v>8</v>
      </c>
    </row>
    <row r="85" spans="1:3" ht="12.75" customHeight="1" x14ac:dyDescent="0.2">
      <c r="A85" s="2">
        <v>348</v>
      </c>
      <c r="B85" s="1" t="s">
        <v>15</v>
      </c>
      <c r="C85" s="1" t="s">
        <v>8</v>
      </c>
    </row>
    <row r="86" spans="1:3" ht="12.75" customHeight="1" x14ac:dyDescent="0.2">
      <c r="A86" s="2">
        <v>348</v>
      </c>
      <c r="B86" s="1" t="s">
        <v>21</v>
      </c>
      <c r="C86" s="1" t="s">
        <v>8</v>
      </c>
    </row>
    <row r="87" spans="1:3" ht="12.75" customHeight="1" x14ac:dyDescent="0.2">
      <c r="A87" s="2">
        <v>350</v>
      </c>
      <c r="B87" s="1" t="s">
        <v>25</v>
      </c>
      <c r="C87" s="1" t="s">
        <v>10</v>
      </c>
    </row>
    <row r="88" spans="1:3" ht="12.75" customHeight="1" x14ac:dyDescent="0.2">
      <c r="A88" s="2">
        <v>361</v>
      </c>
      <c r="B88" s="1" t="s">
        <v>15</v>
      </c>
      <c r="C88" s="1" t="s">
        <v>8</v>
      </c>
    </row>
    <row r="89" spans="1:3" ht="12.75" customHeight="1" x14ac:dyDescent="0.2">
      <c r="A89" s="2">
        <v>361</v>
      </c>
      <c r="B89" s="1" t="s">
        <v>21</v>
      </c>
      <c r="C89" s="1" t="s">
        <v>10</v>
      </c>
    </row>
    <row r="90" spans="1:3" ht="12.75" customHeight="1" x14ac:dyDescent="0.2">
      <c r="A90" s="2">
        <v>361</v>
      </c>
      <c r="B90" s="1" t="s">
        <v>21</v>
      </c>
      <c r="C90" s="1" t="s">
        <v>8</v>
      </c>
    </row>
    <row r="91" spans="1:3" ht="12.75" customHeight="1" x14ac:dyDescent="0.2">
      <c r="A91" s="2">
        <v>369</v>
      </c>
      <c r="B91" s="1" t="s">
        <v>3</v>
      </c>
      <c r="C91" s="1" t="s">
        <v>4</v>
      </c>
    </row>
    <row r="92" spans="1:3" ht="12.75" customHeight="1" x14ac:dyDescent="0.2">
      <c r="A92" s="2">
        <v>369</v>
      </c>
      <c r="B92" s="1" t="s">
        <v>23</v>
      </c>
      <c r="C92" s="1" t="s">
        <v>4</v>
      </c>
    </row>
    <row r="93" spans="1:3" ht="12.75" customHeight="1" x14ac:dyDescent="0.2">
      <c r="A93" s="2">
        <v>379</v>
      </c>
      <c r="B93" s="1" t="s">
        <v>9</v>
      </c>
      <c r="C93" s="1" t="s">
        <v>7</v>
      </c>
    </row>
    <row r="94" spans="1:3" ht="12.75" customHeight="1" x14ac:dyDescent="0.2">
      <c r="A94" s="2">
        <v>381</v>
      </c>
      <c r="B94" s="1" t="s">
        <v>13</v>
      </c>
      <c r="C94" s="1" t="s">
        <v>7</v>
      </c>
    </row>
    <row r="95" spans="1:3" ht="12.75" customHeight="1" x14ac:dyDescent="0.2">
      <c r="A95" s="2">
        <v>390</v>
      </c>
      <c r="B95" s="1" t="s">
        <v>9</v>
      </c>
      <c r="C95" s="1" t="s">
        <v>7</v>
      </c>
    </row>
    <row r="96" spans="1:3" ht="12.75" customHeight="1" x14ac:dyDescent="0.2">
      <c r="A96" s="2">
        <v>418</v>
      </c>
      <c r="B96" s="1" t="s">
        <v>9</v>
      </c>
      <c r="C96" s="1" t="s">
        <v>5</v>
      </c>
    </row>
    <row r="97" spans="1:3" ht="12.75" customHeight="1" x14ac:dyDescent="0.2">
      <c r="A97" s="2">
        <v>419</v>
      </c>
      <c r="B97" s="1" t="s">
        <v>3</v>
      </c>
      <c r="C97" s="1" t="s">
        <v>5</v>
      </c>
    </row>
    <row r="98" spans="1:3" ht="12.75" customHeight="1" x14ac:dyDescent="0.2">
      <c r="A98" s="2">
        <v>429</v>
      </c>
      <c r="B98" s="1" t="s">
        <v>3</v>
      </c>
      <c r="C98" s="1" t="s">
        <v>6</v>
      </c>
    </row>
    <row r="99" spans="1:3" ht="12.75" customHeight="1" x14ac:dyDescent="0.2">
      <c r="A99" s="2">
        <v>429</v>
      </c>
      <c r="B99" s="1" t="s">
        <v>13</v>
      </c>
      <c r="C99" s="1" t="s">
        <v>6</v>
      </c>
    </row>
    <row r="100" spans="1:3" ht="12.75" customHeight="1" x14ac:dyDescent="0.2">
      <c r="A100" s="2">
        <v>441</v>
      </c>
      <c r="B100" s="1" t="s">
        <v>9</v>
      </c>
      <c r="C100" s="1" t="s">
        <v>5</v>
      </c>
    </row>
    <row r="101" spans="1:3" ht="12.75" customHeight="1" x14ac:dyDescent="0.2">
      <c r="A101" s="2">
        <v>441</v>
      </c>
      <c r="B101" s="1" t="s">
        <v>17</v>
      </c>
      <c r="C101" s="1" t="s">
        <v>4</v>
      </c>
    </row>
    <row r="102" spans="1:3" ht="12.75" customHeight="1" x14ac:dyDescent="0.2">
      <c r="A102" s="2">
        <v>448</v>
      </c>
      <c r="B102" s="1" t="s">
        <v>9</v>
      </c>
      <c r="C102" s="1" t="s">
        <v>6</v>
      </c>
    </row>
    <row r="103" spans="1:3" ht="12.75" customHeight="1" x14ac:dyDescent="0.2">
      <c r="A103" s="2">
        <v>448</v>
      </c>
      <c r="B103" s="1" t="s">
        <v>25</v>
      </c>
      <c r="C103" s="1" t="s">
        <v>11</v>
      </c>
    </row>
    <row r="104" spans="1:3" ht="12.75" customHeight="1" x14ac:dyDescent="0.2">
      <c r="A104" s="2">
        <v>453</v>
      </c>
      <c r="B104" s="1" t="s">
        <v>3</v>
      </c>
      <c r="C104" s="1" t="s">
        <v>4</v>
      </c>
    </row>
    <row r="105" spans="1:3" ht="12.75" customHeight="1" x14ac:dyDescent="0.2">
      <c r="A105" s="2">
        <v>453</v>
      </c>
      <c r="B105" s="1" t="s">
        <v>13</v>
      </c>
      <c r="C105" s="1" t="s">
        <v>4</v>
      </c>
    </row>
    <row r="106" spans="1:3" ht="12.75" customHeight="1" x14ac:dyDescent="0.2">
      <c r="A106" s="2">
        <v>454</v>
      </c>
      <c r="B106" s="1" t="s">
        <v>9</v>
      </c>
      <c r="C106" s="1" t="s">
        <v>5</v>
      </c>
    </row>
    <row r="107" spans="1:3" ht="12.75" customHeight="1" x14ac:dyDescent="0.2">
      <c r="A107" s="2">
        <v>455</v>
      </c>
      <c r="B107" s="1" t="s">
        <v>9</v>
      </c>
      <c r="C107" s="1" t="s">
        <v>5</v>
      </c>
    </row>
    <row r="108" spans="1:3" ht="12.75" customHeight="1" x14ac:dyDescent="0.2">
      <c r="A108" s="2">
        <v>456</v>
      </c>
      <c r="B108" s="1" t="s">
        <v>9</v>
      </c>
      <c r="C108" s="1" t="s">
        <v>5</v>
      </c>
    </row>
    <row r="109" spans="1:3" ht="12.75" customHeight="1" x14ac:dyDescent="0.2">
      <c r="A109" s="2">
        <v>457</v>
      </c>
      <c r="B109" s="1" t="s">
        <v>9</v>
      </c>
      <c r="C109" s="1" t="s">
        <v>5</v>
      </c>
    </row>
    <row r="110" spans="1:3" ht="12.75" customHeight="1" x14ac:dyDescent="0.2">
      <c r="A110" s="2">
        <v>460</v>
      </c>
      <c r="B110" s="1" t="s">
        <v>22</v>
      </c>
      <c r="C110" s="1" t="s">
        <v>10</v>
      </c>
    </row>
    <row r="111" spans="1:3" ht="12.75" customHeight="1" x14ac:dyDescent="0.2">
      <c r="A111" s="2">
        <v>461</v>
      </c>
      <c r="B111" s="1" t="s">
        <v>9</v>
      </c>
      <c r="C111" s="1" t="s">
        <v>7</v>
      </c>
    </row>
    <row r="112" spans="1:3" ht="12.75" customHeight="1" x14ac:dyDescent="0.2">
      <c r="A112" s="2">
        <v>471</v>
      </c>
      <c r="B112" s="1" t="s">
        <v>9</v>
      </c>
      <c r="C112" s="1" t="s">
        <v>4</v>
      </c>
    </row>
    <row r="113" spans="1:3" ht="12.75" customHeight="1" x14ac:dyDescent="0.2">
      <c r="A113" s="2">
        <v>471</v>
      </c>
      <c r="B113" s="1" t="s">
        <v>25</v>
      </c>
      <c r="C113" s="1" t="s">
        <v>4</v>
      </c>
    </row>
    <row r="114" spans="1:3" ht="12.75" customHeight="1" x14ac:dyDescent="0.2">
      <c r="A114" s="2">
        <v>475</v>
      </c>
      <c r="B114" s="1" t="s">
        <v>9</v>
      </c>
      <c r="C114" s="1" t="s">
        <v>6</v>
      </c>
    </row>
    <row r="115" spans="1:3" ht="12.75" customHeight="1" x14ac:dyDescent="0.2">
      <c r="A115" s="2">
        <v>477</v>
      </c>
      <c r="B115" s="1" t="s">
        <v>9</v>
      </c>
      <c r="C115" s="1" t="s">
        <v>7</v>
      </c>
    </row>
    <row r="116" spans="1:3" ht="12.75" customHeight="1" x14ac:dyDescent="0.2">
      <c r="A116" s="2">
        <v>478</v>
      </c>
      <c r="B116" s="1" t="s">
        <v>9</v>
      </c>
      <c r="C116" s="1" t="s">
        <v>7</v>
      </c>
    </row>
    <row r="117" spans="1:3" ht="12.75" customHeight="1" x14ac:dyDescent="0.2">
      <c r="A117" s="2">
        <v>492</v>
      </c>
      <c r="B117" s="1" t="s">
        <v>9</v>
      </c>
      <c r="C117" s="1" t="s">
        <v>10</v>
      </c>
    </row>
    <row r="118" spans="1:3" ht="12.75" customHeight="1" x14ac:dyDescent="0.2">
      <c r="A118" s="2">
        <v>492</v>
      </c>
      <c r="B118" s="1" t="s">
        <v>14</v>
      </c>
      <c r="C118" s="1" t="s">
        <v>10</v>
      </c>
    </row>
    <row r="119" spans="1:3" ht="12.75" customHeight="1" x14ac:dyDescent="0.2">
      <c r="A119" s="2">
        <v>492</v>
      </c>
      <c r="B119" s="1" t="s">
        <v>21</v>
      </c>
      <c r="C119" s="1" t="s">
        <v>10</v>
      </c>
    </row>
    <row r="120" spans="1:3" ht="12.75" customHeight="1" x14ac:dyDescent="0.2">
      <c r="A120" s="2">
        <v>493</v>
      </c>
      <c r="B120" s="1" t="s">
        <v>12</v>
      </c>
      <c r="C120" s="1" t="s">
        <v>10</v>
      </c>
    </row>
    <row r="121" spans="1:3" ht="12.75" customHeight="1" x14ac:dyDescent="0.2">
      <c r="A121" s="2">
        <v>495</v>
      </c>
      <c r="B121" s="1" t="s">
        <v>15</v>
      </c>
      <c r="C121" s="1" t="s">
        <v>4</v>
      </c>
    </row>
    <row r="122" spans="1:3" ht="12.75" customHeight="1" x14ac:dyDescent="0.2">
      <c r="A122" s="2">
        <v>495</v>
      </c>
      <c r="B122" s="1" t="s">
        <v>18</v>
      </c>
      <c r="C122" s="1" t="s">
        <v>7</v>
      </c>
    </row>
    <row r="123" spans="1:3" ht="12.75" customHeight="1" x14ac:dyDescent="0.2">
      <c r="A123" s="2">
        <v>498</v>
      </c>
      <c r="B123" s="1" t="s">
        <v>9</v>
      </c>
      <c r="C123" s="1" t="s">
        <v>4</v>
      </c>
    </row>
    <row r="124" spans="1:3" ht="12.75" customHeight="1" x14ac:dyDescent="0.2">
      <c r="A124" s="2">
        <v>506</v>
      </c>
      <c r="B124" s="1" t="s">
        <v>14</v>
      </c>
      <c r="C124" s="1" t="s">
        <v>7</v>
      </c>
    </row>
    <row r="125" spans="1:3" ht="12.75" customHeight="1" x14ac:dyDescent="0.2">
      <c r="A125" s="2">
        <v>509</v>
      </c>
      <c r="B125" s="1" t="s">
        <v>12</v>
      </c>
      <c r="C125" s="1" t="s">
        <v>6</v>
      </c>
    </row>
    <row r="126" spans="1:3" ht="12.75" customHeight="1" x14ac:dyDescent="0.2">
      <c r="A126" s="2">
        <v>519</v>
      </c>
      <c r="B126" s="1" t="s">
        <v>12</v>
      </c>
      <c r="C126" s="1" t="s">
        <v>6</v>
      </c>
    </row>
    <row r="127" spans="1:3" ht="12.75" customHeight="1" x14ac:dyDescent="0.2">
      <c r="A127" s="2">
        <v>519</v>
      </c>
      <c r="B127" s="1" t="s">
        <v>22</v>
      </c>
      <c r="C127" s="1" t="s">
        <v>11</v>
      </c>
    </row>
    <row r="128" spans="1:3" ht="12.75" customHeight="1" x14ac:dyDescent="0.2">
      <c r="A128" s="2">
        <v>519</v>
      </c>
      <c r="B128" s="1" t="s">
        <v>23</v>
      </c>
      <c r="C128" s="1" t="s">
        <v>11</v>
      </c>
    </row>
    <row r="129" spans="1:3" ht="12.75" customHeight="1" x14ac:dyDescent="0.2">
      <c r="A129" s="2">
        <v>524</v>
      </c>
      <c r="B129" s="1" t="s">
        <v>9</v>
      </c>
      <c r="C129" s="1" t="s">
        <v>7</v>
      </c>
    </row>
    <row r="130" spans="1:3" ht="12.75" customHeight="1" x14ac:dyDescent="0.2">
      <c r="A130" s="2">
        <v>529</v>
      </c>
      <c r="B130" s="1" t="s">
        <v>13</v>
      </c>
      <c r="C130" s="1" t="s">
        <v>4</v>
      </c>
    </row>
    <row r="131" spans="1:3" ht="12.75" customHeight="1" x14ac:dyDescent="0.2">
      <c r="A131" s="2">
        <v>530</v>
      </c>
      <c r="B131" s="1" t="s">
        <v>14</v>
      </c>
      <c r="C131" s="1" t="s">
        <v>4</v>
      </c>
    </row>
    <row r="132" spans="1:3" ht="12.75" customHeight="1" x14ac:dyDescent="0.2">
      <c r="A132" s="2">
        <v>535</v>
      </c>
      <c r="B132" s="1" t="s">
        <v>9</v>
      </c>
      <c r="C132" s="1" t="s">
        <v>7</v>
      </c>
    </row>
    <row r="133" spans="1:3" ht="12.75" customHeight="1" x14ac:dyDescent="0.2">
      <c r="A133" s="2">
        <v>540</v>
      </c>
      <c r="B133" s="1" t="s">
        <v>14</v>
      </c>
      <c r="C133" s="1" t="s">
        <v>7</v>
      </c>
    </row>
    <row r="134" spans="1:3" ht="12.75" customHeight="1" x14ac:dyDescent="0.2">
      <c r="A134" s="2">
        <v>547</v>
      </c>
      <c r="B134" s="1" t="s">
        <v>3</v>
      </c>
      <c r="C134" s="1" t="s">
        <v>5</v>
      </c>
    </row>
    <row r="135" spans="1:3" ht="12.75" customHeight="1" x14ac:dyDescent="0.2">
      <c r="A135" s="2">
        <v>547</v>
      </c>
      <c r="B135" s="1" t="s">
        <v>12</v>
      </c>
      <c r="C135" s="1" t="s">
        <v>5</v>
      </c>
    </row>
    <row r="136" spans="1:3" ht="12.75" customHeight="1" x14ac:dyDescent="0.2">
      <c r="A136" s="2">
        <v>547</v>
      </c>
      <c r="B136" s="1" t="s">
        <v>15</v>
      </c>
      <c r="C136" s="1" t="s">
        <v>5</v>
      </c>
    </row>
    <row r="137" spans="1:3" ht="12.75" customHeight="1" x14ac:dyDescent="0.2">
      <c r="A137" s="2">
        <v>547</v>
      </c>
      <c r="B137" s="1" t="s">
        <v>21</v>
      </c>
      <c r="C137" s="1" t="s">
        <v>5</v>
      </c>
    </row>
    <row r="138" spans="1:3" ht="12.75" customHeight="1" x14ac:dyDescent="0.2">
      <c r="A138" s="2">
        <v>547</v>
      </c>
      <c r="B138" s="1" t="s">
        <v>25</v>
      </c>
      <c r="C138" s="1" t="s">
        <v>6</v>
      </c>
    </row>
    <row r="139" spans="1:3" ht="12.75" customHeight="1" x14ac:dyDescent="0.2">
      <c r="A139" s="2">
        <v>548</v>
      </c>
      <c r="B139" s="1" t="s">
        <v>3</v>
      </c>
      <c r="C139" s="1" t="s">
        <v>5</v>
      </c>
    </row>
    <row r="140" spans="1:3" ht="12.75" customHeight="1" x14ac:dyDescent="0.2">
      <c r="A140" s="2">
        <v>548</v>
      </c>
      <c r="B140" s="1" t="s">
        <v>12</v>
      </c>
      <c r="C140" s="1" t="s">
        <v>5</v>
      </c>
    </row>
    <row r="141" spans="1:3" ht="12.75" customHeight="1" x14ac:dyDescent="0.2">
      <c r="A141" s="2">
        <v>549</v>
      </c>
      <c r="B141" s="1" t="s">
        <v>14</v>
      </c>
      <c r="C141" s="1" t="s">
        <v>4</v>
      </c>
    </row>
    <row r="142" spans="1:3" ht="12.75" customHeight="1" x14ac:dyDescent="0.2">
      <c r="A142" s="2">
        <v>553</v>
      </c>
      <c r="B142" s="1" t="s">
        <v>18</v>
      </c>
      <c r="C142" s="1" t="s">
        <v>7</v>
      </c>
    </row>
    <row r="143" spans="1:3" ht="12.75" customHeight="1" x14ac:dyDescent="0.2">
      <c r="A143" s="2">
        <v>556</v>
      </c>
      <c r="B143" s="1" t="s">
        <v>13</v>
      </c>
      <c r="C143" s="1" t="s">
        <v>7</v>
      </c>
    </row>
    <row r="144" spans="1:3" ht="12.75" customHeight="1" x14ac:dyDescent="0.2">
      <c r="A144" s="2">
        <v>562</v>
      </c>
      <c r="B144" s="1" t="s">
        <v>14</v>
      </c>
      <c r="C144" s="1" t="s">
        <v>4</v>
      </c>
    </row>
    <row r="145" spans="1:3" ht="12.75" customHeight="1" x14ac:dyDescent="0.2">
      <c r="A145" s="2">
        <v>562</v>
      </c>
      <c r="B145" s="1" t="s">
        <v>15</v>
      </c>
      <c r="C145" s="1" t="s">
        <v>4</v>
      </c>
    </row>
    <row r="146" spans="1:3" ht="12.75" customHeight="1" x14ac:dyDescent="0.2">
      <c r="A146" s="2">
        <v>562</v>
      </c>
      <c r="B146" s="1" t="s">
        <v>23</v>
      </c>
      <c r="C146" s="1" t="s">
        <v>4</v>
      </c>
    </row>
    <row r="147" spans="1:3" ht="12.75" customHeight="1" x14ac:dyDescent="0.2">
      <c r="A147" s="2">
        <v>563</v>
      </c>
      <c r="B147" s="1" t="s">
        <v>16</v>
      </c>
      <c r="C147" s="1" t="s">
        <v>7</v>
      </c>
    </row>
    <row r="148" spans="1:3" ht="12.75" customHeight="1" x14ac:dyDescent="0.2">
      <c r="A148" s="2">
        <v>569</v>
      </c>
      <c r="B148" s="1" t="s">
        <v>17</v>
      </c>
      <c r="C148" s="1" t="s">
        <v>7</v>
      </c>
    </row>
    <row r="149" spans="1:3" ht="12.75" customHeight="1" x14ac:dyDescent="0.2">
      <c r="A149" s="2">
        <v>569</v>
      </c>
      <c r="B149" s="1" t="s">
        <v>25</v>
      </c>
      <c r="C149" s="1" t="s">
        <v>11</v>
      </c>
    </row>
    <row r="150" spans="1:3" ht="12.75" customHeight="1" x14ac:dyDescent="0.2">
      <c r="A150" s="2">
        <v>572</v>
      </c>
      <c r="B150" s="1" t="s">
        <v>9</v>
      </c>
      <c r="C150" s="1" t="s">
        <v>4</v>
      </c>
    </row>
    <row r="151" spans="1:3" ht="12.75" customHeight="1" x14ac:dyDescent="0.2">
      <c r="A151" s="2">
        <v>573</v>
      </c>
      <c r="B151" s="1" t="s">
        <v>9</v>
      </c>
      <c r="C151" s="1" t="s">
        <v>4</v>
      </c>
    </row>
    <row r="152" spans="1:3" ht="12.75" customHeight="1" x14ac:dyDescent="0.2">
      <c r="A152" s="2">
        <v>574</v>
      </c>
      <c r="B152" s="1" t="s">
        <v>9</v>
      </c>
      <c r="C152" s="1" t="s">
        <v>4</v>
      </c>
    </row>
    <row r="153" spans="1:3" ht="12.75" customHeight="1" x14ac:dyDescent="0.2">
      <c r="A153" s="2">
        <v>575</v>
      </c>
      <c r="B153" s="1" t="s">
        <v>9</v>
      </c>
      <c r="C153" s="1" t="s">
        <v>4</v>
      </c>
    </row>
    <row r="154" spans="1:3" ht="12.75" customHeight="1" x14ac:dyDescent="0.2">
      <c r="A154" s="2">
        <v>576</v>
      </c>
      <c r="B154" s="1" t="s">
        <v>9</v>
      </c>
      <c r="C154" s="1" t="s">
        <v>4</v>
      </c>
    </row>
    <row r="155" spans="1:3" ht="12.75" customHeight="1" x14ac:dyDescent="0.2">
      <c r="A155" s="2">
        <v>578</v>
      </c>
      <c r="B155" s="1" t="s">
        <v>3</v>
      </c>
      <c r="C155" s="1" t="s">
        <v>8</v>
      </c>
    </row>
    <row r="156" spans="1:3" ht="12.75" customHeight="1" x14ac:dyDescent="0.2">
      <c r="A156" s="2">
        <v>579</v>
      </c>
      <c r="B156" s="1" t="s">
        <v>3</v>
      </c>
      <c r="C156" s="1" t="s">
        <v>4</v>
      </c>
    </row>
    <row r="157" spans="1:3" ht="12.75" customHeight="1" x14ac:dyDescent="0.2">
      <c r="A157" s="2">
        <v>580</v>
      </c>
      <c r="B157" s="1" t="s">
        <v>14</v>
      </c>
      <c r="C157" s="1" t="s">
        <v>5</v>
      </c>
    </row>
    <row r="158" spans="1:3" ht="12.75" customHeight="1" x14ac:dyDescent="0.2">
      <c r="A158" s="2">
        <v>580</v>
      </c>
      <c r="B158" s="1" t="s">
        <v>20</v>
      </c>
      <c r="C158" s="1" t="s">
        <v>6</v>
      </c>
    </row>
    <row r="159" spans="1:3" ht="12.75" customHeight="1" x14ac:dyDescent="0.2">
      <c r="A159" s="2">
        <v>581</v>
      </c>
      <c r="B159" s="1" t="s">
        <v>9</v>
      </c>
      <c r="C159" s="1" t="s">
        <v>7</v>
      </c>
    </row>
    <row r="160" spans="1:3" ht="12.75" customHeight="1" x14ac:dyDescent="0.2">
      <c r="A160" s="2">
        <v>583</v>
      </c>
      <c r="B160" s="1" t="s">
        <v>9</v>
      </c>
      <c r="C160" s="1" t="s">
        <v>5</v>
      </c>
    </row>
    <row r="161" spans="1:3" ht="12.75" customHeight="1" x14ac:dyDescent="0.2">
      <c r="A161" s="2">
        <v>583</v>
      </c>
      <c r="B161" s="1" t="s">
        <v>16</v>
      </c>
      <c r="C161" s="1" t="s">
        <v>6</v>
      </c>
    </row>
    <row r="162" spans="1:3" ht="12.75" customHeight="1" x14ac:dyDescent="0.2">
      <c r="A162" s="2">
        <v>585</v>
      </c>
      <c r="B162" s="1" t="s">
        <v>16</v>
      </c>
      <c r="C162" s="1" t="s">
        <v>5</v>
      </c>
    </row>
    <row r="163" spans="1:3" ht="12.75" customHeight="1" x14ac:dyDescent="0.2">
      <c r="A163" s="2">
        <v>586</v>
      </c>
      <c r="B163" s="1" t="s">
        <v>3</v>
      </c>
      <c r="C163" s="1" t="s">
        <v>7</v>
      </c>
    </row>
    <row r="164" spans="1:3" ht="12.75" customHeight="1" x14ac:dyDescent="0.2">
      <c r="A164" s="2">
        <v>586</v>
      </c>
      <c r="B164" s="1" t="s">
        <v>18</v>
      </c>
      <c r="C164" s="1" t="s">
        <v>8</v>
      </c>
    </row>
    <row r="165" spans="1:3" ht="12.75" customHeight="1" x14ac:dyDescent="0.2">
      <c r="A165" s="2">
        <v>592</v>
      </c>
      <c r="B165" s="1" t="s">
        <v>3</v>
      </c>
      <c r="C165" s="1" t="s">
        <v>4</v>
      </c>
    </row>
    <row r="166" spans="1:3" ht="12.75" customHeight="1" x14ac:dyDescent="0.2">
      <c r="A166" s="2">
        <v>594</v>
      </c>
      <c r="B166" s="1" t="s">
        <v>3</v>
      </c>
      <c r="C166" s="1" t="s">
        <v>4</v>
      </c>
    </row>
    <row r="167" spans="1:3" ht="12.75" customHeight="1" x14ac:dyDescent="0.2">
      <c r="A167" s="2">
        <v>596</v>
      </c>
      <c r="B167" s="1" t="s">
        <v>9</v>
      </c>
      <c r="C167" s="1" t="s">
        <v>4</v>
      </c>
    </row>
    <row r="168" spans="1:3" ht="12.75" customHeight="1" x14ac:dyDescent="0.2">
      <c r="A168" s="2">
        <v>597</v>
      </c>
      <c r="B168" s="1" t="s">
        <v>9</v>
      </c>
      <c r="C168" s="1" t="s">
        <v>5</v>
      </c>
    </row>
    <row r="169" spans="1:3" ht="12.75" customHeight="1" x14ac:dyDescent="0.2">
      <c r="A169" s="2">
        <v>597</v>
      </c>
      <c r="B169" s="1" t="s">
        <v>25</v>
      </c>
      <c r="C169" s="1" t="s">
        <v>4</v>
      </c>
    </row>
    <row r="170" spans="1:3" ht="12.75" customHeight="1" x14ac:dyDescent="0.2">
      <c r="A170" s="2">
        <v>600</v>
      </c>
      <c r="B170" s="1" t="s">
        <v>3</v>
      </c>
      <c r="C170" s="1" t="s">
        <v>4</v>
      </c>
    </row>
    <row r="171" spans="1:3" ht="12.75" customHeight="1" x14ac:dyDescent="0.2">
      <c r="A171" s="2">
        <v>600</v>
      </c>
      <c r="B171" s="1" t="s">
        <v>13</v>
      </c>
      <c r="C171" s="1" t="s">
        <v>4</v>
      </c>
    </row>
    <row r="172" spans="1:3" ht="12.75" customHeight="1" x14ac:dyDescent="0.2">
      <c r="A172" s="2">
        <v>600</v>
      </c>
      <c r="B172" s="1" t="s">
        <v>15</v>
      </c>
      <c r="C172" s="1" t="s">
        <v>4</v>
      </c>
    </row>
    <row r="173" spans="1:3" ht="12.75" customHeight="1" x14ac:dyDescent="0.2">
      <c r="A173" s="2">
        <v>600</v>
      </c>
      <c r="B173" s="1" t="s">
        <v>15</v>
      </c>
      <c r="C173" s="1" t="s">
        <v>4</v>
      </c>
    </row>
    <row r="174" spans="1:3" ht="12.75" customHeight="1" x14ac:dyDescent="0.2">
      <c r="A174" s="2">
        <v>600</v>
      </c>
      <c r="B174" s="1" t="s">
        <v>17</v>
      </c>
      <c r="C174" s="1" t="s">
        <v>4</v>
      </c>
    </row>
    <row r="175" spans="1:3" ht="12.75" customHeight="1" x14ac:dyDescent="0.2">
      <c r="A175" s="2">
        <v>603</v>
      </c>
      <c r="B175" s="1" t="s">
        <v>9</v>
      </c>
      <c r="C175" s="1" t="s">
        <v>5</v>
      </c>
    </row>
    <row r="176" spans="1:3" ht="12.75" customHeight="1" x14ac:dyDescent="0.2">
      <c r="A176" s="2">
        <v>610</v>
      </c>
      <c r="B176" s="1" t="s">
        <v>17</v>
      </c>
      <c r="C176" s="1" t="s">
        <v>4</v>
      </c>
    </row>
    <row r="177" spans="1:3" ht="12.75" customHeight="1" x14ac:dyDescent="0.2">
      <c r="A177" s="2">
        <v>610</v>
      </c>
      <c r="B177" s="1" t="s">
        <v>25</v>
      </c>
      <c r="C177" s="1" t="s">
        <v>11</v>
      </c>
    </row>
    <row r="178" spans="1:3" ht="12.75" customHeight="1" x14ac:dyDescent="0.2">
      <c r="A178" s="2">
        <v>613</v>
      </c>
      <c r="B178" s="1" t="s">
        <v>9</v>
      </c>
      <c r="C178" s="1" t="s">
        <v>4</v>
      </c>
    </row>
    <row r="179" spans="1:3" ht="12.75" customHeight="1" x14ac:dyDescent="0.2">
      <c r="A179" s="2">
        <v>615</v>
      </c>
      <c r="B179" s="1" t="s">
        <v>9</v>
      </c>
      <c r="C179" s="1" t="s">
        <v>4</v>
      </c>
    </row>
    <row r="180" spans="1:3" ht="12.75" customHeight="1" x14ac:dyDescent="0.2">
      <c r="A180" s="2">
        <v>617</v>
      </c>
      <c r="B180" s="1" t="s">
        <v>9</v>
      </c>
      <c r="C180" s="1" t="s">
        <v>4</v>
      </c>
    </row>
    <row r="181" spans="1:3" ht="12.75" customHeight="1" x14ac:dyDescent="0.2">
      <c r="A181" s="2">
        <v>620</v>
      </c>
      <c r="B181" s="1" t="s">
        <v>3</v>
      </c>
      <c r="C181" s="1" t="s">
        <v>4</v>
      </c>
    </row>
    <row r="182" spans="1:3" ht="12.75" customHeight="1" x14ac:dyDescent="0.2">
      <c r="A182" s="2">
        <v>623</v>
      </c>
      <c r="B182" s="1" t="s">
        <v>9</v>
      </c>
      <c r="C182" s="1" t="s">
        <v>7</v>
      </c>
    </row>
    <row r="183" spans="1:3" ht="12.75" customHeight="1" x14ac:dyDescent="0.2">
      <c r="A183" s="2">
        <v>624</v>
      </c>
      <c r="B183" s="1" t="s">
        <v>12</v>
      </c>
      <c r="C183" s="1" t="s">
        <v>8</v>
      </c>
    </row>
    <row r="184" spans="1:3" ht="12.75" customHeight="1" x14ac:dyDescent="0.2">
      <c r="A184" s="2">
        <v>626</v>
      </c>
      <c r="B184" s="1" t="s">
        <v>9</v>
      </c>
      <c r="C184" s="1" t="s">
        <v>4</v>
      </c>
    </row>
    <row r="185" spans="1:3" ht="12.75" customHeight="1" x14ac:dyDescent="0.2">
      <c r="A185" s="2">
        <v>629</v>
      </c>
      <c r="B185" s="1" t="s">
        <v>9</v>
      </c>
      <c r="C185" s="1" t="s">
        <v>11</v>
      </c>
    </row>
    <row r="186" spans="1:3" ht="12.75" customHeight="1" x14ac:dyDescent="0.2">
      <c r="A186" s="2">
        <v>629</v>
      </c>
      <c r="B186" s="1" t="s">
        <v>12</v>
      </c>
      <c r="C186" s="1" t="s">
        <v>11</v>
      </c>
    </row>
    <row r="187" spans="1:3" ht="12.75" customHeight="1" x14ac:dyDescent="0.2">
      <c r="A187" s="2">
        <v>629</v>
      </c>
      <c r="B187" s="1" t="s">
        <v>13</v>
      </c>
      <c r="C187" s="1" t="s">
        <v>4</v>
      </c>
    </row>
    <row r="188" spans="1:3" ht="12.75" customHeight="1" x14ac:dyDescent="0.2">
      <c r="A188" s="2">
        <v>629</v>
      </c>
      <c r="B188" s="1" t="s">
        <v>25</v>
      </c>
      <c r="C188" s="1" t="s">
        <v>11</v>
      </c>
    </row>
    <row r="189" spans="1:3" ht="12.75" customHeight="1" x14ac:dyDescent="0.2">
      <c r="A189" s="2">
        <v>630</v>
      </c>
      <c r="B189" s="1" t="s">
        <v>9</v>
      </c>
      <c r="C189" s="1" t="s">
        <v>10</v>
      </c>
    </row>
    <row r="190" spans="1:3" ht="12.75" customHeight="1" x14ac:dyDescent="0.2">
      <c r="A190" s="2">
        <v>630</v>
      </c>
      <c r="B190" s="1" t="s">
        <v>18</v>
      </c>
      <c r="C190" s="1" t="s">
        <v>10</v>
      </c>
    </row>
    <row r="191" spans="1:3" ht="12.75" customHeight="1" x14ac:dyDescent="0.2">
      <c r="A191" s="2">
        <v>630</v>
      </c>
      <c r="B191" s="1" t="s">
        <v>22</v>
      </c>
      <c r="C191" s="1" t="s">
        <v>10</v>
      </c>
    </row>
    <row r="192" spans="1:3" ht="12.75" customHeight="1" x14ac:dyDescent="0.2">
      <c r="A192" s="2">
        <v>630</v>
      </c>
      <c r="B192" s="1" t="s">
        <v>23</v>
      </c>
      <c r="C192" s="1" t="s">
        <v>10</v>
      </c>
    </row>
    <row r="193" spans="1:3" ht="12.75" customHeight="1" x14ac:dyDescent="0.2">
      <c r="A193" s="2">
        <v>633</v>
      </c>
      <c r="B193" s="1" t="s">
        <v>3</v>
      </c>
      <c r="C193" s="1" t="s">
        <v>4</v>
      </c>
    </row>
    <row r="194" spans="1:3" ht="12.75" customHeight="1" x14ac:dyDescent="0.2">
      <c r="A194" s="2">
        <v>633</v>
      </c>
      <c r="B194" s="1" t="s">
        <v>13</v>
      </c>
      <c r="C194" s="1" t="s">
        <v>4</v>
      </c>
    </row>
    <row r="195" spans="1:3" ht="12.75" customHeight="1" x14ac:dyDescent="0.2">
      <c r="A195" s="2">
        <v>633</v>
      </c>
      <c r="B195" s="1" t="s">
        <v>15</v>
      </c>
      <c r="C195" s="1" t="s">
        <v>4</v>
      </c>
    </row>
    <row r="196" spans="1:3" ht="12.75" customHeight="1" x14ac:dyDescent="0.2">
      <c r="A196" s="2">
        <v>633</v>
      </c>
      <c r="B196" s="1" t="s">
        <v>17</v>
      </c>
      <c r="C196" s="1" t="s">
        <v>4</v>
      </c>
    </row>
    <row r="197" spans="1:3" ht="12.75" customHeight="1" x14ac:dyDescent="0.2">
      <c r="A197" s="2">
        <v>633</v>
      </c>
      <c r="B197" s="1" t="s">
        <v>18</v>
      </c>
      <c r="C197" s="1" t="s">
        <v>4</v>
      </c>
    </row>
    <row r="198" spans="1:3" ht="12.75" customHeight="1" x14ac:dyDescent="0.2">
      <c r="A198" s="2">
        <v>633</v>
      </c>
      <c r="B198" s="1" t="s">
        <v>20</v>
      </c>
      <c r="C198" s="1" t="s">
        <v>4</v>
      </c>
    </row>
    <row r="199" spans="1:3" ht="12.75" customHeight="1" x14ac:dyDescent="0.2">
      <c r="A199" s="2">
        <v>637</v>
      </c>
      <c r="B199" s="1" t="s">
        <v>3</v>
      </c>
      <c r="C199" s="1" t="s">
        <v>6</v>
      </c>
    </row>
    <row r="200" spans="1:3" ht="12.75" customHeight="1" x14ac:dyDescent="0.2">
      <c r="A200" s="2">
        <v>640</v>
      </c>
      <c r="B200" s="1" t="s">
        <v>13</v>
      </c>
      <c r="C200" s="1" t="s">
        <v>8</v>
      </c>
    </row>
    <row r="201" spans="1:3" ht="12.75" customHeight="1" x14ac:dyDescent="0.2">
      <c r="A201" s="2">
        <v>643</v>
      </c>
      <c r="B201" s="1" t="s">
        <v>9</v>
      </c>
      <c r="C201" s="1" t="s">
        <v>4</v>
      </c>
    </row>
    <row r="202" spans="1:3" ht="12.75" customHeight="1" x14ac:dyDescent="0.2">
      <c r="A202" s="2">
        <v>645</v>
      </c>
      <c r="B202" s="1" t="s">
        <v>3</v>
      </c>
      <c r="C202" s="1" t="s">
        <v>6</v>
      </c>
    </row>
    <row r="203" spans="1:3" ht="12.75" customHeight="1" x14ac:dyDescent="0.2">
      <c r="A203" s="2">
        <v>645</v>
      </c>
      <c r="B203" s="1" t="s">
        <v>25</v>
      </c>
      <c r="C203" s="1" t="s">
        <v>11</v>
      </c>
    </row>
    <row r="204" spans="1:3" ht="12.75" customHeight="1" x14ac:dyDescent="0.2">
      <c r="A204" s="2">
        <v>646</v>
      </c>
      <c r="B204" s="1" t="s">
        <v>14</v>
      </c>
      <c r="C204" s="1" t="s">
        <v>11</v>
      </c>
    </row>
    <row r="205" spans="1:3" ht="12.75" customHeight="1" x14ac:dyDescent="0.2">
      <c r="A205" s="2">
        <v>647</v>
      </c>
      <c r="B205" s="1" t="s">
        <v>14</v>
      </c>
      <c r="C205" s="1" t="s">
        <v>8</v>
      </c>
    </row>
    <row r="206" spans="1:3" ht="12.75" customHeight="1" x14ac:dyDescent="0.2">
      <c r="A206" s="2">
        <v>648</v>
      </c>
      <c r="B206" s="1" t="s">
        <v>20</v>
      </c>
      <c r="C206" s="1" t="s">
        <v>6</v>
      </c>
    </row>
    <row r="207" spans="1:3" ht="12.75" customHeight="1" x14ac:dyDescent="0.2">
      <c r="A207" s="2">
        <v>649</v>
      </c>
      <c r="B207" s="1" t="s">
        <v>12</v>
      </c>
      <c r="C207" s="1" t="s">
        <v>6</v>
      </c>
    </row>
    <row r="208" spans="1:3" ht="12.75" customHeight="1" x14ac:dyDescent="0.2">
      <c r="A208" s="2">
        <v>649</v>
      </c>
      <c r="B208" s="1" t="s">
        <v>13</v>
      </c>
      <c r="C208" s="1" t="s">
        <v>6</v>
      </c>
    </row>
    <row r="209" spans="1:3" ht="12.75" customHeight="1" x14ac:dyDescent="0.2">
      <c r="A209" s="2">
        <v>653</v>
      </c>
      <c r="B209" s="1" t="s">
        <v>13</v>
      </c>
      <c r="C209" s="1" t="s">
        <v>4</v>
      </c>
    </row>
    <row r="210" spans="1:3" ht="12.75" customHeight="1" x14ac:dyDescent="0.2">
      <c r="A210" s="2">
        <v>654</v>
      </c>
      <c r="B210" s="1" t="s">
        <v>9</v>
      </c>
      <c r="C210" s="1" t="s">
        <v>6</v>
      </c>
    </row>
    <row r="211" spans="1:3" ht="12.75" customHeight="1" x14ac:dyDescent="0.2">
      <c r="A211" s="2">
        <v>656</v>
      </c>
      <c r="B211" s="1" t="s">
        <v>25</v>
      </c>
      <c r="C211" s="1" t="s">
        <v>10</v>
      </c>
    </row>
    <row r="212" spans="1:3" ht="12.75" customHeight="1" x14ac:dyDescent="0.2">
      <c r="A212" s="2">
        <v>657</v>
      </c>
      <c r="B212" s="1" t="s">
        <v>3</v>
      </c>
      <c r="C212" s="1" t="s">
        <v>4</v>
      </c>
    </row>
    <row r="213" spans="1:3" ht="12.75" customHeight="1" x14ac:dyDescent="0.2">
      <c r="A213" s="2">
        <v>663</v>
      </c>
      <c r="B213" s="1" t="s">
        <v>15</v>
      </c>
      <c r="C213" s="1" t="s">
        <v>4</v>
      </c>
    </row>
    <row r="214" spans="1:3" ht="12.75" customHeight="1" x14ac:dyDescent="0.2">
      <c r="A214" s="2">
        <v>665</v>
      </c>
      <c r="B214" s="1" t="s">
        <v>3</v>
      </c>
      <c r="C214" s="1" t="s">
        <v>4</v>
      </c>
    </row>
    <row r="215" spans="1:3" ht="12.75" customHeight="1" x14ac:dyDescent="0.2">
      <c r="A215" s="2">
        <v>666</v>
      </c>
      <c r="B215" s="1" t="s">
        <v>3</v>
      </c>
      <c r="C215" s="1" t="s">
        <v>4</v>
      </c>
    </row>
    <row r="216" spans="1:3" ht="12.75" customHeight="1" x14ac:dyDescent="0.2">
      <c r="A216" s="2">
        <v>667</v>
      </c>
      <c r="B216" s="1" t="s">
        <v>13</v>
      </c>
      <c r="C216" s="1" t="s">
        <v>4</v>
      </c>
    </row>
    <row r="217" spans="1:3" ht="12.75" customHeight="1" x14ac:dyDescent="0.2">
      <c r="A217" s="2">
        <v>667</v>
      </c>
      <c r="B217" s="1" t="s">
        <v>14</v>
      </c>
      <c r="C217" s="1" t="s">
        <v>4</v>
      </c>
    </row>
    <row r="218" spans="1:3" ht="12.75" customHeight="1" x14ac:dyDescent="0.2">
      <c r="A218" s="2">
        <v>667</v>
      </c>
      <c r="B218" s="1" t="s">
        <v>15</v>
      </c>
      <c r="C218" s="1" t="s">
        <v>4</v>
      </c>
    </row>
    <row r="219" spans="1:3" ht="12.75" customHeight="1" x14ac:dyDescent="0.2">
      <c r="A219" s="2">
        <v>668</v>
      </c>
      <c r="B219" s="1" t="s">
        <v>21</v>
      </c>
      <c r="C219" s="1" t="s">
        <v>8</v>
      </c>
    </row>
    <row r="220" spans="1:3" ht="12.75" customHeight="1" x14ac:dyDescent="0.2">
      <c r="A220" s="2">
        <v>671</v>
      </c>
      <c r="B220" s="1" t="s">
        <v>3</v>
      </c>
      <c r="C220" s="1" t="s">
        <v>6</v>
      </c>
    </row>
    <row r="221" spans="1:3" ht="12.75" customHeight="1" x14ac:dyDescent="0.2">
      <c r="A221" s="2">
        <v>671</v>
      </c>
      <c r="B221" s="1" t="s">
        <v>12</v>
      </c>
      <c r="C221" s="1" t="s">
        <v>6</v>
      </c>
    </row>
    <row r="222" spans="1:3" ht="12.75" customHeight="1" x14ac:dyDescent="0.2">
      <c r="A222" s="2">
        <v>671</v>
      </c>
      <c r="B222" s="1" t="s">
        <v>13</v>
      </c>
      <c r="C222" s="1" t="s">
        <v>6</v>
      </c>
    </row>
    <row r="223" spans="1:3" ht="12.75" customHeight="1" x14ac:dyDescent="0.2">
      <c r="A223" s="2">
        <v>673</v>
      </c>
      <c r="B223" s="1" t="s">
        <v>20</v>
      </c>
      <c r="C223" s="1" t="s">
        <v>8</v>
      </c>
    </row>
    <row r="224" spans="1:3" ht="12.75" customHeight="1" x14ac:dyDescent="0.2">
      <c r="A224" s="2">
        <v>673</v>
      </c>
      <c r="B224" s="1" t="s">
        <v>25</v>
      </c>
      <c r="C224" s="1" t="s">
        <v>8</v>
      </c>
    </row>
    <row r="225" spans="1:3" ht="12.75" customHeight="1" x14ac:dyDescent="0.2">
      <c r="A225" s="2">
        <v>674</v>
      </c>
      <c r="B225" s="1" t="s">
        <v>12</v>
      </c>
      <c r="C225" s="1" t="s">
        <v>8</v>
      </c>
    </row>
    <row r="226" spans="1:3" ht="12.75" customHeight="1" x14ac:dyDescent="0.2">
      <c r="A226" s="2">
        <v>675</v>
      </c>
      <c r="B226" s="1" t="s">
        <v>15</v>
      </c>
      <c r="C226" s="1" t="s">
        <v>8</v>
      </c>
    </row>
    <row r="227" spans="1:3" ht="12.75" customHeight="1" x14ac:dyDescent="0.2">
      <c r="A227" s="2">
        <v>676</v>
      </c>
      <c r="B227" s="1" t="s">
        <v>21</v>
      </c>
      <c r="C227" s="1" t="s">
        <v>10</v>
      </c>
    </row>
    <row r="228" spans="1:3" ht="12.75" customHeight="1" x14ac:dyDescent="0.2">
      <c r="A228" s="2">
        <v>682</v>
      </c>
      <c r="B228" s="1" t="s">
        <v>14</v>
      </c>
      <c r="C228" s="1" t="s">
        <v>4</v>
      </c>
    </row>
    <row r="229" spans="1:3" ht="12.75" customHeight="1" x14ac:dyDescent="0.2">
      <c r="A229" s="2">
        <v>682</v>
      </c>
      <c r="B229" s="1" t="s">
        <v>14</v>
      </c>
      <c r="C229" s="1" t="s">
        <v>4</v>
      </c>
    </row>
    <row r="230" spans="1:3" ht="12.75" customHeight="1" x14ac:dyDescent="0.2">
      <c r="A230" s="2">
        <v>682</v>
      </c>
      <c r="B230" s="1" t="s">
        <v>25</v>
      </c>
      <c r="C230" s="1" t="s">
        <v>4</v>
      </c>
    </row>
    <row r="231" spans="1:3" ht="12.75" customHeight="1" x14ac:dyDescent="0.2">
      <c r="A231" s="2">
        <v>683</v>
      </c>
      <c r="B231" s="1" t="s">
        <v>14</v>
      </c>
      <c r="C231" s="1" t="s">
        <v>6</v>
      </c>
    </row>
    <row r="232" spans="1:3" ht="12.75" customHeight="1" x14ac:dyDescent="0.2">
      <c r="A232" s="2">
        <v>684</v>
      </c>
      <c r="B232" s="1" t="s">
        <v>12</v>
      </c>
      <c r="C232" s="1" t="s">
        <v>4</v>
      </c>
    </row>
    <row r="233" spans="1:3" ht="12.75" customHeight="1" x14ac:dyDescent="0.2">
      <c r="A233" s="2">
        <v>686</v>
      </c>
      <c r="B233" s="1" t="s">
        <v>14</v>
      </c>
      <c r="C233" s="1" t="s">
        <v>4</v>
      </c>
    </row>
    <row r="234" spans="1:3" ht="12.75" customHeight="1" x14ac:dyDescent="0.2">
      <c r="A234" s="2">
        <v>687</v>
      </c>
      <c r="B234" s="1" t="s">
        <v>12</v>
      </c>
      <c r="C234" s="1" t="s">
        <v>6</v>
      </c>
    </row>
    <row r="235" spans="1:3" ht="12.75" customHeight="1" x14ac:dyDescent="0.2">
      <c r="A235" s="2">
        <v>690</v>
      </c>
      <c r="B235" s="1" t="s">
        <v>13</v>
      </c>
      <c r="C235" s="1" t="s">
        <v>6</v>
      </c>
    </row>
    <row r="236" spans="1:3" ht="12.75" customHeight="1" x14ac:dyDescent="0.2">
      <c r="A236" s="2">
        <v>690</v>
      </c>
      <c r="B236" s="1" t="s">
        <v>16</v>
      </c>
      <c r="C236" s="1" t="s">
        <v>10</v>
      </c>
    </row>
    <row r="237" spans="1:3" ht="12.75" customHeight="1" x14ac:dyDescent="0.2">
      <c r="A237" s="2">
        <v>690</v>
      </c>
      <c r="B237" s="1" t="s">
        <v>23</v>
      </c>
      <c r="C237" s="1" t="s">
        <v>10</v>
      </c>
    </row>
    <row r="238" spans="1:3" ht="12.75" customHeight="1" x14ac:dyDescent="0.2">
      <c r="A238" s="2">
        <v>691</v>
      </c>
      <c r="B238" s="1" t="s">
        <v>13</v>
      </c>
      <c r="C238" s="1" t="s">
        <v>6</v>
      </c>
    </row>
    <row r="239" spans="1:3" ht="12.75" customHeight="1" x14ac:dyDescent="0.2">
      <c r="A239" s="2">
        <v>691</v>
      </c>
      <c r="B239" s="1" t="s">
        <v>17</v>
      </c>
      <c r="C239" s="1" t="s">
        <v>6</v>
      </c>
    </row>
    <row r="240" spans="1:3" ht="12.75" customHeight="1" x14ac:dyDescent="0.2">
      <c r="A240" s="2">
        <v>692</v>
      </c>
      <c r="B240" s="1" t="s">
        <v>14</v>
      </c>
      <c r="C240" s="1" t="s">
        <v>8</v>
      </c>
    </row>
    <row r="241" spans="1:3" ht="12.75" customHeight="1" x14ac:dyDescent="0.2">
      <c r="A241" s="2">
        <v>693</v>
      </c>
      <c r="B241" s="1" t="s">
        <v>9</v>
      </c>
      <c r="C241" s="1" t="s">
        <v>8</v>
      </c>
    </row>
    <row r="242" spans="1:3" ht="12.75" customHeight="1" x14ac:dyDescent="0.2">
      <c r="A242" s="2">
        <v>697</v>
      </c>
      <c r="B242" s="1" t="s">
        <v>9</v>
      </c>
      <c r="C242" s="1" t="s">
        <v>4</v>
      </c>
    </row>
    <row r="243" spans="1:3" ht="12.75" customHeight="1" x14ac:dyDescent="0.2">
      <c r="A243" s="2">
        <v>697</v>
      </c>
      <c r="B243" s="1" t="s">
        <v>12</v>
      </c>
      <c r="C243" s="1" t="s">
        <v>4</v>
      </c>
    </row>
    <row r="244" spans="1:3" ht="12.75" customHeight="1" x14ac:dyDescent="0.2">
      <c r="A244" s="2">
        <v>697</v>
      </c>
      <c r="B244" s="1" t="s">
        <v>14</v>
      </c>
      <c r="C244" s="1" t="s">
        <v>4</v>
      </c>
    </row>
    <row r="245" spans="1:3" ht="12.75" customHeight="1" x14ac:dyDescent="0.2">
      <c r="A245" s="2">
        <v>697</v>
      </c>
      <c r="B245" s="1" t="s">
        <v>14</v>
      </c>
      <c r="C245" s="1" t="s">
        <v>4</v>
      </c>
    </row>
    <row r="246" spans="1:3" ht="12.75" customHeight="1" x14ac:dyDescent="0.2">
      <c r="A246" s="2">
        <v>703</v>
      </c>
      <c r="B246" s="1" t="s">
        <v>9</v>
      </c>
      <c r="C246" s="1" t="s">
        <v>4</v>
      </c>
    </row>
    <row r="247" spans="1:3" ht="12.75" customHeight="1" x14ac:dyDescent="0.2">
      <c r="A247" s="2">
        <v>703</v>
      </c>
      <c r="B247" s="1" t="s">
        <v>12</v>
      </c>
      <c r="C247" s="1" t="s">
        <v>4</v>
      </c>
    </row>
    <row r="248" spans="1:3" ht="12.75" customHeight="1" x14ac:dyDescent="0.2">
      <c r="A248" s="2">
        <v>704</v>
      </c>
      <c r="B248" s="1" t="s">
        <v>3</v>
      </c>
      <c r="C248" s="1" t="s">
        <v>5</v>
      </c>
    </row>
    <row r="249" spans="1:3" ht="12.75" customHeight="1" x14ac:dyDescent="0.2">
      <c r="A249" s="2">
        <v>705</v>
      </c>
      <c r="B249" s="1" t="s">
        <v>9</v>
      </c>
      <c r="C249" s="1" t="s">
        <v>10</v>
      </c>
    </row>
    <row r="250" spans="1:3" ht="12.75" customHeight="1" x14ac:dyDescent="0.2">
      <c r="A250" s="2">
        <v>707</v>
      </c>
      <c r="B250" s="1" t="s">
        <v>22</v>
      </c>
      <c r="C250" s="1" t="s">
        <v>6</v>
      </c>
    </row>
    <row r="251" spans="1:3" ht="12.75" customHeight="1" x14ac:dyDescent="0.2">
      <c r="A251" s="2">
        <v>708</v>
      </c>
      <c r="B251" s="1" t="s">
        <v>9</v>
      </c>
      <c r="C251" s="1" t="s">
        <v>4</v>
      </c>
    </row>
    <row r="252" spans="1:3" ht="12.75" customHeight="1" x14ac:dyDescent="0.2">
      <c r="A252" s="2">
        <v>708</v>
      </c>
      <c r="B252" s="1" t="s">
        <v>12</v>
      </c>
      <c r="C252" s="1" t="s">
        <v>4</v>
      </c>
    </row>
    <row r="253" spans="1:3" ht="12.75" customHeight="1" x14ac:dyDescent="0.2">
      <c r="A253" s="2">
        <v>708</v>
      </c>
      <c r="B253" s="1" t="s">
        <v>15</v>
      </c>
      <c r="C253" s="1" t="s">
        <v>4</v>
      </c>
    </row>
    <row r="254" spans="1:3" ht="12.75" customHeight="1" x14ac:dyDescent="0.2">
      <c r="A254" s="2">
        <v>708</v>
      </c>
      <c r="B254" s="1" t="s">
        <v>21</v>
      </c>
      <c r="C254" s="1" t="s">
        <v>4</v>
      </c>
    </row>
    <row r="255" spans="1:3" ht="12.75" customHeight="1" x14ac:dyDescent="0.2">
      <c r="A255" s="2">
        <v>708</v>
      </c>
      <c r="B255" s="1" t="s">
        <v>25</v>
      </c>
      <c r="C255" s="1" t="s">
        <v>4</v>
      </c>
    </row>
    <row r="256" spans="1:3" ht="12.75" customHeight="1" x14ac:dyDescent="0.2">
      <c r="A256" s="2">
        <v>709</v>
      </c>
      <c r="B256" s="1" t="s">
        <v>9</v>
      </c>
      <c r="C256" s="1" t="s">
        <v>7</v>
      </c>
    </row>
    <row r="257" spans="1:3" ht="12.75" customHeight="1" x14ac:dyDescent="0.2">
      <c r="A257" s="2">
        <v>711</v>
      </c>
      <c r="B257" s="1" t="s">
        <v>17</v>
      </c>
      <c r="C257" s="1" t="s">
        <v>4</v>
      </c>
    </row>
    <row r="258" spans="1:3" ht="12.75" customHeight="1" x14ac:dyDescent="0.2">
      <c r="A258" s="2">
        <v>712</v>
      </c>
      <c r="B258" s="1" t="s">
        <v>15</v>
      </c>
      <c r="C258" s="1" t="s">
        <v>8</v>
      </c>
    </row>
    <row r="259" spans="1:3" ht="12.75" customHeight="1" x14ac:dyDescent="0.2">
      <c r="A259" s="2">
        <v>712</v>
      </c>
      <c r="B259" s="1" t="s">
        <v>23</v>
      </c>
      <c r="C259" s="1" t="s">
        <v>10</v>
      </c>
    </row>
    <row r="260" spans="1:3" ht="12.75" customHeight="1" x14ac:dyDescent="0.2">
      <c r="A260" s="2">
        <v>713</v>
      </c>
      <c r="B260" s="1" t="s">
        <v>14</v>
      </c>
      <c r="C260" s="1" t="s">
        <v>8</v>
      </c>
    </row>
    <row r="261" spans="1:3" ht="12.75" customHeight="1" x14ac:dyDescent="0.2">
      <c r="A261" s="2">
        <v>713</v>
      </c>
      <c r="B261" s="1" t="s">
        <v>20</v>
      </c>
      <c r="C261" s="1" t="s">
        <v>7</v>
      </c>
    </row>
    <row r="262" spans="1:3" ht="12.75" customHeight="1" x14ac:dyDescent="0.2">
      <c r="A262" s="2">
        <v>714</v>
      </c>
      <c r="B262" s="1" t="s">
        <v>9</v>
      </c>
      <c r="C262" s="1" t="s">
        <v>8</v>
      </c>
    </row>
    <row r="263" spans="1:3" ht="12.75" customHeight="1" x14ac:dyDescent="0.2">
      <c r="A263" s="2">
        <v>714</v>
      </c>
      <c r="B263" s="1" t="s">
        <v>13</v>
      </c>
      <c r="C263" s="1" t="s">
        <v>8</v>
      </c>
    </row>
    <row r="264" spans="1:3" ht="12.75" customHeight="1" x14ac:dyDescent="0.2">
      <c r="A264" s="2">
        <v>716</v>
      </c>
      <c r="B264" s="1" t="s">
        <v>9</v>
      </c>
      <c r="C264" s="1" t="s">
        <v>6</v>
      </c>
    </row>
    <row r="265" spans="1:3" ht="12.75" customHeight="1" x14ac:dyDescent="0.2">
      <c r="A265" s="2">
        <v>717</v>
      </c>
      <c r="B265" s="1" t="s">
        <v>9</v>
      </c>
      <c r="C265" s="1" t="s">
        <v>8</v>
      </c>
    </row>
    <row r="266" spans="1:3" ht="12.75" customHeight="1" x14ac:dyDescent="0.2">
      <c r="A266" s="2">
        <v>719</v>
      </c>
      <c r="B266" s="1" t="s">
        <v>9</v>
      </c>
      <c r="C266" s="1" t="s">
        <v>4</v>
      </c>
    </row>
    <row r="267" spans="1:3" ht="12.75" customHeight="1" x14ac:dyDescent="0.2">
      <c r="A267" s="2">
        <v>719</v>
      </c>
      <c r="B267" s="1" t="s">
        <v>17</v>
      </c>
      <c r="C267" s="1" t="s">
        <v>4</v>
      </c>
    </row>
    <row r="268" spans="1:3" ht="12.75" customHeight="1" x14ac:dyDescent="0.2">
      <c r="A268" s="2">
        <v>719</v>
      </c>
      <c r="B268" s="1" t="s">
        <v>20</v>
      </c>
      <c r="C268" s="1" t="s">
        <v>4</v>
      </c>
    </row>
    <row r="269" spans="1:3" ht="12.75" customHeight="1" x14ac:dyDescent="0.2">
      <c r="A269" s="2">
        <v>720</v>
      </c>
      <c r="B269" s="1" t="s">
        <v>9</v>
      </c>
      <c r="C269" s="1" t="s">
        <v>4</v>
      </c>
    </row>
    <row r="270" spans="1:3" ht="12.75" customHeight="1" x14ac:dyDescent="0.2">
      <c r="A270" s="2">
        <v>721</v>
      </c>
      <c r="B270" s="1" t="s">
        <v>12</v>
      </c>
      <c r="C270" s="1" t="s">
        <v>8</v>
      </c>
    </row>
    <row r="271" spans="1:3" ht="12.75" customHeight="1" x14ac:dyDescent="0.2">
      <c r="A271" s="2">
        <v>722</v>
      </c>
      <c r="B271" s="1" t="s">
        <v>25</v>
      </c>
      <c r="C271" s="1" t="s">
        <v>8</v>
      </c>
    </row>
    <row r="272" spans="1:3" ht="12.75" customHeight="1" x14ac:dyDescent="0.2">
      <c r="A272" s="2">
        <v>726</v>
      </c>
      <c r="B272" s="1" t="s">
        <v>14</v>
      </c>
      <c r="C272" s="1" t="s">
        <v>8</v>
      </c>
    </row>
    <row r="273" spans="1:3" ht="12.75" customHeight="1" x14ac:dyDescent="0.2">
      <c r="A273" s="2">
        <v>726</v>
      </c>
      <c r="B273" s="1" t="s">
        <v>21</v>
      </c>
      <c r="C273" s="1" t="s">
        <v>8</v>
      </c>
    </row>
    <row r="274" spans="1:3" ht="12.75" customHeight="1" x14ac:dyDescent="0.2">
      <c r="A274" s="2">
        <v>727</v>
      </c>
      <c r="B274" s="1" t="s">
        <v>18</v>
      </c>
      <c r="C274" s="1" t="s">
        <v>8</v>
      </c>
    </row>
    <row r="275" spans="1:3" ht="12.75" customHeight="1" x14ac:dyDescent="0.2">
      <c r="A275" s="2">
        <v>728</v>
      </c>
      <c r="B275" s="1" t="s">
        <v>12</v>
      </c>
      <c r="C275" s="1" t="s">
        <v>8</v>
      </c>
    </row>
    <row r="276" spans="1:3" ht="12.75" customHeight="1" x14ac:dyDescent="0.2">
      <c r="A276" s="2">
        <v>728</v>
      </c>
      <c r="B276" s="1" t="s">
        <v>14</v>
      </c>
      <c r="C276" s="1" t="s">
        <v>8</v>
      </c>
    </row>
    <row r="277" spans="1:3" ht="12.75" customHeight="1" x14ac:dyDescent="0.2">
      <c r="A277" s="2">
        <v>728</v>
      </c>
      <c r="B277" s="1" t="s">
        <v>15</v>
      </c>
      <c r="C277" s="1" t="s">
        <v>8</v>
      </c>
    </row>
    <row r="278" spans="1:3" ht="12.75" customHeight="1" x14ac:dyDescent="0.2">
      <c r="A278" s="2">
        <v>732</v>
      </c>
      <c r="B278" s="1" t="s">
        <v>12</v>
      </c>
      <c r="C278" s="1" t="s">
        <v>11</v>
      </c>
    </row>
    <row r="279" spans="1:3" ht="12.75" customHeight="1" x14ac:dyDescent="0.2">
      <c r="A279" s="2">
        <v>732</v>
      </c>
      <c r="B279" s="1" t="s">
        <v>13</v>
      </c>
      <c r="C279" s="1" t="s">
        <v>11</v>
      </c>
    </row>
    <row r="280" spans="1:3" ht="12.75" customHeight="1" x14ac:dyDescent="0.2">
      <c r="A280" s="2">
        <v>739</v>
      </c>
      <c r="B280" s="1" t="s">
        <v>25</v>
      </c>
      <c r="C280" s="1" t="s">
        <v>10</v>
      </c>
    </row>
    <row r="281" spans="1:3" ht="12.75" customHeight="1" x14ac:dyDescent="0.2">
      <c r="A281" s="2">
        <v>740</v>
      </c>
      <c r="B281" s="1" t="s">
        <v>15</v>
      </c>
      <c r="C281" s="1" t="s">
        <v>6</v>
      </c>
    </row>
    <row r="282" spans="1:3" ht="12.75" customHeight="1" x14ac:dyDescent="0.2">
      <c r="A282" s="2">
        <v>740</v>
      </c>
      <c r="B282" s="1" t="s">
        <v>17</v>
      </c>
      <c r="C282" s="1" t="s">
        <v>6</v>
      </c>
    </row>
    <row r="283" spans="1:3" ht="12.75" customHeight="1" x14ac:dyDescent="0.2">
      <c r="A283" s="2">
        <v>742</v>
      </c>
      <c r="B283" s="1" t="s">
        <v>25</v>
      </c>
      <c r="C283" s="1" t="s">
        <v>8</v>
      </c>
    </row>
    <row r="284" spans="1:3" ht="12.75" customHeight="1" x14ac:dyDescent="0.2">
      <c r="A284" s="2">
        <v>743</v>
      </c>
      <c r="B284" s="1" t="s">
        <v>15</v>
      </c>
      <c r="C284" s="1" t="s">
        <v>8</v>
      </c>
    </row>
    <row r="285" spans="1:3" ht="12.75" customHeight="1" x14ac:dyDescent="0.2">
      <c r="A285" s="2">
        <v>743</v>
      </c>
      <c r="B285" s="1" t="s">
        <v>18</v>
      </c>
      <c r="C285" s="1" t="s">
        <v>8</v>
      </c>
    </row>
    <row r="286" spans="1:3" ht="12.75" customHeight="1" x14ac:dyDescent="0.2">
      <c r="A286" s="2">
        <v>743</v>
      </c>
      <c r="B286" s="1" t="s">
        <v>22</v>
      </c>
      <c r="C286" s="1" t="s">
        <v>10</v>
      </c>
    </row>
    <row r="287" spans="1:3" ht="12.75" customHeight="1" x14ac:dyDescent="0.2">
      <c r="A287" s="2">
        <v>743</v>
      </c>
      <c r="B287" s="1" t="s">
        <v>25</v>
      </c>
      <c r="C287" s="1" t="s">
        <v>10</v>
      </c>
    </row>
    <row r="288" spans="1:3" ht="12.75" customHeight="1" x14ac:dyDescent="0.2">
      <c r="A288" s="2">
        <v>744</v>
      </c>
      <c r="B288" s="1" t="s">
        <v>13</v>
      </c>
      <c r="C288" s="1" t="s">
        <v>4</v>
      </c>
    </row>
    <row r="289" spans="1:3" ht="12.75" customHeight="1" x14ac:dyDescent="0.2">
      <c r="A289" s="2">
        <v>744</v>
      </c>
      <c r="B289" s="1" t="s">
        <v>14</v>
      </c>
      <c r="C289" s="1" t="s">
        <v>4</v>
      </c>
    </row>
    <row r="290" spans="1:3" ht="12.75" customHeight="1" x14ac:dyDescent="0.2">
      <c r="A290" s="2">
        <v>744</v>
      </c>
      <c r="B290" s="1" t="s">
        <v>17</v>
      </c>
      <c r="C290" s="1" t="s">
        <v>4</v>
      </c>
    </row>
    <row r="291" spans="1:3" ht="12.75" customHeight="1" x14ac:dyDescent="0.2">
      <c r="A291" s="2">
        <v>744</v>
      </c>
      <c r="B291" s="1" t="s">
        <v>21</v>
      </c>
      <c r="C291" s="1" t="s">
        <v>11</v>
      </c>
    </row>
    <row r="292" spans="1:3" ht="12.75" customHeight="1" x14ac:dyDescent="0.2">
      <c r="A292" s="2">
        <v>744</v>
      </c>
      <c r="B292" s="1" t="s">
        <v>25</v>
      </c>
      <c r="C292" s="1" t="s">
        <v>11</v>
      </c>
    </row>
    <row r="293" spans="1:3" ht="12.75" customHeight="1" x14ac:dyDescent="0.2">
      <c r="A293" s="2">
        <v>746</v>
      </c>
      <c r="B293" s="1" t="s">
        <v>25</v>
      </c>
      <c r="C293" s="1" t="s">
        <v>4</v>
      </c>
    </row>
    <row r="294" spans="1:3" ht="12.75" customHeight="1" x14ac:dyDescent="0.2">
      <c r="A294" s="2">
        <v>747</v>
      </c>
      <c r="B294" s="1" t="s">
        <v>25</v>
      </c>
      <c r="C294" s="1" t="s">
        <v>4</v>
      </c>
    </row>
    <row r="295" spans="1:3" ht="12.75" customHeight="1" x14ac:dyDescent="0.2">
      <c r="A295" s="2">
        <v>748</v>
      </c>
      <c r="B295" s="1" t="s">
        <v>22</v>
      </c>
      <c r="C295" s="1" t="s">
        <v>4</v>
      </c>
    </row>
    <row r="296" spans="1:3" ht="12.75" customHeight="1" x14ac:dyDescent="0.2">
      <c r="A296" s="2">
        <v>748</v>
      </c>
      <c r="B296" s="1" t="s">
        <v>25</v>
      </c>
      <c r="C296" s="1" t="s">
        <v>4</v>
      </c>
    </row>
    <row r="297" spans="1:3" ht="12.75" customHeight="1" x14ac:dyDescent="0.2">
      <c r="A297" s="2">
        <v>749</v>
      </c>
      <c r="B297" s="1" t="s">
        <v>25</v>
      </c>
      <c r="C297" s="1" t="s">
        <v>4</v>
      </c>
    </row>
    <row r="298" spans="1:3" ht="12.75" customHeight="1" x14ac:dyDescent="0.2">
      <c r="A298" s="2">
        <v>751</v>
      </c>
      <c r="B298" s="1" t="s">
        <v>25</v>
      </c>
      <c r="C298" s="1" t="s">
        <v>4</v>
      </c>
    </row>
    <row r="299" spans="1:3" ht="12.75" customHeight="1" x14ac:dyDescent="0.2">
      <c r="A299" s="2">
        <v>752</v>
      </c>
      <c r="B299" s="1" t="s">
        <v>25</v>
      </c>
      <c r="C299" s="1" t="s">
        <v>8</v>
      </c>
    </row>
    <row r="300" spans="1:3" ht="12.75" customHeight="1" x14ac:dyDescent="0.2">
      <c r="A300" s="2">
        <v>765</v>
      </c>
      <c r="B300" s="1" t="s">
        <v>16</v>
      </c>
      <c r="C300" s="1" t="s">
        <v>10</v>
      </c>
    </row>
    <row r="301" spans="1:3" ht="12.75" customHeight="1" x14ac:dyDescent="0.2">
      <c r="A301" s="2">
        <v>768</v>
      </c>
      <c r="B301" s="1" t="s">
        <v>14</v>
      </c>
      <c r="C301" s="1" t="s">
        <v>10</v>
      </c>
    </row>
    <row r="302" spans="1:3" ht="12.75" customHeight="1" x14ac:dyDescent="0.2">
      <c r="A302" s="2">
        <v>768</v>
      </c>
      <c r="B302" s="1" t="s">
        <v>17</v>
      </c>
      <c r="C302" s="1" t="s">
        <v>10</v>
      </c>
    </row>
    <row r="303" spans="1:3" ht="12.75" customHeight="1" x14ac:dyDescent="0.2">
      <c r="A303" s="2">
        <v>768</v>
      </c>
      <c r="B303" s="1" t="s">
        <v>22</v>
      </c>
      <c r="C303" s="1" t="s">
        <v>10</v>
      </c>
    </row>
    <row r="304" spans="1:3" ht="12.75" customHeight="1" x14ac:dyDescent="0.2">
      <c r="A304" s="2">
        <v>771</v>
      </c>
      <c r="B304" s="1" t="s">
        <v>16</v>
      </c>
      <c r="C304" s="1" t="s">
        <v>4</v>
      </c>
    </row>
    <row r="305" spans="1:3" ht="12.75" customHeight="1" x14ac:dyDescent="0.2">
      <c r="A305" s="2">
        <v>771</v>
      </c>
      <c r="B305" s="1" t="s">
        <v>21</v>
      </c>
      <c r="C305" s="1" t="s">
        <v>10</v>
      </c>
    </row>
    <row r="306" spans="1:3" ht="12.75" customHeight="1" x14ac:dyDescent="0.2">
      <c r="A306" s="2">
        <v>772</v>
      </c>
      <c r="B306" s="1" t="s">
        <v>25</v>
      </c>
      <c r="C306" s="1" t="s">
        <v>8</v>
      </c>
    </row>
    <row r="307" spans="1:3" ht="12.75" customHeight="1" x14ac:dyDescent="0.2">
      <c r="A307" s="2">
        <v>775</v>
      </c>
      <c r="B307" s="1" t="s">
        <v>16</v>
      </c>
      <c r="C307" s="1" t="s">
        <v>7</v>
      </c>
    </row>
    <row r="308" spans="1:3" ht="12.75" customHeight="1" x14ac:dyDescent="0.2">
      <c r="A308" s="2">
        <v>777</v>
      </c>
      <c r="B308" s="1" t="s">
        <v>25</v>
      </c>
      <c r="C308" s="1" t="s">
        <v>6</v>
      </c>
    </row>
    <row r="309" spans="1:3" ht="12.75" customHeight="1" x14ac:dyDescent="0.2">
      <c r="A309" s="2">
        <v>778</v>
      </c>
      <c r="B309" s="1" t="s">
        <v>25</v>
      </c>
      <c r="C309" s="1" t="s">
        <v>6</v>
      </c>
    </row>
    <row r="310" spans="1:3" ht="12.75" customHeight="1" x14ac:dyDescent="0.2">
      <c r="A310" s="2">
        <v>781</v>
      </c>
      <c r="B310" s="1" t="s">
        <v>15</v>
      </c>
      <c r="C310" s="1" t="s">
        <v>5</v>
      </c>
    </row>
    <row r="311" spans="1:3" ht="12.75" customHeight="1" x14ac:dyDescent="0.2">
      <c r="A311" s="2">
        <v>781</v>
      </c>
      <c r="B311" s="1" t="s">
        <v>20</v>
      </c>
      <c r="C311" s="1" t="s">
        <v>5</v>
      </c>
    </row>
    <row r="312" spans="1:3" ht="12.75" customHeight="1" x14ac:dyDescent="0.2">
      <c r="A312" s="2">
        <v>782</v>
      </c>
      <c r="B312" s="1" t="s">
        <v>15</v>
      </c>
      <c r="C312" s="1" t="s">
        <v>5</v>
      </c>
    </row>
    <row r="313" spans="1:3" ht="12.75" customHeight="1" x14ac:dyDescent="0.2">
      <c r="A313" s="2">
        <v>782</v>
      </c>
      <c r="B313" s="1" t="s">
        <v>21</v>
      </c>
      <c r="C313" s="1" t="s">
        <v>5</v>
      </c>
    </row>
    <row r="314" spans="1:3" ht="12.75" customHeight="1" x14ac:dyDescent="0.2">
      <c r="A314" s="2">
        <v>783</v>
      </c>
      <c r="B314" s="1" t="s">
        <v>14</v>
      </c>
      <c r="C314" s="1" t="s">
        <v>5</v>
      </c>
    </row>
    <row r="315" spans="1:3" ht="12.75" customHeight="1" x14ac:dyDescent="0.2">
      <c r="A315" s="2">
        <v>783</v>
      </c>
      <c r="B315" s="1" t="s">
        <v>17</v>
      </c>
      <c r="C315" s="1" t="s">
        <v>6</v>
      </c>
    </row>
    <row r="316" spans="1:3" ht="12.75" customHeight="1" x14ac:dyDescent="0.2">
      <c r="A316" s="2">
        <v>783</v>
      </c>
      <c r="B316" s="1" t="s">
        <v>21</v>
      </c>
      <c r="C316" s="1" t="s">
        <v>6</v>
      </c>
    </row>
    <row r="317" spans="1:3" ht="12.75" customHeight="1" x14ac:dyDescent="0.2">
      <c r="A317" s="2">
        <v>783</v>
      </c>
      <c r="B317" s="1" t="s">
        <v>25</v>
      </c>
      <c r="C317" s="1" t="s">
        <v>6</v>
      </c>
    </row>
    <row r="318" spans="1:3" ht="12.75" customHeight="1" x14ac:dyDescent="0.2">
      <c r="A318" s="2">
        <v>785</v>
      </c>
      <c r="B318" s="1" t="s">
        <v>13</v>
      </c>
      <c r="C318" s="1" t="s">
        <v>5</v>
      </c>
    </row>
    <row r="319" spans="1:3" ht="12.75" customHeight="1" x14ac:dyDescent="0.2">
      <c r="A319" s="2">
        <v>785</v>
      </c>
      <c r="B319" s="1" t="s">
        <v>25</v>
      </c>
      <c r="C319" s="1" t="s">
        <v>6</v>
      </c>
    </row>
    <row r="320" spans="1:3" ht="12.75" customHeight="1" x14ac:dyDescent="0.2">
      <c r="A320" s="2">
        <v>786</v>
      </c>
      <c r="B320" s="1" t="s">
        <v>18</v>
      </c>
      <c r="C320" s="1" t="s">
        <v>4</v>
      </c>
    </row>
    <row r="321" spans="1:3" ht="12.75" customHeight="1" x14ac:dyDescent="0.2">
      <c r="A321" s="2">
        <v>787</v>
      </c>
      <c r="B321" s="1" t="s">
        <v>15</v>
      </c>
      <c r="C321" s="1" t="s">
        <v>4</v>
      </c>
    </row>
    <row r="322" spans="1:3" ht="12.75" customHeight="1" x14ac:dyDescent="0.2">
      <c r="A322" s="2">
        <v>787</v>
      </c>
      <c r="B322" s="1" t="s">
        <v>17</v>
      </c>
      <c r="C322" s="1" t="s">
        <v>4</v>
      </c>
    </row>
    <row r="323" spans="1:3" ht="12.75" customHeight="1" x14ac:dyDescent="0.2">
      <c r="A323" s="2">
        <v>788</v>
      </c>
      <c r="B323" s="1" t="s">
        <v>15</v>
      </c>
      <c r="C323" s="1" t="s">
        <v>6</v>
      </c>
    </row>
    <row r="324" spans="1:3" ht="12.75" customHeight="1" x14ac:dyDescent="0.2">
      <c r="A324" s="2">
        <v>789</v>
      </c>
      <c r="B324" s="1" t="s">
        <v>14</v>
      </c>
      <c r="C324" s="1" t="s">
        <v>4</v>
      </c>
    </row>
    <row r="325" spans="1:3" ht="12.75" customHeight="1" x14ac:dyDescent="0.2">
      <c r="A325" s="2">
        <v>789</v>
      </c>
      <c r="B325" s="1" t="s">
        <v>18</v>
      </c>
      <c r="C325" s="1" t="s">
        <v>4</v>
      </c>
    </row>
    <row r="326" spans="1:3" ht="12.75" customHeight="1" x14ac:dyDescent="0.2">
      <c r="A326" s="2">
        <v>789</v>
      </c>
      <c r="B326" s="1" t="s">
        <v>21</v>
      </c>
      <c r="C326" s="1" t="s">
        <v>4</v>
      </c>
    </row>
    <row r="327" spans="1:3" ht="12.75" customHeight="1" x14ac:dyDescent="0.2">
      <c r="A327" s="2">
        <v>791</v>
      </c>
      <c r="B327" s="1" t="s">
        <v>25</v>
      </c>
      <c r="C327" s="1" t="s">
        <v>4</v>
      </c>
    </row>
    <row r="328" spans="1:3" ht="12.75" customHeight="1" x14ac:dyDescent="0.2">
      <c r="A328" s="2">
        <v>792</v>
      </c>
      <c r="B328" s="1" t="s">
        <v>17</v>
      </c>
      <c r="C328" s="1" t="s">
        <v>4</v>
      </c>
    </row>
    <row r="329" spans="1:3" ht="12.75" customHeight="1" x14ac:dyDescent="0.2">
      <c r="A329" s="2">
        <v>792</v>
      </c>
      <c r="B329" s="1" t="s">
        <v>21</v>
      </c>
      <c r="C329" s="1" t="s">
        <v>4</v>
      </c>
    </row>
    <row r="330" spans="1:3" ht="12.75" customHeight="1" x14ac:dyDescent="0.2">
      <c r="A330" s="2">
        <v>793</v>
      </c>
      <c r="B330" s="1" t="s">
        <v>23</v>
      </c>
      <c r="C330" s="1" t="s">
        <v>11</v>
      </c>
    </row>
    <row r="331" spans="1:3" ht="12.75" customHeight="1" x14ac:dyDescent="0.2">
      <c r="A331" s="2">
        <v>796</v>
      </c>
      <c r="B331" s="1" t="s">
        <v>16</v>
      </c>
      <c r="C331" s="1" t="s">
        <v>8</v>
      </c>
    </row>
    <row r="332" spans="1:3" ht="12.75" customHeight="1" x14ac:dyDescent="0.2">
      <c r="A332" s="2">
        <v>797</v>
      </c>
      <c r="B332" s="1" t="s">
        <v>14</v>
      </c>
      <c r="C332" s="1" t="s">
        <v>6</v>
      </c>
    </row>
    <row r="333" spans="1:3" ht="12.75" customHeight="1" x14ac:dyDescent="0.2">
      <c r="A333" s="2">
        <v>797</v>
      </c>
      <c r="B333" s="1" t="s">
        <v>17</v>
      </c>
      <c r="C333" s="1" t="s">
        <v>6</v>
      </c>
    </row>
    <row r="334" spans="1:3" ht="12.75" customHeight="1" x14ac:dyDescent="0.2">
      <c r="A334" s="2">
        <v>797</v>
      </c>
      <c r="B334" s="1" t="s">
        <v>21</v>
      </c>
      <c r="C334" s="1" t="s">
        <v>6</v>
      </c>
    </row>
    <row r="335" spans="1:3" ht="12.75" customHeight="1" x14ac:dyDescent="0.2">
      <c r="A335" s="2">
        <v>797</v>
      </c>
      <c r="B335" s="1" t="s">
        <v>23</v>
      </c>
      <c r="C335" s="1" t="s">
        <v>6</v>
      </c>
    </row>
    <row r="336" spans="1:3" ht="12.75" customHeight="1" x14ac:dyDescent="0.2">
      <c r="A336" s="2">
        <v>798</v>
      </c>
      <c r="B336" s="1" t="s">
        <v>14</v>
      </c>
      <c r="C336" s="1" t="s">
        <v>6</v>
      </c>
    </row>
    <row r="337" spans="1:3" ht="12.75" customHeight="1" x14ac:dyDescent="0.2">
      <c r="A337" s="2">
        <v>798</v>
      </c>
      <c r="B337" s="1" t="s">
        <v>15</v>
      </c>
      <c r="C337" s="1" t="s">
        <v>6</v>
      </c>
    </row>
    <row r="338" spans="1:3" ht="12.75" customHeight="1" x14ac:dyDescent="0.2">
      <c r="A338" s="2">
        <v>798</v>
      </c>
      <c r="B338" s="1" t="s">
        <v>17</v>
      </c>
      <c r="C338" s="1" t="s">
        <v>6</v>
      </c>
    </row>
    <row r="339" spans="1:3" ht="12.75" customHeight="1" x14ac:dyDescent="0.2">
      <c r="A339" s="2">
        <v>798</v>
      </c>
      <c r="B339" s="1" t="s">
        <v>21</v>
      </c>
      <c r="C339" s="1" t="s">
        <v>6</v>
      </c>
    </row>
    <row r="340" spans="1:3" ht="12.75" customHeight="1" x14ac:dyDescent="0.2">
      <c r="A340" s="2">
        <v>798</v>
      </c>
      <c r="B340" s="1" t="s">
        <v>23</v>
      </c>
      <c r="C340" s="1" t="s">
        <v>6</v>
      </c>
    </row>
    <row r="341" spans="1:3" ht="12.75" customHeight="1" x14ac:dyDescent="0.2">
      <c r="A341" s="2">
        <v>799</v>
      </c>
      <c r="B341" s="1" t="s">
        <v>14</v>
      </c>
      <c r="C341" s="1" t="s">
        <v>8</v>
      </c>
    </row>
    <row r="342" spans="1:3" ht="12.75" customHeight="1" x14ac:dyDescent="0.2">
      <c r="A342" s="2">
        <v>800</v>
      </c>
      <c r="B342" s="1" t="s">
        <v>14</v>
      </c>
      <c r="C342" s="1" t="s">
        <v>8</v>
      </c>
    </row>
    <row r="343" spans="1:3" ht="12.75" customHeight="1" x14ac:dyDescent="0.2">
      <c r="A343" s="2">
        <v>801</v>
      </c>
      <c r="B343" s="1" t="s">
        <v>21</v>
      </c>
      <c r="C343" s="1" t="s">
        <v>8</v>
      </c>
    </row>
    <row r="344" spans="1:3" ht="12.75" customHeight="1" x14ac:dyDescent="0.2">
      <c r="A344" s="2">
        <v>801</v>
      </c>
      <c r="B344" s="1" t="s">
        <v>25</v>
      </c>
      <c r="C344" s="1" t="s">
        <v>8</v>
      </c>
    </row>
    <row r="345" spans="1:3" ht="12.75" customHeight="1" x14ac:dyDescent="0.2">
      <c r="A345" s="2">
        <v>803</v>
      </c>
      <c r="B345" s="1" t="s">
        <v>20</v>
      </c>
      <c r="C345" s="1" t="s">
        <v>10</v>
      </c>
    </row>
    <row r="346" spans="1:3" ht="12.75" customHeight="1" x14ac:dyDescent="0.2">
      <c r="A346" s="2">
        <v>804</v>
      </c>
      <c r="B346" s="1" t="s">
        <v>15</v>
      </c>
      <c r="C346" s="1" t="s">
        <v>8</v>
      </c>
    </row>
    <row r="347" spans="1:3" ht="12.75" customHeight="1" x14ac:dyDescent="0.2">
      <c r="A347" s="2">
        <v>804</v>
      </c>
      <c r="B347" s="1" t="s">
        <v>25</v>
      </c>
      <c r="C347" s="1" t="s">
        <v>11</v>
      </c>
    </row>
    <row r="348" spans="1:3" ht="12.75" customHeight="1" x14ac:dyDescent="0.2">
      <c r="A348" s="2">
        <v>806</v>
      </c>
      <c r="B348" s="1" t="s">
        <v>17</v>
      </c>
      <c r="C348" s="1" t="s">
        <v>6</v>
      </c>
    </row>
    <row r="349" spans="1:3" ht="12.75" customHeight="1" x14ac:dyDescent="0.2">
      <c r="A349" s="2">
        <v>807</v>
      </c>
      <c r="B349" s="1" t="s">
        <v>17</v>
      </c>
      <c r="C349" s="1" t="s">
        <v>8</v>
      </c>
    </row>
    <row r="350" spans="1:3" ht="12.75" customHeight="1" x14ac:dyDescent="0.2">
      <c r="A350" s="2">
        <v>808</v>
      </c>
      <c r="B350" s="1" t="s">
        <v>18</v>
      </c>
      <c r="C350" s="1" t="s">
        <v>10</v>
      </c>
    </row>
    <row r="351" spans="1:3" ht="12.75" customHeight="1" x14ac:dyDescent="0.2">
      <c r="A351" s="2">
        <v>808</v>
      </c>
      <c r="B351" s="1" t="s">
        <v>25</v>
      </c>
      <c r="C351" s="1" t="s">
        <v>26</v>
      </c>
    </row>
    <row r="352" spans="1:3" ht="12.75" customHeight="1" x14ac:dyDescent="0.2">
      <c r="A352" s="2">
        <v>813</v>
      </c>
      <c r="B352" s="1" t="s">
        <v>16</v>
      </c>
      <c r="C352" s="1" t="s">
        <v>7</v>
      </c>
    </row>
    <row r="353" spans="1:3" ht="12.75" customHeight="1" x14ac:dyDescent="0.2">
      <c r="A353" s="2">
        <v>814</v>
      </c>
      <c r="B353" s="1" t="s">
        <v>16</v>
      </c>
      <c r="C353" s="1" t="s">
        <v>4</v>
      </c>
    </row>
    <row r="354" spans="1:3" ht="12.75" customHeight="1" x14ac:dyDescent="0.2">
      <c r="A354" s="2">
        <v>817</v>
      </c>
      <c r="B354" s="1" t="s">
        <v>23</v>
      </c>
      <c r="C354" s="1" t="s">
        <v>8</v>
      </c>
    </row>
    <row r="355" spans="1:3" ht="12.75" customHeight="1" x14ac:dyDescent="0.2">
      <c r="A355" s="2">
        <v>818</v>
      </c>
      <c r="B355" s="1" t="s">
        <v>25</v>
      </c>
      <c r="C355" s="1" t="s">
        <v>8</v>
      </c>
    </row>
    <row r="356" spans="1:3" ht="12.75" customHeight="1" x14ac:dyDescent="0.2">
      <c r="A356" s="2">
        <v>819</v>
      </c>
      <c r="B356" s="1" t="s">
        <v>21</v>
      </c>
      <c r="C356" s="1" t="s">
        <v>6</v>
      </c>
    </row>
    <row r="357" spans="1:3" ht="12.75" customHeight="1" x14ac:dyDescent="0.2">
      <c r="A357" s="2">
        <v>821</v>
      </c>
      <c r="B357" s="1" t="s">
        <v>21</v>
      </c>
      <c r="C357" s="1" t="s">
        <v>8</v>
      </c>
    </row>
    <row r="358" spans="1:3" ht="12.75" customHeight="1" x14ac:dyDescent="0.2">
      <c r="A358" s="2">
        <v>822</v>
      </c>
      <c r="B358" s="1" t="s">
        <v>22</v>
      </c>
      <c r="C358" s="1" t="s">
        <v>4</v>
      </c>
    </row>
    <row r="359" spans="1:3" ht="12.75" customHeight="1" x14ac:dyDescent="0.2">
      <c r="A359" s="2">
        <v>823</v>
      </c>
      <c r="B359" s="1" t="s">
        <v>18</v>
      </c>
      <c r="C359" s="1" t="s">
        <v>8</v>
      </c>
    </row>
    <row r="360" spans="1:3" ht="12.75" customHeight="1" x14ac:dyDescent="0.2">
      <c r="A360" s="2">
        <v>825</v>
      </c>
      <c r="B360" s="1" t="s">
        <v>15</v>
      </c>
      <c r="C360" s="1" t="s">
        <v>6</v>
      </c>
    </row>
    <row r="361" spans="1:3" ht="12.75" customHeight="1" x14ac:dyDescent="0.2">
      <c r="A361" s="2">
        <v>829</v>
      </c>
      <c r="B361" s="1" t="s">
        <v>16</v>
      </c>
      <c r="C361" s="1" t="s">
        <v>8</v>
      </c>
    </row>
    <row r="362" spans="1:3" ht="12.75" customHeight="1" x14ac:dyDescent="0.2">
      <c r="A362" s="2">
        <v>829</v>
      </c>
      <c r="B362" s="1" t="s">
        <v>20</v>
      </c>
      <c r="C362" s="1" t="s">
        <v>8</v>
      </c>
    </row>
    <row r="363" spans="1:3" ht="12.75" customHeight="1" x14ac:dyDescent="0.2">
      <c r="A363" s="2">
        <v>830</v>
      </c>
      <c r="B363" s="1" t="s">
        <v>18</v>
      </c>
      <c r="C363" s="1" t="s">
        <v>7</v>
      </c>
    </row>
    <row r="364" spans="1:3" ht="12.75" customHeight="1" x14ac:dyDescent="0.2">
      <c r="A364" s="2">
        <v>831</v>
      </c>
      <c r="B364" s="1" t="s">
        <v>21</v>
      </c>
      <c r="C364" s="1" t="s">
        <v>7</v>
      </c>
    </row>
    <row r="365" spans="1:3" ht="12.75" customHeight="1" x14ac:dyDescent="0.2">
      <c r="A365" s="2">
        <v>832</v>
      </c>
      <c r="B365" s="1" t="s">
        <v>17</v>
      </c>
      <c r="C365" s="1" t="s">
        <v>4</v>
      </c>
    </row>
    <row r="366" spans="1:3" ht="12.75" customHeight="1" x14ac:dyDescent="0.2">
      <c r="A366" s="2">
        <v>837</v>
      </c>
      <c r="B366" s="1" t="s">
        <v>16</v>
      </c>
      <c r="C366" s="1" t="s">
        <v>4</v>
      </c>
    </row>
    <row r="367" spans="1:3" ht="12.75" customHeight="1" x14ac:dyDescent="0.2">
      <c r="A367" s="2">
        <v>838</v>
      </c>
      <c r="B367" s="1" t="s">
        <v>15</v>
      </c>
      <c r="C367" s="1" t="s">
        <v>4</v>
      </c>
    </row>
    <row r="368" spans="1:3" ht="12.75" customHeight="1" x14ac:dyDescent="0.2">
      <c r="A368" s="2">
        <v>841</v>
      </c>
      <c r="B368" s="1" t="s">
        <v>22</v>
      </c>
      <c r="C368" s="1" t="s">
        <v>11</v>
      </c>
    </row>
    <row r="369" spans="1:3" ht="12.75" customHeight="1" x14ac:dyDescent="0.2">
      <c r="A369" s="2">
        <v>842</v>
      </c>
      <c r="B369" s="1" t="s">
        <v>16</v>
      </c>
      <c r="C369" s="1" t="s">
        <v>7</v>
      </c>
    </row>
    <row r="370" spans="1:3" ht="12.75" customHeight="1" x14ac:dyDescent="0.2">
      <c r="A370" s="2">
        <v>843</v>
      </c>
      <c r="B370" s="1" t="s">
        <v>16</v>
      </c>
      <c r="C370" s="1" t="s">
        <v>7</v>
      </c>
    </row>
    <row r="371" spans="1:3" ht="12.75" customHeight="1" x14ac:dyDescent="0.2">
      <c r="A371" s="2">
        <v>844</v>
      </c>
      <c r="B371" s="1" t="s">
        <v>16</v>
      </c>
      <c r="C371" s="1" t="s">
        <v>7</v>
      </c>
    </row>
    <row r="372" spans="1:3" ht="12.75" customHeight="1" x14ac:dyDescent="0.2">
      <c r="A372" s="2">
        <v>845</v>
      </c>
      <c r="B372" s="1" t="s">
        <v>16</v>
      </c>
      <c r="C372" s="1" t="s">
        <v>7</v>
      </c>
    </row>
    <row r="373" spans="1:3" ht="12.75" customHeight="1" x14ac:dyDescent="0.2">
      <c r="A373" s="2">
        <v>846</v>
      </c>
      <c r="B373" s="1" t="s">
        <v>20</v>
      </c>
      <c r="C373" s="1" t="s">
        <v>7</v>
      </c>
    </row>
    <row r="374" spans="1:3" ht="12.75" customHeight="1" x14ac:dyDescent="0.2">
      <c r="A374" s="2">
        <v>847</v>
      </c>
      <c r="B374" s="1" t="s">
        <v>17</v>
      </c>
      <c r="C374" s="1" t="s">
        <v>8</v>
      </c>
    </row>
    <row r="375" spans="1:3" ht="12.75" customHeight="1" x14ac:dyDescent="0.2">
      <c r="A375" s="2">
        <v>848</v>
      </c>
      <c r="B375" s="1" t="s">
        <v>18</v>
      </c>
      <c r="C375" s="1" t="s">
        <v>6</v>
      </c>
    </row>
    <row r="376" spans="1:3" ht="12.75" customHeight="1" x14ac:dyDescent="0.2">
      <c r="A376" s="2">
        <v>848</v>
      </c>
      <c r="B376" s="1" t="s">
        <v>20</v>
      </c>
      <c r="C376" s="1" t="s">
        <v>10</v>
      </c>
    </row>
    <row r="377" spans="1:3" ht="12.75" customHeight="1" x14ac:dyDescent="0.2">
      <c r="A377" s="2">
        <v>850</v>
      </c>
      <c r="B377" s="1" t="s">
        <v>20</v>
      </c>
      <c r="C377" s="1" t="s">
        <v>4</v>
      </c>
    </row>
    <row r="378" spans="1:3" ht="12.75" customHeight="1" x14ac:dyDescent="0.2">
      <c r="A378" s="2">
        <v>850</v>
      </c>
      <c r="B378" s="1" t="s">
        <v>25</v>
      </c>
      <c r="C378" s="1" t="s">
        <v>4</v>
      </c>
    </row>
    <row r="379" spans="1:3" ht="12.75" customHeight="1" x14ac:dyDescent="0.2">
      <c r="A379" s="2">
        <v>851</v>
      </c>
      <c r="B379" s="1" t="s">
        <v>18</v>
      </c>
      <c r="C379" s="1" t="s">
        <v>10</v>
      </c>
    </row>
    <row r="380" spans="1:3" ht="12.75" customHeight="1" x14ac:dyDescent="0.2">
      <c r="A380" s="2">
        <v>851</v>
      </c>
      <c r="B380" s="1" t="s">
        <v>23</v>
      </c>
      <c r="C380" s="1" t="s">
        <v>10</v>
      </c>
    </row>
    <row r="381" spans="1:3" ht="12.75" customHeight="1" x14ac:dyDescent="0.2">
      <c r="A381" s="2">
        <v>852</v>
      </c>
      <c r="B381" s="1" t="s">
        <v>22</v>
      </c>
      <c r="C381" s="1" t="s">
        <v>4</v>
      </c>
    </row>
    <row r="382" spans="1:3" ht="12.75" customHeight="1" x14ac:dyDescent="0.2">
      <c r="A382" s="2">
        <v>853</v>
      </c>
      <c r="B382" s="1" t="s">
        <v>16</v>
      </c>
      <c r="C382" s="1" t="s">
        <v>4</v>
      </c>
    </row>
    <row r="383" spans="1:3" ht="12.75" customHeight="1" x14ac:dyDescent="0.2">
      <c r="A383" s="2">
        <v>854</v>
      </c>
      <c r="B383" s="1" t="s">
        <v>20</v>
      </c>
      <c r="C383" s="1" t="s">
        <v>6</v>
      </c>
    </row>
    <row r="384" spans="1:3" ht="12.75" customHeight="1" x14ac:dyDescent="0.2">
      <c r="A384" s="2">
        <v>855</v>
      </c>
      <c r="B384" s="1" t="s">
        <v>16</v>
      </c>
      <c r="C384" s="1" t="s">
        <v>6</v>
      </c>
    </row>
    <row r="385" spans="1:3" ht="12.75" customHeight="1" x14ac:dyDescent="0.2">
      <c r="A385" s="2">
        <v>857</v>
      </c>
      <c r="B385" s="1" t="s">
        <v>17</v>
      </c>
      <c r="C385" s="1" t="s">
        <v>6</v>
      </c>
    </row>
    <row r="386" spans="1:3" ht="12.75" customHeight="1" x14ac:dyDescent="0.2">
      <c r="A386" s="2">
        <v>858</v>
      </c>
      <c r="B386" s="1" t="s">
        <v>17</v>
      </c>
      <c r="C386" s="1" t="s">
        <v>10</v>
      </c>
    </row>
    <row r="387" spans="1:3" ht="12.75" customHeight="1" x14ac:dyDescent="0.2">
      <c r="A387" s="2">
        <v>859</v>
      </c>
      <c r="B387" s="1" t="s">
        <v>21</v>
      </c>
      <c r="C387" s="1" t="s">
        <v>10</v>
      </c>
    </row>
    <row r="388" spans="1:3" ht="12.75" customHeight="1" x14ac:dyDescent="0.2">
      <c r="A388" s="2">
        <v>865</v>
      </c>
      <c r="B388" s="1" t="s">
        <v>20</v>
      </c>
      <c r="C388" s="1" t="s">
        <v>10</v>
      </c>
    </row>
    <row r="389" spans="1:3" ht="12.75" customHeight="1" x14ac:dyDescent="0.2">
      <c r="A389" s="2">
        <v>865</v>
      </c>
      <c r="B389" s="1" t="s">
        <v>21</v>
      </c>
      <c r="C389" s="1" t="s">
        <v>10</v>
      </c>
    </row>
    <row r="390" spans="1:3" ht="12.75" customHeight="1" x14ac:dyDescent="0.2">
      <c r="A390" s="2">
        <v>866</v>
      </c>
      <c r="B390" s="1" t="s">
        <v>23</v>
      </c>
      <c r="C390" s="1" t="s">
        <v>6</v>
      </c>
    </row>
    <row r="391" spans="1:3" ht="12.75" customHeight="1" x14ac:dyDescent="0.2">
      <c r="A391" s="2">
        <v>868</v>
      </c>
      <c r="B391" s="1" t="s">
        <v>25</v>
      </c>
      <c r="C391" s="1" t="s">
        <v>6</v>
      </c>
    </row>
    <row r="392" spans="1:3" ht="12.75" customHeight="1" x14ac:dyDescent="0.2">
      <c r="A392" s="2">
        <v>869</v>
      </c>
      <c r="B392" s="1" t="s">
        <v>17</v>
      </c>
      <c r="C392" s="1" t="s">
        <v>5</v>
      </c>
    </row>
    <row r="393" spans="1:3" ht="12.75" customHeight="1" x14ac:dyDescent="0.2">
      <c r="A393" s="2">
        <v>871</v>
      </c>
      <c r="B393" s="1" t="s">
        <v>17</v>
      </c>
      <c r="C393" s="1" t="s">
        <v>8</v>
      </c>
    </row>
    <row r="394" spans="1:3" ht="12.75" customHeight="1" x14ac:dyDescent="0.2">
      <c r="A394" s="2">
        <v>872</v>
      </c>
      <c r="B394" s="1" t="s">
        <v>21</v>
      </c>
      <c r="C394" s="1" t="s">
        <v>8</v>
      </c>
    </row>
    <row r="395" spans="1:3" ht="12.75" customHeight="1" x14ac:dyDescent="0.2">
      <c r="A395" s="2">
        <v>873</v>
      </c>
      <c r="B395" s="1" t="s">
        <v>23</v>
      </c>
      <c r="C395" s="1" t="s">
        <v>8</v>
      </c>
    </row>
    <row r="396" spans="1:3" ht="12.75" customHeight="1" x14ac:dyDescent="0.2">
      <c r="A396" s="2">
        <v>874</v>
      </c>
      <c r="B396" s="1" t="s">
        <v>20</v>
      </c>
      <c r="C396" s="1" t="s">
        <v>6</v>
      </c>
    </row>
    <row r="397" spans="1:3" ht="12.75" customHeight="1" x14ac:dyDescent="0.2">
      <c r="A397" s="2">
        <v>874</v>
      </c>
      <c r="B397" s="1" t="s">
        <v>21</v>
      </c>
      <c r="C397" s="1" t="s">
        <v>6</v>
      </c>
    </row>
    <row r="398" spans="1:3" ht="12.75" customHeight="1" x14ac:dyDescent="0.2">
      <c r="A398" s="2">
        <v>876</v>
      </c>
      <c r="B398" s="1" t="s">
        <v>21</v>
      </c>
      <c r="C398" s="1" t="s">
        <v>4</v>
      </c>
    </row>
    <row r="399" spans="1:3" ht="12.75" customHeight="1" x14ac:dyDescent="0.2">
      <c r="A399" s="2">
        <v>877</v>
      </c>
      <c r="B399" s="1" t="s">
        <v>21</v>
      </c>
      <c r="C399" s="1" t="s">
        <v>4</v>
      </c>
    </row>
    <row r="400" spans="1:3" ht="12.75" customHeight="1" x14ac:dyDescent="0.2">
      <c r="A400" s="2">
        <v>878</v>
      </c>
      <c r="B400" s="1" t="s">
        <v>21</v>
      </c>
      <c r="C400" s="1" t="s">
        <v>4</v>
      </c>
    </row>
    <row r="401" spans="1:3" ht="12.75" customHeight="1" x14ac:dyDescent="0.2">
      <c r="A401" s="2">
        <v>879</v>
      </c>
      <c r="B401" s="1" t="s">
        <v>25</v>
      </c>
      <c r="C401" s="1" t="s">
        <v>10</v>
      </c>
    </row>
    <row r="402" spans="1:3" ht="12.75" customHeight="1" x14ac:dyDescent="0.2">
      <c r="A402" s="2">
        <v>884</v>
      </c>
      <c r="B402" s="1" t="s">
        <v>17</v>
      </c>
      <c r="C402" s="1" t="s">
        <v>7</v>
      </c>
    </row>
    <row r="403" spans="1:3" ht="12.75" customHeight="1" x14ac:dyDescent="0.2">
      <c r="A403" s="2">
        <v>886</v>
      </c>
      <c r="B403" s="1" t="s">
        <v>23</v>
      </c>
      <c r="C403" s="1" t="s">
        <v>4</v>
      </c>
    </row>
    <row r="404" spans="1:3" ht="12.75" customHeight="1" x14ac:dyDescent="0.2">
      <c r="A404" s="2">
        <v>887</v>
      </c>
      <c r="B404" s="1" t="s">
        <v>25</v>
      </c>
      <c r="C404" s="1" t="s">
        <v>8</v>
      </c>
    </row>
    <row r="405" spans="1:3" ht="12.75" customHeight="1" x14ac:dyDescent="0.2">
      <c r="A405" s="2">
        <v>888</v>
      </c>
      <c r="B405" s="1" t="s">
        <v>21</v>
      </c>
      <c r="C405" s="1" t="s">
        <v>6</v>
      </c>
    </row>
    <row r="406" spans="1:3" ht="12.75" customHeight="1" x14ac:dyDescent="0.2">
      <c r="A406" s="2">
        <v>888</v>
      </c>
      <c r="B406" s="1" t="s">
        <v>23</v>
      </c>
      <c r="C406" s="1" t="s">
        <v>6</v>
      </c>
    </row>
    <row r="407" spans="1:3" ht="12.75" customHeight="1" x14ac:dyDescent="0.2">
      <c r="A407" s="2">
        <v>889</v>
      </c>
      <c r="B407" s="1" t="s">
        <v>20</v>
      </c>
      <c r="C407" s="1" t="s">
        <v>4</v>
      </c>
    </row>
    <row r="408" spans="1:3" ht="12.75" customHeight="1" x14ac:dyDescent="0.2">
      <c r="A408" s="2">
        <v>889</v>
      </c>
      <c r="B408" s="1" t="s">
        <v>23</v>
      </c>
      <c r="C408" s="1" t="s">
        <v>4</v>
      </c>
    </row>
    <row r="409" spans="1:3" ht="12.75" customHeight="1" x14ac:dyDescent="0.2">
      <c r="A409" s="2">
        <v>890</v>
      </c>
      <c r="B409" s="1" t="s">
        <v>25</v>
      </c>
      <c r="C409" s="1" t="s">
        <v>4</v>
      </c>
    </row>
    <row r="410" spans="1:3" ht="12.75" customHeight="1" x14ac:dyDescent="0.2">
      <c r="A410" s="2">
        <v>891</v>
      </c>
      <c r="B410" s="1" t="s">
        <v>18</v>
      </c>
      <c r="C410" s="1" t="s">
        <v>6</v>
      </c>
    </row>
    <row r="411" spans="1:3" ht="12.75" customHeight="1" x14ac:dyDescent="0.2">
      <c r="A411" s="2">
        <v>896</v>
      </c>
      <c r="B411" s="1" t="s">
        <v>23</v>
      </c>
      <c r="C411" s="1" t="s">
        <v>8</v>
      </c>
    </row>
    <row r="412" spans="1:3" ht="12.75" customHeight="1" x14ac:dyDescent="0.2">
      <c r="A412" s="2">
        <v>897</v>
      </c>
      <c r="B412" s="1" t="s">
        <v>18</v>
      </c>
      <c r="C412" s="1" t="s">
        <v>10</v>
      </c>
    </row>
    <row r="413" spans="1:3" ht="12.75" customHeight="1" x14ac:dyDescent="0.2">
      <c r="A413" s="2">
        <v>898</v>
      </c>
      <c r="B413" s="1" t="s">
        <v>21</v>
      </c>
      <c r="C413" s="1" t="s">
        <v>10</v>
      </c>
    </row>
    <row r="414" spans="1:3" ht="12.75" customHeight="1" x14ac:dyDescent="0.2">
      <c r="A414" s="2">
        <v>899</v>
      </c>
      <c r="B414" s="1" t="s">
        <v>23</v>
      </c>
      <c r="C414" s="1" t="s">
        <v>4</v>
      </c>
    </row>
    <row r="415" spans="1:3" ht="12.75" customHeight="1" x14ac:dyDescent="0.2">
      <c r="A415" s="2">
        <v>900</v>
      </c>
      <c r="B415" s="1" t="s">
        <v>23</v>
      </c>
      <c r="C415" s="1" t="s">
        <v>10</v>
      </c>
    </row>
    <row r="416" spans="1:3" ht="12.75" customHeight="1" x14ac:dyDescent="0.2">
      <c r="A416" s="2">
        <v>901</v>
      </c>
      <c r="B416" s="1" t="s">
        <v>18</v>
      </c>
      <c r="C416" s="1" t="s">
        <v>4</v>
      </c>
    </row>
    <row r="417" spans="1:3" ht="12.75" customHeight="1" x14ac:dyDescent="0.2">
      <c r="A417" s="2">
        <v>904</v>
      </c>
      <c r="B417" s="1" t="s">
        <v>18</v>
      </c>
      <c r="C417" s="1" t="s">
        <v>6</v>
      </c>
    </row>
    <row r="418" spans="1:3" ht="12.75" customHeight="1" x14ac:dyDescent="0.2">
      <c r="A418" s="2">
        <v>907</v>
      </c>
      <c r="B418" s="1" t="s">
        <v>18</v>
      </c>
      <c r="C418" s="1" t="s">
        <v>19</v>
      </c>
    </row>
    <row r="419" spans="1:3" ht="12.75" customHeight="1" x14ac:dyDescent="0.2">
      <c r="A419" s="2">
        <v>910</v>
      </c>
      <c r="B419" s="1" t="s">
        <v>23</v>
      </c>
      <c r="C419" s="1" t="s">
        <v>10</v>
      </c>
    </row>
    <row r="420" spans="1:3" ht="12.75" customHeight="1" x14ac:dyDescent="0.2">
      <c r="A420" s="2">
        <v>912</v>
      </c>
      <c r="B420" s="1" t="s">
        <v>21</v>
      </c>
      <c r="C420" s="1" t="s">
        <v>10</v>
      </c>
    </row>
    <row r="421" spans="1:3" ht="12.75" customHeight="1" x14ac:dyDescent="0.2">
      <c r="A421" s="2">
        <v>913</v>
      </c>
      <c r="B421" s="1" t="s">
        <v>25</v>
      </c>
      <c r="C421" s="1" t="s">
        <v>10</v>
      </c>
    </row>
    <row r="422" spans="1:3" ht="12.75" customHeight="1" x14ac:dyDescent="0.2">
      <c r="A422" s="2">
        <v>914</v>
      </c>
      <c r="B422" s="1" t="s">
        <v>20</v>
      </c>
      <c r="C422" s="1" t="s">
        <v>7</v>
      </c>
    </row>
    <row r="423" spans="1:3" ht="12.75" customHeight="1" x14ac:dyDescent="0.2">
      <c r="A423" s="2">
        <v>914</v>
      </c>
      <c r="B423" s="1" t="s">
        <v>21</v>
      </c>
      <c r="C423" s="1" t="s">
        <v>6</v>
      </c>
    </row>
    <row r="424" spans="1:3" ht="12.75" customHeight="1" x14ac:dyDescent="0.2">
      <c r="A424" s="2">
        <v>914</v>
      </c>
      <c r="B424" s="1" t="s">
        <v>22</v>
      </c>
      <c r="C424" s="1" t="s">
        <v>6</v>
      </c>
    </row>
    <row r="425" spans="1:3" ht="12.75" customHeight="1" x14ac:dyDescent="0.2">
      <c r="A425" s="2">
        <v>914</v>
      </c>
      <c r="B425" s="1" t="s">
        <v>23</v>
      </c>
      <c r="C425" s="1" t="s">
        <v>6</v>
      </c>
    </row>
    <row r="426" spans="1:3" ht="12.75" customHeight="1" x14ac:dyDescent="0.2">
      <c r="A426" s="2">
        <v>915</v>
      </c>
      <c r="B426" s="1" t="s">
        <v>25</v>
      </c>
      <c r="C426" s="1" t="s">
        <v>8</v>
      </c>
    </row>
    <row r="427" spans="1:3" ht="12.75" customHeight="1" x14ac:dyDescent="0.2">
      <c r="A427" s="2">
        <v>916</v>
      </c>
      <c r="B427" s="1" t="s">
        <v>20</v>
      </c>
      <c r="C427" s="1" t="s">
        <v>4</v>
      </c>
    </row>
    <row r="428" spans="1:3" ht="12.75" customHeight="1" x14ac:dyDescent="0.2">
      <c r="A428" s="2">
        <v>917</v>
      </c>
      <c r="B428" s="1" t="s">
        <v>25</v>
      </c>
      <c r="C428" s="1" t="s">
        <v>8</v>
      </c>
    </row>
    <row r="429" spans="1:3" ht="12.75" customHeight="1" x14ac:dyDescent="0.2">
      <c r="A429" s="2">
        <v>918</v>
      </c>
      <c r="B429" s="1" t="s">
        <v>25</v>
      </c>
      <c r="C429" s="1" t="s">
        <v>8</v>
      </c>
    </row>
    <row r="430" spans="1:3" ht="12.75" customHeight="1" x14ac:dyDescent="0.2">
      <c r="A430" s="2">
        <v>920</v>
      </c>
      <c r="B430" s="1" t="s">
        <v>21</v>
      </c>
      <c r="C430" s="1" t="s">
        <v>6</v>
      </c>
    </row>
    <row r="431" spans="1:3" ht="12.75" customHeight="1" x14ac:dyDescent="0.2">
      <c r="A431" s="2">
        <v>921</v>
      </c>
      <c r="B431" s="1" t="s">
        <v>21</v>
      </c>
      <c r="C431" s="1" t="s">
        <v>10</v>
      </c>
    </row>
    <row r="432" spans="1:3" ht="12.75" customHeight="1" x14ac:dyDescent="0.2">
      <c r="A432" s="2">
        <v>923</v>
      </c>
      <c r="B432" s="1" t="s">
        <v>20</v>
      </c>
      <c r="C432" s="1" t="s">
        <v>6</v>
      </c>
    </row>
    <row r="433" spans="1:3" ht="12.75" customHeight="1" x14ac:dyDescent="0.2">
      <c r="A433" s="2">
        <v>925</v>
      </c>
      <c r="B433" s="1" t="s">
        <v>25</v>
      </c>
      <c r="C433" s="1" t="s">
        <v>10</v>
      </c>
    </row>
    <row r="434" spans="1:3" ht="12.75" customHeight="1" x14ac:dyDescent="0.2">
      <c r="A434" s="2">
        <v>927</v>
      </c>
      <c r="B434" s="1" t="s">
        <v>23</v>
      </c>
      <c r="C434" s="1" t="s">
        <v>10</v>
      </c>
    </row>
    <row r="435" spans="1:3" ht="12.75" customHeight="1" x14ac:dyDescent="0.2">
      <c r="A435" s="2">
        <v>929</v>
      </c>
      <c r="B435" s="1" t="s">
        <v>20</v>
      </c>
      <c r="C435" s="1" t="s">
        <v>4</v>
      </c>
    </row>
    <row r="436" spans="1:3" ht="12.75" customHeight="1" x14ac:dyDescent="0.2">
      <c r="A436" s="2">
        <v>929</v>
      </c>
      <c r="B436" s="1" t="s">
        <v>22</v>
      </c>
      <c r="C436" s="1" t="s">
        <v>4</v>
      </c>
    </row>
    <row r="437" spans="1:3" ht="12.75" customHeight="1" x14ac:dyDescent="0.2">
      <c r="A437" s="2">
        <v>931</v>
      </c>
      <c r="B437" s="1" t="s">
        <v>22</v>
      </c>
      <c r="C437" s="1" t="s">
        <v>10</v>
      </c>
    </row>
    <row r="438" spans="1:3" ht="12.75" customHeight="1" x14ac:dyDescent="0.2">
      <c r="A438" s="2">
        <v>932</v>
      </c>
      <c r="B438" s="1" t="s">
        <v>22</v>
      </c>
      <c r="C438" s="1" t="s">
        <v>10</v>
      </c>
    </row>
    <row r="439" spans="1:3" ht="12.75" customHeight="1" x14ac:dyDescent="0.2">
      <c r="A439" s="2">
        <v>932</v>
      </c>
      <c r="B439" s="1" t="s">
        <v>23</v>
      </c>
      <c r="C439" s="1" t="s">
        <v>10</v>
      </c>
    </row>
    <row r="440" spans="1:3" ht="12.75" customHeight="1" x14ac:dyDescent="0.2">
      <c r="A440" s="2">
        <v>933</v>
      </c>
      <c r="B440" s="1" t="s">
        <v>21</v>
      </c>
      <c r="C440" s="1" t="s">
        <v>5</v>
      </c>
    </row>
    <row r="441" spans="1:3" ht="12.75" customHeight="1" x14ac:dyDescent="0.2">
      <c r="A441" s="2">
        <v>934</v>
      </c>
      <c r="B441" s="1" t="s">
        <v>21</v>
      </c>
      <c r="C441" s="1" t="s">
        <v>10</v>
      </c>
    </row>
    <row r="442" spans="1:3" ht="12.75" customHeight="1" x14ac:dyDescent="0.2">
      <c r="A442" s="2">
        <v>934</v>
      </c>
      <c r="B442" s="1" t="s">
        <v>23</v>
      </c>
      <c r="C442" s="1" t="s">
        <v>10</v>
      </c>
    </row>
    <row r="443" spans="1:3" ht="12.75" customHeight="1" x14ac:dyDescent="0.2">
      <c r="A443" s="2">
        <v>935</v>
      </c>
      <c r="B443" s="1" t="s">
        <v>22</v>
      </c>
      <c r="C443" s="1" t="s">
        <v>6</v>
      </c>
    </row>
    <row r="444" spans="1:3" ht="12.75" customHeight="1" x14ac:dyDescent="0.2">
      <c r="A444" s="2">
        <v>940</v>
      </c>
      <c r="B444" s="1" t="s">
        <v>22</v>
      </c>
      <c r="C444" s="1" t="s">
        <v>10</v>
      </c>
    </row>
    <row r="445" spans="1:3" ht="12.75" customHeight="1" x14ac:dyDescent="0.2">
      <c r="A445" s="2">
        <v>940</v>
      </c>
      <c r="B445" s="1" t="s">
        <v>23</v>
      </c>
      <c r="C445" s="1" t="s">
        <v>10</v>
      </c>
    </row>
    <row r="446" spans="1:3" ht="12.75" customHeight="1" x14ac:dyDescent="0.2">
      <c r="A446" s="2">
        <v>940</v>
      </c>
      <c r="B446" s="1" t="s">
        <v>25</v>
      </c>
      <c r="C446" s="1" t="s">
        <v>10</v>
      </c>
    </row>
    <row r="447" spans="1:3" ht="12.75" customHeight="1" x14ac:dyDescent="0.2">
      <c r="A447" s="2">
        <v>941</v>
      </c>
      <c r="B447" s="1" t="s">
        <v>22</v>
      </c>
      <c r="C447" s="1" t="s">
        <v>10</v>
      </c>
    </row>
    <row r="448" spans="1:3" ht="12.75" customHeight="1" x14ac:dyDescent="0.2">
      <c r="A448" s="2">
        <v>941</v>
      </c>
      <c r="B448" s="1" t="s">
        <v>25</v>
      </c>
      <c r="C448" s="1" t="s">
        <v>10</v>
      </c>
    </row>
    <row r="449" spans="1:3" ht="12.75" customHeight="1" x14ac:dyDescent="0.2">
      <c r="A449" s="2">
        <v>943</v>
      </c>
      <c r="B449" s="1" t="s">
        <v>22</v>
      </c>
      <c r="C449" s="1" t="s">
        <v>10</v>
      </c>
    </row>
    <row r="450" spans="1:3" ht="12.75" customHeight="1" x14ac:dyDescent="0.2">
      <c r="A450" s="2">
        <v>944</v>
      </c>
      <c r="B450" s="1" t="s">
        <v>25</v>
      </c>
      <c r="C450" s="1" t="s">
        <v>10</v>
      </c>
    </row>
    <row r="451" spans="1:3" ht="12.75" customHeight="1" x14ac:dyDescent="0.2">
      <c r="A451" s="2">
        <v>946</v>
      </c>
      <c r="B451" s="1" t="s">
        <v>21</v>
      </c>
      <c r="C451" s="1" t="s">
        <v>8</v>
      </c>
    </row>
    <row r="452" spans="1:3" ht="12.75" customHeight="1" x14ac:dyDescent="0.2">
      <c r="A452" s="2">
        <v>947</v>
      </c>
      <c r="B452" s="1" t="s">
        <v>22</v>
      </c>
      <c r="C452" s="1" t="s">
        <v>4</v>
      </c>
    </row>
    <row r="453" spans="1:3" ht="12.75" customHeight="1" x14ac:dyDescent="0.2">
      <c r="A453" s="2">
        <v>947</v>
      </c>
      <c r="B453" s="1" t="s">
        <v>25</v>
      </c>
      <c r="C453" s="1" t="s">
        <v>4</v>
      </c>
    </row>
    <row r="454" spans="1:3" ht="12.75" customHeight="1" x14ac:dyDescent="0.2">
      <c r="A454" s="2">
        <v>951</v>
      </c>
      <c r="B454" s="1" t="s">
        <v>25</v>
      </c>
      <c r="C454" s="1" t="s">
        <v>4</v>
      </c>
    </row>
    <row r="455" spans="1:3" ht="12.75" customHeight="1" x14ac:dyDescent="0.2">
      <c r="A455" s="2">
        <v>954</v>
      </c>
      <c r="B455" s="1" t="s">
        <v>23</v>
      </c>
      <c r="C455" s="1" t="s">
        <v>6</v>
      </c>
    </row>
    <row r="456" spans="1:3" ht="12.75" customHeight="1" x14ac:dyDescent="0.2">
      <c r="A456" s="2">
        <v>955</v>
      </c>
      <c r="B456" s="1" t="s">
        <v>25</v>
      </c>
      <c r="C456" s="1" t="s">
        <v>10</v>
      </c>
    </row>
    <row r="457" spans="1:3" ht="12.75" customHeight="1" x14ac:dyDescent="0.2">
      <c r="A457" s="2">
        <v>956</v>
      </c>
      <c r="B457" s="1" t="s">
        <v>22</v>
      </c>
      <c r="C457" s="1" t="s">
        <v>4</v>
      </c>
    </row>
    <row r="458" spans="1:3" ht="12.75" customHeight="1" x14ac:dyDescent="0.2">
      <c r="A458" s="2">
        <v>956</v>
      </c>
      <c r="B458" s="1" t="s">
        <v>23</v>
      </c>
      <c r="C458" s="1" t="s">
        <v>4</v>
      </c>
    </row>
    <row r="459" spans="1:3" ht="12.75" customHeight="1" x14ac:dyDescent="0.2">
      <c r="A459" s="2">
        <v>958</v>
      </c>
      <c r="B459" s="1" t="s">
        <v>25</v>
      </c>
      <c r="C459" s="1" t="s">
        <v>26</v>
      </c>
    </row>
    <row r="460" spans="1:3" ht="12.75" customHeight="1" x14ac:dyDescent="0.2">
      <c r="A460" s="2">
        <v>960</v>
      </c>
      <c r="B460" s="1" t="s">
        <v>21</v>
      </c>
      <c r="C460" s="1" t="s">
        <v>6</v>
      </c>
    </row>
    <row r="461" spans="1:3" ht="12.75" customHeight="1" x14ac:dyDescent="0.2">
      <c r="A461" s="2">
        <v>962</v>
      </c>
      <c r="B461" s="1" t="s">
        <v>25</v>
      </c>
      <c r="C461" s="1" t="s">
        <v>10</v>
      </c>
    </row>
    <row r="462" spans="1:3" ht="12.75" customHeight="1" x14ac:dyDescent="0.2">
      <c r="A462" s="2">
        <v>963</v>
      </c>
      <c r="B462" s="1" t="s">
        <v>22</v>
      </c>
      <c r="C462" s="1" t="s">
        <v>4</v>
      </c>
    </row>
    <row r="463" spans="1:3" ht="12.75" customHeight="1" x14ac:dyDescent="0.2">
      <c r="A463" s="2">
        <v>966</v>
      </c>
      <c r="B463" s="1" t="s">
        <v>25</v>
      </c>
      <c r="C463" s="1" t="s">
        <v>10</v>
      </c>
    </row>
    <row r="464" spans="1:3" ht="12.75" customHeight="1" x14ac:dyDescent="0.2">
      <c r="A464" s="2">
        <v>969</v>
      </c>
      <c r="B464" s="1" t="s">
        <v>21</v>
      </c>
      <c r="C464" s="1" t="s">
        <v>8</v>
      </c>
    </row>
    <row r="465" spans="1:3" ht="12.75" customHeight="1" x14ac:dyDescent="0.2">
      <c r="A465" s="2">
        <v>972</v>
      </c>
      <c r="B465" s="1" t="s">
        <v>22</v>
      </c>
      <c r="C465" s="1" t="s">
        <v>4</v>
      </c>
    </row>
    <row r="466" spans="1:3" ht="12.75" customHeight="1" x14ac:dyDescent="0.2">
      <c r="A466" s="2">
        <v>975</v>
      </c>
      <c r="B466" s="1" t="s">
        <v>25</v>
      </c>
      <c r="C466" s="1" t="s">
        <v>10</v>
      </c>
    </row>
    <row r="467" spans="1:3" ht="12.75" customHeight="1" x14ac:dyDescent="0.2">
      <c r="A467" s="2">
        <v>976</v>
      </c>
      <c r="B467" s="1" t="s">
        <v>23</v>
      </c>
      <c r="C467" s="1" t="s">
        <v>6</v>
      </c>
    </row>
    <row r="468" spans="1:3" ht="12.75" customHeight="1" x14ac:dyDescent="0.2">
      <c r="A468" s="2">
        <v>977</v>
      </c>
      <c r="B468" s="1" t="s">
        <v>22</v>
      </c>
      <c r="C468" s="1" t="s">
        <v>11</v>
      </c>
    </row>
    <row r="469" spans="1:3" ht="12.75" customHeight="1" x14ac:dyDescent="0.2">
      <c r="A469" s="2">
        <v>977</v>
      </c>
      <c r="B469" s="1" t="s">
        <v>23</v>
      </c>
      <c r="C469" s="1" t="s">
        <v>11</v>
      </c>
    </row>
    <row r="470" spans="1:3" ht="12.75" customHeight="1" x14ac:dyDescent="0.2">
      <c r="A470" s="2">
        <v>978</v>
      </c>
      <c r="B470" s="1" t="s">
        <v>23</v>
      </c>
      <c r="C470" s="1" t="s">
        <v>5</v>
      </c>
    </row>
    <row r="471" spans="1:3" ht="12.75" customHeight="1" x14ac:dyDescent="0.2">
      <c r="A471" s="2">
        <v>979</v>
      </c>
      <c r="B471" s="1" t="s">
        <v>25</v>
      </c>
      <c r="C471" s="1" t="s">
        <v>6</v>
      </c>
    </row>
    <row r="472" spans="1:3" ht="12.75" customHeight="1" x14ac:dyDescent="0.2">
      <c r="A472" s="2">
        <v>997</v>
      </c>
      <c r="B472" s="1" t="s">
        <v>23</v>
      </c>
      <c r="C472" s="1" t="s">
        <v>6</v>
      </c>
    </row>
    <row r="473" spans="1:3" ht="12.75" customHeight="1" x14ac:dyDescent="0.2">
      <c r="A473" s="2">
        <v>998</v>
      </c>
      <c r="B473" s="1" t="s">
        <v>23</v>
      </c>
      <c r="C473" s="1" t="s">
        <v>8</v>
      </c>
    </row>
    <row r="474" spans="1:3" ht="12.75" customHeight="1" x14ac:dyDescent="0.2">
      <c r="A474" s="2">
        <v>1001</v>
      </c>
      <c r="B474" s="1" t="s">
        <v>23</v>
      </c>
      <c r="C474" s="1" t="s">
        <v>11</v>
      </c>
    </row>
    <row r="475" spans="1:3" ht="12.75" customHeight="1" x14ac:dyDescent="0.2">
      <c r="A475" s="2">
        <v>1004</v>
      </c>
      <c r="B475" s="1" t="s">
        <v>25</v>
      </c>
      <c r="C475" s="1" t="s">
        <v>19</v>
      </c>
    </row>
    <row r="476" spans="1:3" ht="12.75" customHeight="1" x14ac:dyDescent="0.2">
      <c r="A476" s="2">
        <v>1006</v>
      </c>
      <c r="B476" s="1" t="s">
        <v>25</v>
      </c>
      <c r="C476" s="1" t="s">
        <v>10</v>
      </c>
    </row>
    <row r="477" spans="1:3" ht="12.75" customHeight="1" x14ac:dyDescent="0.2">
      <c r="A477" s="2">
        <v>1012</v>
      </c>
      <c r="B477" s="1" t="s">
        <v>23</v>
      </c>
      <c r="C477" s="1" t="s">
        <v>24</v>
      </c>
    </row>
    <row r="478" spans="1:3" ht="12.75" customHeight="1" x14ac:dyDescent="0.2">
      <c r="A478" s="2">
        <v>1015</v>
      </c>
      <c r="B478" s="1" t="s">
        <v>23</v>
      </c>
      <c r="C478" s="1" t="s">
        <v>10</v>
      </c>
    </row>
    <row r="479" spans="1:3" ht="12.75" customHeight="1" x14ac:dyDescent="0.2">
      <c r="A479" s="1"/>
      <c r="B479" s="1"/>
      <c r="C479" s="1"/>
    </row>
    <row r="480" spans="1:3" ht="12.75" customHeight="1" x14ac:dyDescent="0.2">
      <c r="A480" s="1"/>
      <c r="B480" s="1"/>
      <c r="C480" s="1"/>
    </row>
    <row r="481" spans="1:3" ht="12.75" customHeight="1" x14ac:dyDescent="0.2">
      <c r="A481" s="1"/>
      <c r="B481" s="1"/>
      <c r="C481" s="1"/>
    </row>
    <row r="482" spans="1:3" ht="12.75" customHeight="1" x14ac:dyDescent="0.2">
      <c r="A482" s="1"/>
      <c r="B482" s="1"/>
      <c r="C482" s="1"/>
    </row>
    <row r="483" spans="1:3" ht="12.75" customHeight="1" x14ac:dyDescent="0.2">
      <c r="A483" s="1"/>
      <c r="B483" s="1"/>
      <c r="C483" s="1"/>
    </row>
    <row r="484" spans="1:3" ht="12.75" customHeight="1" x14ac:dyDescent="0.2">
      <c r="A484" s="1"/>
      <c r="B484" s="1"/>
      <c r="C484" s="1"/>
    </row>
    <row r="485" spans="1:3" ht="12.75" customHeight="1" x14ac:dyDescent="0.2">
      <c r="A485" s="1"/>
      <c r="B485" s="1"/>
      <c r="C485" s="1"/>
    </row>
    <row r="486" spans="1:3" ht="12.75" customHeight="1" x14ac:dyDescent="0.2">
      <c r="A486" s="1"/>
      <c r="B486" s="1"/>
      <c r="C486" s="1"/>
    </row>
    <row r="487" spans="1:3" ht="12.75" customHeight="1" x14ac:dyDescent="0.2">
      <c r="A487" s="1"/>
      <c r="B487" s="1"/>
      <c r="C487" s="1"/>
    </row>
    <row r="488" spans="1:3" ht="12.75" customHeight="1" x14ac:dyDescent="0.2">
      <c r="A488" s="1"/>
      <c r="B488" s="1"/>
      <c r="C488" s="1"/>
    </row>
    <row r="489" spans="1:3" ht="12.75" customHeight="1" x14ac:dyDescent="0.2">
      <c r="A489" s="1"/>
      <c r="B489" s="1"/>
      <c r="C489" s="1"/>
    </row>
    <row r="490" spans="1:3" ht="12.75" customHeight="1" x14ac:dyDescent="0.2">
      <c r="A490" s="1"/>
      <c r="B490" s="1"/>
      <c r="C490" s="1"/>
    </row>
    <row r="491" spans="1:3" ht="12.75" customHeight="1" x14ac:dyDescent="0.2">
      <c r="A491" s="1"/>
      <c r="B491" s="1"/>
      <c r="C491" s="1"/>
    </row>
    <row r="492" spans="1:3" ht="12.75" customHeight="1" x14ac:dyDescent="0.2">
      <c r="A492" s="1"/>
      <c r="B492" s="1"/>
      <c r="C492" s="1"/>
    </row>
    <row r="493" spans="1:3" ht="12.75" customHeight="1" x14ac:dyDescent="0.2">
      <c r="A493" s="1"/>
      <c r="B493" s="1"/>
      <c r="C493" s="1"/>
    </row>
    <row r="494" spans="1:3" ht="12.75" customHeight="1" x14ac:dyDescent="0.2">
      <c r="A494" s="1"/>
      <c r="B494" s="1"/>
      <c r="C494" s="1"/>
    </row>
    <row r="495" spans="1:3" ht="12.75" customHeight="1" x14ac:dyDescent="0.2">
      <c r="A495" s="1"/>
      <c r="B495" s="1"/>
      <c r="C495" s="1"/>
    </row>
    <row r="496" spans="1:3" ht="12.75" customHeight="1" x14ac:dyDescent="0.2">
      <c r="A496" s="1"/>
      <c r="B496" s="1"/>
      <c r="C496" s="1"/>
    </row>
    <row r="497" spans="1:3" ht="12.75" customHeight="1" x14ac:dyDescent="0.2">
      <c r="A497" s="1"/>
      <c r="B497" s="1"/>
      <c r="C497" s="1"/>
    </row>
    <row r="498" spans="1:3" ht="12.75" customHeight="1" x14ac:dyDescent="0.2">
      <c r="A498" s="1"/>
      <c r="B498" s="1"/>
      <c r="C498" s="1"/>
    </row>
    <row r="499" spans="1:3" ht="12.75" customHeight="1" x14ac:dyDescent="0.2">
      <c r="A499" s="1"/>
      <c r="B499" s="1"/>
      <c r="C499" s="1"/>
    </row>
    <row r="500" spans="1:3" ht="12.75" customHeight="1" x14ac:dyDescent="0.2">
      <c r="A500" s="1"/>
      <c r="B500" s="1"/>
      <c r="C500" s="1"/>
    </row>
    <row r="501" spans="1:3" ht="12.75" customHeight="1" x14ac:dyDescent="0.2">
      <c r="A501" s="1"/>
      <c r="B501" s="1"/>
      <c r="C501" s="1"/>
    </row>
    <row r="502" spans="1:3" ht="12.75" customHeight="1" x14ac:dyDescent="0.2">
      <c r="A502" s="1"/>
      <c r="B502" s="1"/>
      <c r="C502" s="1"/>
    </row>
    <row r="503" spans="1:3" ht="12.75" customHeight="1" x14ac:dyDescent="0.2">
      <c r="A503" s="1"/>
      <c r="B503" s="1"/>
      <c r="C503" s="1"/>
    </row>
    <row r="504" spans="1:3" ht="12.75" customHeight="1" x14ac:dyDescent="0.2">
      <c r="A504" s="1"/>
      <c r="B504" s="1"/>
      <c r="C504" s="1"/>
    </row>
    <row r="505" spans="1:3" ht="12.75" customHeight="1" x14ac:dyDescent="0.2">
      <c r="A505" s="1"/>
      <c r="B505" s="1"/>
      <c r="C505" s="1"/>
    </row>
    <row r="506" spans="1:3" ht="12.75" customHeight="1" x14ac:dyDescent="0.2">
      <c r="A506" s="1"/>
      <c r="B506" s="1"/>
      <c r="C506" s="1"/>
    </row>
    <row r="507" spans="1:3" ht="12.75" customHeight="1" x14ac:dyDescent="0.2">
      <c r="A507" s="1"/>
      <c r="B507" s="1"/>
      <c r="C507" s="1"/>
    </row>
    <row r="508" spans="1:3" ht="12.75" customHeight="1" x14ac:dyDescent="0.2">
      <c r="A508" s="1"/>
      <c r="B508" s="1"/>
      <c r="C508" s="1"/>
    </row>
    <row r="509" spans="1:3" ht="12.75" customHeight="1" x14ac:dyDescent="0.2">
      <c r="A509" s="1"/>
      <c r="B509" s="1"/>
      <c r="C509" s="1"/>
    </row>
    <row r="510" spans="1:3" ht="12.75" customHeight="1" x14ac:dyDescent="0.2">
      <c r="A510" s="1"/>
      <c r="B510" s="1"/>
      <c r="C510" s="1"/>
    </row>
    <row r="511" spans="1:3" ht="12.75" customHeight="1" x14ac:dyDescent="0.2">
      <c r="A511" s="1"/>
      <c r="B511" s="1"/>
      <c r="C511" s="1"/>
    </row>
    <row r="512" spans="1:3" ht="12.75" customHeight="1" x14ac:dyDescent="0.2">
      <c r="A512" s="1"/>
      <c r="B512" s="1"/>
      <c r="C512" s="1"/>
    </row>
    <row r="513" spans="1:3" ht="12.75" customHeight="1" x14ac:dyDescent="0.2">
      <c r="A513" s="1"/>
      <c r="B513" s="1"/>
      <c r="C513" s="1"/>
    </row>
    <row r="514" spans="1:3" ht="12.75" customHeight="1" x14ac:dyDescent="0.2">
      <c r="A514" s="1"/>
      <c r="B514" s="1"/>
      <c r="C514" s="1"/>
    </row>
    <row r="515" spans="1:3" ht="12.75" customHeight="1" x14ac:dyDescent="0.2">
      <c r="A515" s="1"/>
      <c r="B515" s="1"/>
      <c r="C515" s="1"/>
    </row>
    <row r="516" spans="1:3" ht="12.75" customHeight="1" x14ac:dyDescent="0.2">
      <c r="A516" s="1"/>
      <c r="B516" s="1"/>
      <c r="C516" s="1"/>
    </row>
    <row r="517" spans="1:3" ht="12.75" customHeight="1" x14ac:dyDescent="0.2">
      <c r="A517" s="1"/>
      <c r="B517" s="1"/>
      <c r="C517" s="1"/>
    </row>
    <row r="518" spans="1:3" ht="12.75" customHeight="1" x14ac:dyDescent="0.2">
      <c r="A518" s="1"/>
      <c r="B518" s="1"/>
      <c r="C518" s="1"/>
    </row>
    <row r="519" spans="1:3" ht="12.75" customHeight="1" x14ac:dyDescent="0.2">
      <c r="A519" s="1"/>
      <c r="B519" s="1"/>
      <c r="C519" s="1"/>
    </row>
    <row r="520" spans="1:3" ht="12.75" customHeight="1" x14ac:dyDescent="0.2">
      <c r="A520" s="1"/>
      <c r="B520" s="1"/>
      <c r="C520" s="1"/>
    </row>
    <row r="521" spans="1:3" ht="12.75" customHeight="1" x14ac:dyDescent="0.2">
      <c r="A521" s="1"/>
      <c r="B521" s="1"/>
      <c r="C521" s="1"/>
    </row>
    <row r="522" spans="1:3" ht="12.75" customHeight="1" x14ac:dyDescent="0.2">
      <c r="A522" s="1"/>
      <c r="B522" s="1"/>
      <c r="C522" s="1"/>
    </row>
    <row r="523" spans="1:3" ht="12.75" customHeight="1" x14ac:dyDescent="0.2">
      <c r="A523" s="1"/>
      <c r="B523" s="1"/>
      <c r="C523" s="1"/>
    </row>
    <row r="524" spans="1:3" ht="12.75" customHeight="1" x14ac:dyDescent="0.2">
      <c r="A524" s="1"/>
      <c r="B524" s="1"/>
      <c r="C524" s="1"/>
    </row>
    <row r="525" spans="1:3" ht="12.75" customHeight="1" x14ac:dyDescent="0.2">
      <c r="A525" s="1"/>
      <c r="B525" s="1"/>
      <c r="C525" s="1"/>
    </row>
    <row r="526" spans="1:3" ht="12.75" customHeight="1" x14ac:dyDescent="0.2">
      <c r="A526" s="1"/>
      <c r="B526" s="1"/>
      <c r="C526" s="1"/>
    </row>
    <row r="527" spans="1:3" ht="12.75" customHeight="1" x14ac:dyDescent="0.2">
      <c r="A527" s="1"/>
      <c r="B527" s="1"/>
      <c r="C527" s="1"/>
    </row>
    <row r="528" spans="1:3" ht="12.75" customHeight="1" x14ac:dyDescent="0.2">
      <c r="A528" s="1"/>
      <c r="B528" s="1"/>
      <c r="C528" s="1"/>
    </row>
    <row r="529" spans="1:3" ht="12.75" customHeight="1" x14ac:dyDescent="0.2">
      <c r="A529" s="1"/>
      <c r="B529" s="1"/>
      <c r="C529" s="1"/>
    </row>
    <row r="530" spans="1:3" ht="12.75" customHeight="1" x14ac:dyDescent="0.2">
      <c r="A530" s="1"/>
      <c r="B530" s="1"/>
      <c r="C530" s="1"/>
    </row>
    <row r="531" spans="1:3" ht="12.75" customHeight="1" x14ac:dyDescent="0.2">
      <c r="A531" s="1"/>
      <c r="B531" s="1"/>
      <c r="C531" s="1"/>
    </row>
    <row r="532" spans="1:3" ht="12.75" customHeight="1" x14ac:dyDescent="0.2">
      <c r="A532" s="1"/>
      <c r="B532" s="1"/>
      <c r="C532" s="1"/>
    </row>
    <row r="533" spans="1:3" ht="12.75" customHeight="1" x14ac:dyDescent="0.2">
      <c r="A533" s="1"/>
      <c r="B533" s="1"/>
      <c r="C533" s="1"/>
    </row>
    <row r="534" spans="1:3" ht="12.75" customHeight="1" x14ac:dyDescent="0.2">
      <c r="A534" s="1"/>
      <c r="B534" s="1"/>
      <c r="C534" s="1"/>
    </row>
    <row r="535" spans="1:3" ht="12.75" customHeight="1" x14ac:dyDescent="0.2">
      <c r="A535" s="1"/>
      <c r="B535" s="1"/>
      <c r="C535" s="1"/>
    </row>
    <row r="536" spans="1:3" ht="12.75" customHeight="1" x14ac:dyDescent="0.2">
      <c r="A536" s="1"/>
      <c r="B536" s="1"/>
      <c r="C536" s="1"/>
    </row>
    <row r="537" spans="1:3" ht="12.75" customHeight="1" x14ac:dyDescent="0.2">
      <c r="A537" s="1"/>
      <c r="B537" s="1"/>
      <c r="C537" s="1"/>
    </row>
    <row r="538" spans="1:3" ht="12.75" customHeight="1" x14ac:dyDescent="0.2">
      <c r="A538" s="1"/>
      <c r="B538" s="1"/>
      <c r="C538" s="1"/>
    </row>
    <row r="539" spans="1:3" ht="12.75" customHeight="1" x14ac:dyDescent="0.2">
      <c r="A539" s="1"/>
      <c r="B539" s="1"/>
      <c r="C539" s="1"/>
    </row>
    <row r="540" spans="1:3" ht="12.75" customHeight="1" x14ac:dyDescent="0.2">
      <c r="A540" s="1"/>
      <c r="B540" s="1"/>
      <c r="C540" s="1"/>
    </row>
    <row r="541" spans="1:3" ht="12.75" customHeight="1" x14ac:dyDescent="0.2">
      <c r="A541" s="1"/>
      <c r="B541" s="1"/>
      <c r="C541" s="1"/>
    </row>
    <row r="542" spans="1:3" ht="12.75" customHeight="1" x14ac:dyDescent="0.2">
      <c r="A542" s="1"/>
      <c r="B542" s="1"/>
      <c r="C542" s="1"/>
    </row>
    <row r="543" spans="1:3" ht="12.75" customHeight="1" x14ac:dyDescent="0.2">
      <c r="A543" s="1"/>
      <c r="B543" s="1"/>
      <c r="C543" s="1"/>
    </row>
    <row r="544" spans="1:3" ht="12.75" customHeight="1" x14ac:dyDescent="0.2">
      <c r="A544" s="1"/>
      <c r="B544" s="1"/>
      <c r="C544" s="1"/>
    </row>
    <row r="545" spans="1:3" ht="12.75" customHeight="1" x14ac:dyDescent="0.2">
      <c r="A545" s="1"/>
      <c r="B545" s="1"/>
      <c r="C545" s="1"/>
    </row>
    <row r="546" spans="1:3" ht="12.75" customHeight="1" x14ac:dyDescent="0.2">
      <c r="A546" s="1"/>
      <c r="B546" s="1"/>
      <c r="C546" s="1"/>
    </row>
    <row r="547" spans="1:3" ht="12.75" customHeight="1" x14ac:dyDescent="0.2">
      <c r="A547" s="1"/>
      <c r="B547" s="1"/>
      <c r="C547" s="1"/>
    </row>
    <row r="548" spans="1:3" ht="12.75" customHeight="1" x14ac:dyDescent="0.2">
      <c r="A548" s="1"/>
      <c r="B548" s="1"/>
      <c r="C548" s="1"/>
    </row>
    <row r="549" spans="1:3" ht="12.75" customHeight="1" x14ac:dyDescent="0.2">
      <c r="A549" s="1"/>
      <c r="B549" s="1"/>
      <c r="C549" s="1"/>
    </row>
    <row r="550" spans="1:3" ht="12.75" customHeight="1" x14ac:dyDescent="0.2">
      <c r="A550" s="1"/>
      <c r="B550" s="1"/>
      <c r="C550" s="1"/>
    </row>
    <row r="551" spans="1:3" ht="12.75" customHeight="1" x14ac:dyDescent="0.2">
      <c r="A551" s="1"/>
      <c r="B551" s="1"/>
      <c r="C551" s="1"/>
    </row>
    <row r="552" spans="1:3" ht="12.75" customHeight="1" x14ac:dyDescent="0.2">
      <c r="A552" s="1"/>
      <c r="B552" s="1"/>
      <c r="C552" s="1"/>
    </row>
    <row r="553" spans="1:3" ht="12.75" customHeight="1" x14ac:dyDescent="0.2">
      <c r="A553" s="1"/>
      <c r="B553" s="1"/>
      <c r="C553" s="1"/>
    </row>
    <row r="554" spans="1:3" ht="12.75" customHeight="1" x14ac:dyDescent="0.2">
      <c r="A554" s="1"/>
      <c r="B554" s="1"/>
      <c r="C554" s="1"/>
    </row>
    <row r="555" spans="1:3" ht="12.75" customHeight="1" x14ac:dyDescent="0.2">
      <c r="A555" s="1"/>
      <c r="B555" s="1"/>
      <c r="C555" s="1"/>
    </row>
    <row r="556" spans="1:3" ht="12.75" customHeight="1" x14ac:dyDescent="0.2">
      <c r="A556" s="1"/>
      <c r="B556" s="1"/>
      <c r="C556" s="1"/>
    </row>
    <row r="557" spans="1:3" ht="12.75" customHeight="1" x14ac:dyDescent="0.2">
      <c r="A557" s="1"/>
      <c r="B557" s="1"/>
      <c r="C557" s="1"/>
    </row>
    <row r="558" spans="1:3" ht="12.75" customHeight="1" x14ac:dyDescent="0.2">
      <c r="A558" s="1"/>
      <c r="B558" s="1"/>
      <c r="C558" s="1"/>
    </row>
    <row r="559" spans="1:3" ht="12.75" customHeight="1" x14ac:dyDescent="0.2">
      <c r="A559" s="1"/>
      <c r="B559" s="1"/>
      <c r="C559" s="1"/>
    </row>
    <row r="560" spans="1:3" ht="12.75" customHeight="1" x14ac:dyDescent="0.2">
      <c r="A560" s="1"/>
      <c r="B560" s="1"/>
      <c r="C560" s="1"/>
    </row>
    <row r="561" spans="1:3" ht="12.75" customHeight="1" x14ac:dyDescent="0.2">
      <c r="A561" s="1"/>
      <c r="B561" s="1"/>
      <c r="C561" s="1"/>
    </row>
    <row r="562" spans="1:3" ht="12.75" customHeight="1" x14ac:dyDescent="0.2">
      <c r="A562" s="1"/>
      <c r="B562" s="1"/>
      <c r="C562" s="1"/>
    </row>
    <row r="563" spans="1:3" ht="12.75" customHeight="1" x14ac:dyDescent="0.2">
      <c r="A563" s="1"/>
      <c r="B563" s="1"/>
      <c r="C563" s="1"/>
    </row>
    <row r="564" spans="1:3" ht="12.75" customHeight="1" x14ac:dyDescent="0.2">
      <c r="A564" s="1"/>
      <c r="B564" s="1"/>
      <c r="C564" s="1"/>
    </row>
    <row r="565" spans="1:3" ht="12.75" customHeight="1" x14ac:dyDescent="0.2">
      <c r="A565" s="1"/>
      <c r="B565" s="1"/>
      <c r="C565" s="1"/>
    </row>
    <row r="566" spans="1:3" ht="12.75" customHeight="1" x14ac:dyDescent="0.2">
      <c r="A566" s="1"/>
      <c r="B566" s="1"/>
      <c r="C566" s="1"/>
    </row>
    <row r="567" spans="1:3" ht="12.75" customHeight="1" x14ac:dyDescent="0.2">
      <c r="A567" s="1"/>
      <c r="B567" s="1"/>
      <c r="C567" s="1"/>
    </row>
    <row r="568" spans="1:3" ht="12.75" customHeight="1" x14ac:dyDescent="0.2">
      <c r="A568" s="1"/>
      <c r="B568" s="1"/>
      <c r="C568" s="1"/>
    </row>
    <row r="569" spans="1:3" ht="12.75" customHeight="1" x14ac:dyDescent="0.2">
      <c r="A569" s="1"/>
      <c r="B569" s="1"/>
      <c r="C569" s="1"/>
    </row>
    <row r="570" spans="1:3" ht="12.75" customHeight="1" x14ac:dyDescent="0.2">
      <c r="A570" s="1"/>
      <c r="B570" s="1"/>
      <c r="C570" s="1"/>
    </row>
    <row r="571" spans="1:3" ht="12.75" customHeight="1" x14ac:dyDescent="0.2">
      <c r="A571" s="1"/>
      <c r="B571" s="1"/>
      <c r="C571" s="1"/>
    </row>
    <row r="572" spans="1:3" ht="12.75" customHeight="1" x14ac:dyDescent="0.2">
      <c r="A572" s="1"/>
      <c r="B572" s="1"/>
      <c r="C572" s="1"/>
    </row>
    <row r="573" spans="1:3" ht="12.75" customHeight="1" x14ac:dyDescent="0.2">
      <c r="A573" s="1"/>
      <c r="B573" s="1"/>
      <c r="C573" s="1"/>
    </row>
    <row r="574" spans="1:3" ht="12.75" customHeight="1" x14ac:dyDescent="0.2">
      <c r="A574" s="1"/>
      <c r="B574" s="1"/>
      <c r="C574" s="1"/>
    </row>
    <row r="575" spans="1:3" ht="12.75" customHeight="1" x14ac:dyDescent="0.2">
      <c r="A575" s="1"/>
      <c r="B575" s="1"/>
      <c r="C575" s="1"/>
    </row>
    <row r="576" spans="1:3" ht="12.75" customHeight="1" x14ac:dyDescent="0.2">
      <c r="A576" s="1"/>
      <c r="B576" s="1"/>
      <c r="C576" s="1"/>
    </row>
    <row r="577" spans="1:3" ht="12.75" customHeight="1" x14ac:dyDescent="0.2">
      <c r="A577" s="1"/>
      <c r="B577" s="1"/>
      <c r="C577" s="1"/>
    </row>
    <row r="578" spans="1:3" ht="12.75" customHeight="1" x14ac:dyDescent="0.2">
      <c r="A578" s="1"/>
      <c r="B578" s="1"/>
      <c r="C578" s="1"/>
    </row>
    <row r="579" spans="1:3" ht="12.75" customHeight="1" x14ac:dyDescent="0.2">
      <c r="A579" s="1"/>
      <c r="B579" s="1"/>
      <c r="C579" s="1"/>
    </row>
    <row r="580" spans="1:3" ht="12.75" customHeight="1" x14ac:dyDescent="0.2">
      <c r="A580" s="1"/>
      <c r="B580" s="1"/>
      <c r="C580" s="1"/>
    </row>
    <row r="581" spans="1:3" ht="12.75" customHeight="1" x14ac:dyDescent="0.2">
      <c r="A581" s="1"/>
      <c r="B581" s="1"/>
      <c r="C581" s="1"/>
    </row>
    <row r="582" spans="1:3" ht="12.75" customHeight="1" x14ac:dyDescent="0.2">
      <c r="A582" s="1"/>
      <c r="B582" s="1"/>
      <c r="C582" s="1"/>
    </row>
    <row r="583" spans="1:3" ht="12.75" customHeight="1" x14ac:dyDescent="0.2">
      <c r="A583" s="1"/>
      <c r="B583" s="1"/>
      <c r="C583" s="1"/>
    </row>
    <row r="584" spans="1:3" ht="12.75" customHeight="1" x14ac:dyDescent="0.2">
      <c r="A584" s="1"/>
      <c r="B584" s="1"/>
      <c r="C584" s="1"/>
    </row>
    <row r="585" spans="1:3" ht="12.75" customHeight="1" x14ac:dyDescent="0.2">
      <c r="A585" s="1"/>
      <c r="B585" s="1"/>
      <c r="C585" s="1"/>
    </row>
    <row r="586" spans="1:3" ht="12.75" customHeight="1" x14ac:dyDescent="0.2">
      <c r="A586" s="1"/>
      <c r="B586" s="1"/>
      <c r="C586" s="1"/>
    </row>
    <row r="587" spans="1:3" ht="12.75" customHeight="1" x14ac:dyDescent="0.2">
      <c r="A587" s="1"/>
      <c r="B587" s="1"/>
      <c r="C587" s="1"/>
    </row>
    <row r="588" spans="1:3" ht="12.75" customHeight="1" x14ac:dyDescent="0.2">
      <c r="A588" s="1"/>
      <c r="B588" s="1"/>
      <c r="C588" s="1"/>
    </row>
    <row r="589" spans="1:3" ht="12.75" customHeight="1" x14ac:dyDescent="0.2">
      <c r="A589" s="1"/>
      <c r="B589" s="1"/>
      <c r="C589" s="1"/>
    </row>
    <row r="590" spans="1:3" ht="12.75" customHeight="1" x14ac:dyDescent="0.2">
      <c r="A590" s="1"/>
      <c r="B590" s="1"/>
      <c r="C590" s="1"/>
    </row>
    <row r="591" spans="1:3" ht="12.75" customHeight="1" x14ac:dyDescent="0.2">
      <c r="A591" s="1"/>
      <c r="B591" s="1"/>
      <c r="C591" s="1"/>
    </row>
    <row r="592" spans="1:3" ht="12.75" customHeight="1" x14ac:dyDescent="0.2">
      <c r="A592" s="1"/>
      <c r="B592" s="1"/>
      <c r="C592" s="1"/>
    </row>
    <row r="593" spans="1:3" ht="12.75" customHeight="1" x14ac:dyDescent="0.2">
      <c r="A593" s="1"/>
      <c r="B593" s="1"/>
      <c r="C593" s="1"/>
    </row>
    <row r="594" spans="1:3" ht="12.75" customHeight="1" x14ac:dyDescent="0.2">
      <c r="A594" s="1"/>
      <c r="B594" s="1"/>
      <c r="C594" s="1"/>
    </row>
    <row r="595" spans="1:3" ht="12.75" customHeight="1" x14ac:dyDescent="0.2">
      <c r="A595" s="1"/>
      <c r="B595" s="1"/>
      <c r="C595" s="1"/>
    </row>
    <row r="596" spans="1:3" ht="12.75" customHeight="1" x14ac:dyDescent="0.2">
      <c r="A596" s="1"/>
      <c r="B596" s="1"/>
      <c r="C596" s="1"/>
    </row>
    <row r="597" spans="1:3" ht="12.75" customHeight="1" x14ac:dyDescent="0.2">
      <c r="A597" s="1"/>
      <c r="B597" s="1"/>
      <c r="C597" s="1"/>
    </row>
    <row r="598" spans="1:3" ht="12.75" customHeight="1" x14ac:dyDescent="0.2">
      <c r="A598" s="1"/>
      <c r="B598" s="1"/>
      <c r="C598" s="1"/>
    </row>
    <row r="599" spans="1:3" ht="12.75" customHeight="1" x14ac:dyDescent="0.2">
      <c r="A599" s="1"/>
      <c r="B599" s="1"/>
      <c r="C599" s="1"/>
    </row>
    <row r="600" spans="1:3" ht="12.75" customHeight="1" x14ac:dyDescent="0.2">
      <c r="A600" s="1"/>
      <c r="B600" s="1"/>
      <c r="C600" s="1"/>
    </row>
    <row r="601" spans="1:3" ht="12.75" customHeight="1" x14ac:dyDescent="0.2">
      <c r="A601" s="1"/>
      <c r="B601" s="1"/>
      <c r="C601" s="1"/>
    </row>
    <row r="602" spans="1:3" ht="12.75" customHeight="1" x14ac:dyDescent="0.2">
      <c r="A602" s="1"/>
      <c r="B602" s="1"/>
      <c r="C602" s="1"/>
    </row>
    <row r="603" spans="1:3" ht="12.75" customHeight="1" x14ac:dyDescent="0.2">
      <c r="A603" s="1"/>
      <c r="B603" s="1"/>
      <c r="C603" s="1"/>
    </row>
    <row r="604" spans="1:3" ht="12.75" customHeight="1" x14ac:dyDescent="0.2">
      <c r="A604" s="1"/>
      <c r="B604" s="1"/>
      <c r="C604" s="1"/>
    </row>
    <row r="605" spans="1:3" ht="12.75" customHeight="1" x14ac:dyDescent="0.2">
      <c r="A605" s="1"/>
      <c r="B605" s="1"/>
      <c r="C605" s="1"/>
    </row>
    <row r="606" spans="1:3" ht="12.75" customHeight="1" x14ac:dyDescent="0.2">
      <c r="A606" s="1"/>
      <c r="B606" s="1"/>
      <c r="C606" s="1"/>
    </row>
    <row r="607" spans="1:3" ht="12.75" customHeight="1" x14ac:dyDescent="0.2">
      <c r="A607" s="1"/>
      <c r="B607" s="1"/>
      <c r="C607" s="1"/>
    </row>
    <row r="608" spans="1:3" ht="12.75" customHeight="1" x14ac:dyDescent="0.2">
      <c r="A608" s="1"/>
      <c r="B608" s="1"/>
      <c r="C608" s="1"/>
    </row>
    <row r="609" spans="1:3" ht="12.75" customHeight="1" x14ac:dyDescent="0.2">
      <c r="A609" s="1"/>
      <c r="B609" s="1"/>
      <c r="C609" s="1"/>
    </row>
    <row r="610" spans="1:3" ht="12.75" customHeight="1" x14ac:dyDescent="0.2">
      <c r="A610" s="1"/>
      <c r="B610" s="1"/>
      <c r="C610" s="1"/>
    </row>
    <row r="611" spans="1:3" ht="12.75" customHeight="1" x14ac:dyDescent="0.2">
      <c r="A611" s="1"/>
      <c r="B611" s="1"/>
      <c r="C611" s="1"/>
    </row>
    <row r="612" spans="1:3" ht="12.75" customHeight="1" x14ac:dyDescent="0.2">
      <c r="A612" s="1"/>
      <c r="B612" s="1"/>
      <c r="C612" s="1"/>
    </row>
    <row r="613" spans="1:3" ht="12.75" customHeight="1" x14ac:dyDescent="0.2">
      <c r="A613" s="1"/>
      <c r="B613" s="1"/>
      <c r="C613" s="1"/>
    </row>
    <row r="614" spans="1:3" ht="12.75" customHeight="1" x14ac:dyDescent="0.2">
      <c r="A614" s="1"/>
      <c r="B614" s="1"/>
      <c r="C614" s="1"/>
    </row>
    <row r="615" spans="1:3" ht="12.75" customHeight="1" x14ac:dyDescent="0.2">
      <c r="A615" s="1"/>
      <c r="B615" s="1"/>
      <c r="C615" s="1"/>
    </row>
    <row r="616" spans="1:3" ht="12.75" customHeight="1" x14ac:dyDescent="0.2">
      <c r="A616" s="1"/>
      <c r="B616" s="1"/>
      <c r="C616" s="1"/>
    </row>
    <row r="617" spans="1:3" ht="12.75" customHeight="1" x14ac:dyDescent="0.2">
      <c r="A617" s="1"/>
      <c r="B617" s="1"/>
      <c r="C617" s="1"/>
    </row>
    <row r="618" spans="1:3" ht="12.75" customHeight="1" x14ac:dyDescent="0.2">
      <c r="A618" s="1"/>
      <c r="B618" s="1"/>
      <c r="C618" s="1"/>
    </row>
    <row r="619" spans="1:3" ht="12.75" customHeight="1" x14ac:dyDescent="0.2">
      <c r="A619" s="1"/>
      <c r="B619" s="1"/>
      <c r="C619" s="1"/>
    </row>
    <row r="620" spans="1:3" ht="12.75" customHeight="1" x14ac:dyDescent="0.2">
      <c r="A620" s="1"/>
      <c r="B620" s="1"/>
      <c r="C620" s="1"/>
    </row>
    <row r="621" spans="1:3" ht="12.75" customHeight="1" x14ac:dyDescent="0.2">
      <c r="A621" s="1"/>
      <c r="B621" s="1"/>
      <c r="C621" s="1"/>
    </row>
    <row r="622" spans="1:3" ht="12.75" customHeight="1" x14ac:dyDescent="0.2">
      <c r="A622" s="1"/>
      <c r="B622" s="1"/>
      <c r="C622" s="1"/>
    </row>
    <row r="623" spans="1:3" ht="12.75" customHeight="1" x14ac:dyDescent="0.2">
      <c r="A623" s="1"/>
      <c r="B623" s="1"/>
      <c r="C623" s="1"/>
    </row>
    <row r="624" spans="1:3" ht="12.75" customHeight="1" x14ac:dyDescent="0.2">
      <c r="A624" s="1"/>
      <c r="B624" s="1"/>
      <c r="C624" s="1"/>
    </row>
    <row r="625" spans="1:3" ht="12.75" customHeight="1" x14ac:dyDescent="0.2">
      <c r="A625" s="1"/>
      <c r="B625" s="1"/>
      <c r="C625" s="1"/>
    </row>
    <row r="626" spans="1:3" ht="12.75" customHeight="1" x14ac:dyDescent="0.2">
      <c r="A626" s="1"/>
      <c r="B626" s="1"/>
      <c r="C626" s="1"/>
    </row>
    <row r="627" spans="1:3" ht="12.75" customHeight="1" x14ac:dyDescent="0.2">
      <c r="A627" s="1"/>
      <c r="B627" s="1"/>
      <c r="C627" s="1"/>
    </row>
    <row r="628" spans="1:3" ht="12.75" customHeight="1" x14ac:dyDescent="0.2">
      <c r="A628" s="1"/>
      <c r="B628" s="1"/>
      <c r="C628" s="1"/>
    </row>
    <row r="629" spans="1:3" ht="12.75" customHeight="1" x14ac:dyDescent="0.2">
      <c r="A629" s="1"/>
      <c r="B629" s="1"/>
      <c r="C629" s="1"/>
    </row>
    <row r="630" spans="1:3" ht="12.75" customHeight="1" x14ac:dyDescent="0.2">
      <c r="A630" s="1"/>
      <c r="B630" s="1"/>
      <c r="C630" s="1"/>
    </row>
    <row r="631" spans="1:3" ht="12.75" customHeight="1" x14ac:dyDescent="0.2">
      <c r="A631" s="1"/>
      <c r="B631" s="1"/>
      <c r="C631" s="1"/>
    </row>
    <row r="632" spans="1:3" ht="12.75" customHeight="1" x14ac:dyDescent="0.2">
      <c r="A632" s="1"/>
      <c r="B632" s="1"/>
      <c r="C632" s="1"/>
    </row>
    <row r="633" spans="1:3" ht="12.75" customHeight="1" x14ac:dyDescent="0.2">
      <c r="A633" s="1"/>
      <c r="B633" s="1"/>
      <c r="C633" s="1"/>
    </row>
    <row r="634" spans="1:3" ht="12.75" customHeight="1" x14ac:dyDescent="0.2">
      <c r="A634" s="1"/>
      <c r="B634" s="1"/>
      <c r="C634" s="1"/>
    </row>
    <row r="635" spans="1:3" ht="12.75" customHeight="1" x14ac:dyDescent="0.2">
      <c r="A635" s="1"/>
      <c r="B635" s="1"/>
      <c r="C635" s="1"/>
    </row>
    <row r="636" spans="1:3" ht="12.75" customHeight="1" x14ac:dyDescent="0.2">
      <c r="A636" s="1"/>
      <c r="B636" s="1"/>
      <c r="C636" s="1"/>
    </row>
    <row r="637" spans="1:3" ht="12.75" customHeight="1" x14ac:dyDescent="0.2">
      <c r="A637" s="1"/>
      <c r="B637" s="1"/>
      <c r="C637" s="1"/>
    </row>
    <row r="638" spans="1:3" ht="12.75" customHeight="1" x14ac:dyDescent="0.2">
      <c r="A638" s="1"/>
      <c r="B638" s="1"/>
      <c r="C638" s="1"/>
    </row>
    <row r="639" spans="1:3" ht="12.75" customHeight="1" x14ac:dyDescent="0.2">
      <c r="A639" s="1"/>
      <c r="B639" s="1"/>
      <c r="C639" s="1"/>
    </row>
    <row r="640" spans="1:3" ht="12.75" customHeight="1" x14ac:dyDescent="0.2">
      <c r="A640" s="1"/>
      <c r="B640" s="1"/>
      <c r="C640" s="1"/>
    </row>
    <row r="641" spans="1:3" ht="12.75" customHeight="1" x14ac:dyDescent="0.2">
      <c r="A641" s="1"/>
      <c r="B641" s="1"/>
      <c r="C641" s="1"/>
    </row>
    <row r="642" spans="1:3" ht="12.75" customHeight="1" x14ac:dyDescent="0.2">
      <c r="A642" s="1"/>
      <c r="B642" s="1"/>
      <c r="C642" s="1"/>
    </row>
    <row r="643" spans="1:3" ht="12.75" customHeight="1" x14ac:dyDescent="0.2">
      <c r="A643" s="1"/>
      <c r="B643" s="1"/>
      <c r="C643" s="1"/>
    </row>
    <row r="644" spans="1:3" ht="12.75" customHeight="1" x14ac:dyDescent="0.2">
      <c r="A644" s="1"/>
      <c r="B644" s="1"/>
      <c r="C644" s="1"/>
    </row>
    <row r="645" spans="1:3" ht="12.75" customHeight="1" x14ac:dyDescent="0.2">
      <c r="A645" s="1"/>
      <c r="B645" s="1"/>
      <c r="C645" s="1"/>
    </row>
    <row r="646" spans="1:3" ht="12.75" customHeight="1" x14ac:dyDescent="0.2">
      <c r="A646" s="1"/>
      <c r="B646" s="1"/>
      <c r="C646" s="1"/>
    </row>
    <row r="647" spans="1:3" ht="12.75" customHeight="1" x14ac:dyDescent="0.2">
      <c r="A647" s="1"/>
      <c r="B647" s="1"/>
      <c r="C647" s="1"/>
    </row>
    <row r="648" spans="1:3" ht="12.75" customHeight="1" x14ac:dyDescent="0.2">
      <c r="A648" s="1"/>
      <c r="B648" s="1"/>
      <c r="C648" s="1"/>
    </row>
    <row r="649" spans="1:3" ht="12.75" customHeight="1" x14ac:dyDescent="0.2">
      <c r="A649" s="1"/>
      <c r="B649" s="1"/>
      <c r="C649" s="1"/>
    </row>
    <row r="650" spans="1:3" ht="12.75" customHeight="1" x14ac:dyDescent="0.2">
      <c r="A650" s="1"/>
      <c r="B650" s="1"/>
      <c r="C650" s="1"/>
    </row>
    <row r="651" spans="1:3" ht="12.75" customHeight="1" x14ac:dyDescent="0.2">
      <c r="A651" s="1"/>
      <c r="B651" s="1"/>
      <c r="C651" s="1"/>
    </row>
    <row r="652" spans="1:3" ht="12.75" customHeight="1" x14ac:dyDescent="0.2">
      <c r="A652" s="1"/>
      <c r="B652" s="1"/>
      <c r="C652" s="1"/>
    </row>
    <row r="653" spans="1:3" ht="12.75" customHeight="1" x14ac:dyDescent="0.2">
      <c r="A653" s="1"/>
      <c r="B653" s="1"/>
      <c r="C653" s="1"/>
    </row>
    <row r="654" spans="1:3" ht="12.75" customHeight="1" x14ac:dyDescent="0.2">
      <c r="A654" s="1"/>
      <c r="B654" s="1"/>
      <c r="C654" s="1"/>
    </row>
    <row r="655" spans="1:3" ht="12.75" customHeight="1" x14ac:dyDescent="0.2">
      <c r="A655" s="1"/>
      <c r="B655" s="1"/>
      <c r="C655" s="1"/>
    </row>
    <row r="656" spans="1:3" ht="12.75" customHeight="1" x14ac:dyDescent="0.2">
      <c r="A656" s="1"/>
      <c r="B656" s="1"/>
      <c r="C656" s="1"/>
    </row>
    <row r="657" spans="1:3" ht="12.75" customHeight="1" x14ac:dyDescent="0.2">
      <c r="A657" s="1"/>
      <c r="B657" s="1"/>
      <c r="C657" s="1"/>
    </row>
    <row r="658" spans="1:3" ht="12.75" customHeight="1" x14ac:dyDescent="0.2">
      <c r="A658" s="1"/>
      <c r="B658" s="1"/>
      <c r="C658" s="1"/>
    </row>
    <row r="659" spans="1:3" ht="12.75" customHeight="1" x14ac:dyDescent="0.2">
      <c r="A659" s="1"/>
      <c r="B659" s="1"/>
      <c r="C659" s="1"/>
    </row>
    <row r="660" spans="1:3" ht="12.75" customHeight="1" x14ac:dyDescent="0.2">
      <c r="A660" s="1"/>
      <c r="B660" s="1"/>
      <c r="C660" s="1"/>
    </row>
    <row r="661" spans="1:3" ht="12.75" customHeight="1" x14ac:dyDescent="0.2">
      <c r="A661" s="1"/>
      <c r="B661" s="1"/>
      <c r="C661" s="1"/>
    </row>
    <row r="662" spans="1:3" ht="12.75" customHeight="1" x14ac:dyDescent="0.2">
      <c r="A662" s="1"/>
      <c r="B662" s="1"/>
      <c r="C662" s="1"/>
    </row>
    <row r="663" spans="1:3" ht="12.75" customHeight="1" x14ac:dyDescent="0.2">
      <c r="A663" s="1"/>
      <c r="B663" s="1"/>
      <c r="C663" s="1"/>
    </row>
    <row r="664" spans="1:3" ht="12.75" customHeight="1" x14ac:dyDescent="0.2">
      <c r="A664" s="1"/>
      <c r="B664" s="1"/>
      <c r="C664" s="1"/>
    </row>
    <row r="665" spans="1:3" ht="12.75" customHeight="1" x14ac:dyDescent="0.2">
      <c r="A665" s="1"/>
      <c r="B665" s="1"/>
      <c r="C665" s="1"/>
    </row>
    <row r="666" spans="1:3" ht="12.75" customHeight="1" x14ac:dyDescent="0.2">
      <c r="A666" s="1"/>
      <c r="B666" s="1"/>
      <c r="C666" s="1"/>
    </row>
    <row r="667" spans="1:3" ht="12.75" customHeight="1" x14ac:dyDescent="0.2">
      <c r="A667" s="1"/>
      <c r="B667" s="1"/>
      <c r="C667" s="1"/>
    </row>
    <row r="668" spans="1:3" ht="12.75" customHeight="1" x14ac:dyDescent="0.2">
      <c r="A668" s="1"/>
      <c r="B668" s="1"/>
      <c r="C668" s="1"/>
    </row>
    <row r="669" spans="1:3" ht="12.75" customHeight="1" x14ac:dyDescent="0.2">
      <c r="A669" s="1"/>
      <c r="B669" s="1"/>
      <c r="C669" s="1"/>
    </row>
    <row r="670" spans="1:3" ht="12.75" customHeight="1" x14ac:dyDescent="0.2">
      <c r="A670" s="1"/>
      <c r="B670" s="1"/>
      <c r="C670" s="1"/>
    </row>
    <row r="671" spans="1:3" ht="12.75" customHeight="1" x14ac:dyDescent="0.2">
      <c r="A671" s="1"/>
      <c r="B671" s="1"/>
      <c r="C671" s="1"/>
    </row>
    <row r="672" spans="1:3" ht="12.75" customHeight="1" x14ac:dyDescent="0.2">
      <c r="A672" s="1"/>
      <c r="B672" s="1"/>
      <c r="C672" s="1"/>
    </row>
    <row r="673" spans="1:3" ht="12.75" customHeight="1" x14ac:dyDescent="0.2">
      <c r="A673" s="1"/>
      <c r="B673" s="1"/>
      <c r="C673" s="1"/>
    </row>
    <row r="674" spans="1:3" ht="12.75" customHeight="1" x14ac:dyDescent="0.2">
      <c r="A674" s="1"/>
      <c r="B674" s="1"/>
      <c r="C674" s="1"/>
    </row>
    <row r="675" spans="1:3" ht="12.75" customHeight="1" x14ac:dyDescent="0.2">
      <c r="A675" s="1"/>
      <c r="B675" s="1"/>
      <c r="C675" s="1"/>
    </row>
    <row r="676" spans="1:3" ht="12.75" customHeight="1" x14ac:dyDescent="0.2">
      <c r="A676" s="1"/>
      <c r="B676" s="1"/>
      <c r="C676" s="1"/>
    </row>
    <row r="677" spans="1:3" ht="12.75" customHeight="1" x14ac:dyDescent="0.2">
      <c r="A677" s="1"/>
      <c r="B677" s="1"/>
      <c r="C677" s="1"/>
    </row>
    <row r="678" spans="1:3" ht="12.75" customHeight="1" x14ac:dyDescent="0.2">
      <c r="A678" s="1"/>
      <c r="B678" s="1"/>
      <c r="C678" s="1"/>
    </row>
    <row r="679" spans="1:3" ht="12.75" customHeight="1" x14ac:dyDescent="0.2">
      <c r="A679" s="1"/>
      <c r="B679" s="1"/>
      <c r="C679" s="1"/>
    </row>
    <row r="680" spans="1:3" ht="12.75" customHeight="1" x14ac:dyDescent="0.2">
      <c r="A680" s="1"/>
      <c r="B680" s="1"/>
      <c r="C680" s="1"/>
    </row>
    <row r="681" spans="1:3" ht="12.75" customHeight="1" x14ac:dyDescent="0.2">
      <c r="A681" s="1"/>
      <c r="B681" s="1"/>
      <c r="C681" s="1"/>
    </row>
    <row r="682" spans="1:3" ht="12.75" customHeight="1" x14ac:dyDescent="0.2">
      <c r="A682" s="1"/>
      <c r="B682" s="1"/>
      <c r="C682" s="1"/>
    </row>
    <row r="683" spans="1:3" ht="12.75" customHeight="1" x14ac:dyDescent="0.2">
      <c r="A683" s="1"/>
      <c r="B683" s="1"/>
      <c r="C683" s="1"/>
    </row>
    <row r="684" spans="1:3" ht="12.75" customHeight="1" x14ac:dyDescent="0.2">
      <c r="A684" s="1"/>
      <c r="B684" s="1"/>
      <c r="C684" s="1"/>
    </row>
    <row r="685" spans="1:3" ht="12.75" customHeight="1" x14ac:dyDescent="0.2">
      <c r="A685" s="1"/>
      <c r="B685" s="1"/>
      <c r="C685" s="1"/>
    </row>
    <row r="686" spans="1:3" ht="12.75" customHeight="1" x14ac:dyDescent="0.2">
      <c r="A686" s="1"/>
      <c r="B686" s="1"/>
      <c r="C686" s="1"/>
    </row>
    <row r="687" spans="1:3" ht="12.75" customHeight="1" x14ac:dyDescent="0.2">
      <c r="A687" s="1"/>
      <c r="B687" s="1"/>
      <c r="C687" s="1"/>
    </row>
    <row r="688" spans="1:3" ht="12.75" customHeight="1" x14ac:dyDescent="0.2">
      <c r="A688" s="1"/>
      <c r="B688" s="1"/>
      <c r="C688" s="1"/>
    </row>
    <row r="689" spans="1:3" ht="12.75" customHeight="1" x14ac:dyDescent="0.2">
      <c r="A689" s="1"/>
      <c r="B689" s="1"/>
      <c r="C689" s="1"/>
    </row>
    <row r="690" spans="1:3" ht="12.75" customHeight="1" x14ac:dyDescent="0.2">
      <c r="A690" s="1"/>
      <c r="B690" s="1"/>
      <c r="C690" s="1"/>
    </row>
    <row r="691" spans="1:3" ht="12.75" customHeight="1" x14ac:dyDescent="0.2">
      <c r="A691" s="1"/>
      <c r="B691" s="1"/>
      <c r="C691" s="1"/>
    </row>
    <row r="692" spans="1:3" ht="12.75" customHeight="1" x14ac:dyDescent="0.2">
      <c r="A692" s="1"/>
      <c r="B692" s="1"/>
      <c r="C692" s="1"/>
    </row>
    <row r="693" spans="1:3" ht="12.75" customHeight="1" x14ac:dyDescent="0.2">
      <c r="A693" s="1"/>
      <c r="B693" s="1"/>
      <c r="C693" s="1"/>
    </row>
    <row r="694" spans="1:3" ht="12.75" customHeight="1" x14ac:dyDescent="0.2">
      <c r="A694" s="1"/>
      <c r="B694" s="1"/>
      <c r="C694" s="1"/>
    </row>
    <row r="695" spans="1:3" ht="12.75" customHeight="1" x14ac:dyDescent="0.2">
      <c r="A695" s="1"/>
      <c r="B695" s="1"/>
      <c r="C695" s="1"/>
    </row>
    <row r="696" spans="1:3" ht="12.75" customHeight="1" x14ac:dyDescent="0.2">
      <c r="A696" s="1"/>
      <c r="B696" s="1"/>
      <c r="C696" s="1"/>
    </row>
    <row r="697" spans="1:3" ht="12.75" customHeight="1" x14ac:dyDescent="0.2">
      <c r="A697" s="1"/>
      <c r="B697" s="1"/>
      <c r="C697" s="1"/>
    </row>
    <row r="698" spans="1:3" ht="12.75" customHeight="1" x14ac:dyDescent="0.2">
      <c r="A698" s="1"/>
      <c r="B698" s="1"/>
      <c r="C698" s="1"/>
    </row>
    <row r="699" spans="1:3" ht="12.75" customHeight="1" x14ac:dyDescent="0.2">
      <c r="A699" s="1"/>
      <c r="B699" s="1"/>
      <c r="C699" s="1"/>
    </row>
    <row r="700" spans="1:3" ht="12.75" customHeight="1" x14ac:dyDescent="0.2">
      <c r="A700" s="1"/>
      <c r="B700" s="1"/>
      <c r="C700" s="1"/>
    </row>
    <row r="701" spans="1:3" ht="12.75" customHeight="1" x14ac:dyDescent="0.2">
      <c r="A701" s="1"/>
      <c r="B701" s="1"/>
      <c r="C701" s="1"/>
    </row>
    <row r="702" spans="1:3" ht="12.75" customHeight="1" x14ac:dyDescent="0.2">
      <c r="A702" s="1"/>
      <c r="B702" s="1"/>
      <c r="C702" s="1"/>
    </row>
    <row r="703" spans="1:3" ht="12.75" customHeight="1" x14ac:dyDescent="0.2">
      <c r="A703" s="1"/>
      <c r="B703" s="1"/>
      <c r="C703" s="1"/>
    </row>
    <row r="704" spans="1:3" ht="12.75" customHeight="1" x14ac:dyDescent="0.2">
      <c r="A704" s="1"/>
      <c r="B704" s="1"/>
      <c r="C704" s="1"/>
    </row>
    <row r="705" spans="1:3" ht="12.75" customHeight="1" x14ac:dyDescent="0.2">
      <c r="A705" s="1"/>
      <c r="B705" s="1"/>
      <c r="C705" s="1"/>
    </row>
    <row r="706" spans="1:3" ht="12.75" customHeight="1" x14ac:dyDescent="0.2">
      <c r="A706" s="1"/>
      <c r="B706" s="1"/>
      <c r="C706" s="1"/>
    </row>
    <row r="707" spans="1:3" ht="12.75" customHeight="1" x14ac:dyDescent="0.2">
      <c r="A707" s="1"/>
      <c r="B707" s="1"/>
      <c r="C707" s="1"/>
    </row>
    <row r="708" spans="1:3" ht="12.75" customHeight="1" x14ac:dyDescent="0.2">
      <c r="A708" s="1"/>
      <c r="B708" s="1"/>
      <c r="C708" s="1"/>
    </row>
    <row r="709" spans="1:3" ht="12.75" customHeight="1" x14ac:dyDescent="0.2">
      <c r="A709" s="1"/>
      <c r="B709" s="1"/>
      <c r="C709" s="1"/>
    </row>
    <row r="710" spans="1:3" ht="12.75" customHeight="1" x14ac:dyDescent="0.2">
      <c r="A710" s="1"/>
      <c r="B710" s="1"/>
      <c r="C710" s="1"/>
    </row>
    <row r="711" spans="1:3" ht="12.75" customHeight="1" x14ac:dyDescent="0.2">
      <c r="A711" s="1"/>
      <c r="B711" s="1"/>
      <c r="C711" s="1"/>
    </row>
    <row r="712" spans="1:3" ht="12.75" customHeight="1" x14ac:dyDescent="0.2">
      <c r="A712" s="1"/>
      <c r="B712" s="1"/>
      <c r="C712" s="1"/>
    </row>
    <row r="713" spans="1:3" ht="12.75" customHeight="1" x14ac:dyDescent="0.2">
      <c r="A713" s="1"/>
      <c r="B713" s="1"/>
      <c r="C713" s="1"/>
    </row>
    <row r="714" spans="1:3" ht="12.75" customHeight="1" x14ac:dyDescent="0.2">
      <c r="A714" s="1"/>
      <c r="B714" s="1"/>
      <c r="C714" s="1"/>
    </row>
    <row r="715" spans="1:3" ht="12.75" customHeight="1" x14ac:dyDescent="0.2">
      <c r="A715" s="1"/>
      <c r="B715" s="1"/>
      <c r="C715" s="1"/>
    </row>
    <row r="716" spans="1:3" ht="12.75" customHeight="1" x14ac:dyDescent="0.2">
      <c r="A716" s="1"/>
      <c r="B716" s="1"/>
      <c r="C716" s="1"/>
    </row>
    <row r="717" spans="1:3" ht="12.75" customHeight="1" x14ac:dyDescent="0.2">
      <c r="A717" s="1"/>
      <c r="B717" s="1"/>
      <c r="C717" s="1"/>
    </row>
    <row r="718" spans="1:3" ht="12.75" customHeight="1" x14ac:dyDescent="0.2">
      <c r="A718" s="1"/>
      <c r="B718" s="1"/>
      <c r="C718" s="1"/>
    </row>
    <row r="719" spans="1:3" ht="12.75" customHeight="1" x14ac:dyDescent="0.2">
      <c r="A719" s="1"/>
      <c r="B719" s="1"/>
      <c r="C719" s="1"/>
    </row>
    <row r="720" spans="1:3" ht="12.75" customHeight="1" x14ac:dyDescent="0.2">
      <c r="A720" s="1"/>
      <c r="B720" s="1"/>
      <c r="C720" s="1"/>
    </row>
    <row r="721" spans="1:3" ht="12.75" customHeight="1" x14ac:dyDescent="0.2">
      <c r="A721" s="1"/>
      <c r="B721" s="1"/>
      <c r="C721" s="1"/>
    </row>
    <row r="722" spans="1:3" ht="12.75" customHeight="1" x14ac:dyDescent="0.2">
      <c r="A722" s="1"/>
      <c r="B722" s="1"/>
      <c r="C722" s="1"/>
    </row>
    <row r="723" spans="1:3" ht="12.75" customHeight="1" x14ac:dyDescent="0.2">
      <c r="A723" s="1"/>
      <c r="B723" s="1"/>
      <c r="C723" s="1"/>
    </row>
    <row r="724" spans="1:3" ht="12.75" customHeight="1" x14ac:dyDescent="0.2">
      <c r="A724" s="1"/>
      <c r="B724" s="1"/>
      <c r="C724" s="1"/>
    </row>
    <row r="725" spans="1:3" ht="12.75" customHeight="1" x14ac:dyDescent="0.2">
      <c r="A725" s="1"/>
      <c r="B725" s="1"/>
      <c r="C725" s="1"/>
    </row>
    <row r="726" spans="1:3" ht="12.75" customHeight="1" x14ac:dyDescent="0.2">
      <c r="A726" s="1"/>
      <c r="B726" s="1"/>
      <c r="C726" s="1"/>
    </row>
    <row r="727" spans="1:3" ht="12.75" customHeight="1" x14ac:dyDescent="0.2">
      <c r="A727" s="1"/>
      <c r="B727" s="1"/>
      <c r="C727" s="1"/>
    </row>
    <row r="728" spans="1:3" ht="12.75" customHeight="1" x14ac:dyDescent="0.2">
      <c r="A728" s="1"/>
      <c r="B728" s="1"/>
      <c r="C728" s="1"/>
    </row>
    <row r="729" spans="1:3" ht="12.75" customHeight="1" x14ac:dyDescent="0.2">
      <c r="A729" s="1"/>
      <c r="B729" s="1"/>
      <c r="C729" s="1"/>
    </row>
    <row r="730" spans="1:3" ht="12.75" customHeight="1" x14ac:dyDescent="0.2">
      <c r="A730" s="1"/>
      <c r="B730" s="1"/>
      <c r="C730" s="1"/>
    </row>
    <row r="731" spans="1:3" ht="12.75" customHeight="1" x14ac:dyDescent="0.2">
      <c r="A731" s="1"/>
      <c r="B731" s="1"/>
      <c r="C731" s="1"/>
    </row>
    <row r="732" spans="1:3" ht="12.75" customHeight="1" x14ac:dyDescent="0.2">
      <c r="A732" s="1"/>
      <c r="B732" s="1"/>
      <c r="C732" s="1"/>
    </row>
    <row r="733" spans="1:3" ht="12.75" customHeight="1" x14ac:dyDescent="0.2">
      <c r="A733" s="1"/>
      <c r="B733" s="1"/>
      <c r="C733" s="1"/>
    </row>
    <row r="734" spans="1:3" ht="12.75" customHeight="1" x14ac:dyDescent="0.2">
      <c r="A734" s="1"/>
      <c r="B734" s="1"/>
      <c r="C734" s="1"/>
    </row>
    <row r="735" spans="1:3" ht="12.75" customHeight="1" x14ac:dyDescent="0.2">
      <c r="A735" s="1"/>
      <c r="B735" s="1"/>
      <c r="C735" s="1"/>
    </row>
    <row r="736" spans="1:3" ht="12.75" customHeight="1" x14ac:dyDescent="0.2">
      <c r="A736" s="1"/>
      <c r="B736" s="1"/>
      <c r="C736" s="1"/>
    </row>
    <row r="737" spans="1:3" ht="12.75" customHeight="1" x14ac:dyDescent="0.2">
      <c r="A737" s="1"/>
      <c r="B737" s="1"/>
      <c r="C737" s="1"/>
    </row>
    <row r="738" spans="1:3" ht="12.75" customHeight="1" x14ac:dyDescent="0.2">
      <c r="A738" s="1"/>
      <c r="B738" s="1"/>
      <c r="C738" s="1"/>
    </row>
    <row r="739" spans="1:3" ht="12.75" customHeight="1" x14ac:dyDescent="0.2">
      <c r="A739" s="1"/>
      <c r="B739" s="1"/>
      <c r="C739" s="1"/>
    </row>
    <row r="740" spans="1:3" ht="12.75" customHeight="1" x14ac:dyDescent="0.2">
      <c r="A740" s="1"/>
      <c r="B740" s="1"/>
      <c r="C740" s="1"/>
    </row>
    <row r="741" spans="1:3" ht="12.75" customHeight="1" x14ac:dyDescent="0.2">
      <c r="A741" s="1"/>
      <c r="B741" s="1"/>
      <c r="C741" s="1"/>
    </row>
    <row r="742" spans="1:3" ht="12.75" customHeight="1" x14ac:dyDescent="0.2">
      <c r="A742" s="1"/>
      <c r="B742" s="1"/>
      <c r="C742" s="1"/>
    </row>
    <row r="743" spans="1:3" ht="12.75" customHeight="1" x14ac:dyDescent="0.2">
      <c r="A743" s="1"/>
      <c r="B743" s="1"/>
      <c r="C743" s="1"/>
    </row>
    <row r="744" spans="1:3" ht="12.75" customHeight="1" x14ac:dyDescent="0.2">
      <c r="A744" s="1"/>
      <c r="B744" s="1"/>
      <c r="C744" s="1"/>
    </row>
    <row r="745" spans="1:3" ht="12.75" customHeight="1" x14ac:dyDescent="0.2">
      <c r="A745" s="1"/>
      <c r="B745" s="1"/>
      <c r="C745" s="1"/>
    </row>
    <row r="746" spans="1:3" ht="12.75" customHeight="1" x14ac:dyDescent="0.2">
      <c r="A746" s="1"/>
      <c r="B746" s="1"/>
      <c r="C746" s="1"/>
    </row>
    <row r="747" spans="1:3" ht="12.75" customHeight="1" x14ac:dyDescent="0.2">
      <c r="A747" s="1"/>
      <c r="B747" s="1"/>
      <c r="C747" s="1"/>
    </row>
    <row r="748" spans="1:3" ht="12.75" customHeight="1" x14ac:dyDescent="0.2">
      <c r="A748" s="1"/>
      <c r="B748" s="1"/>
      <c r="C748" s="1"/>
    </row>
    <row r="749" spans="1:3" ht="12.75" customHeight="1" x14ac:dyDescent="0.2">
      <c r="A749" s="1"/>
      <c r="B749" s="1"/>
      <c r="C749" s="1"/>
    </row>
    <row r="750" spans="1:3" ht="12.75" customHeight="1" x14ac:dyDescent="0.2">
      <c r="A750" s="1"/>
      <c r="B750" s="1"/>
      <c r="C750" s="1"/>
    </row>
    <row r="751" spans="1:3" ht="12.75" customHeight="1" x14ac:dyDescent="0.2">
      <c r="A751" s="1"/>
      <c r="B751" s="1"/>
      <c r="C751" s="1"/>
    </row>
    <row r="752" spans="1:3" ht="12.75" customHeight="1" x14ac:dyDescent="0.2">
      <c r="A752" s="1"/>
      <c r="B752" s="1"/>
      <c r="C752" s="1"/>
    </row>
    <row r="753" spans="1:3" ht="12.75" customHeight="1" x14ac:dyDescent="0.2">
      <c r="A753" s="1"/>
      <c r="B753" s="1"/>
      <c r="C753" s="1"/>
    </row>
    <row r="754" spans="1:3" ht="12.75" customHeight="1" x14ac:dyDescent="0.2">
      <c r="A754" s="1"/>
      <c r="B754" s="1"/>
      <c r="C754" s="1"/>
    </row>
    <row r="755" spans="1:3" ht="12.75" customHeight="1" x14ac:dyDescent="0.2">
      <c r="A755" s="1"/>
      <c r="B755" s="1"/>
      <c r="C755" s="1"/>
    </row>
    <row r="756" spans="1:3" ht="12.75" customHeight="1" x14ac:dyDescent="0.2">
      <c r="A756" s="1"/>
      <c r="B756" s="1"/>
      <c r="C756" s="1"/>
    </row>
    <row r="757" spans="1:3" ht="12.75" customHeight="1" x14ac:dyDescent="0.2">
      <c r="A757" s="1"/>
      <c r="B757" s="1"/>
      <c r="C757" s="1"/>
    </row>
    <row r="758" spans="1:3" ht="12.75" customHeight="1" x14ac:dyDescent="0.2">
      <c r="A758" s="1"/>
      <c r="B758" s="1"/>
      <c r="C758" s="1"/>
    </row>
    <row r="759" spans="1:3" ht="12.75" customHeight="1" x14ac:dyDescent="0.2">
      <c r="A759" s="1"/>
      <c r="B759" s="1"/>
      <c r="C759" s="1"/>
    </row>
    <row r="760" spans="1:3" ht="12.75" customHeight="1" x14ac:dyDescent="0.2">
      <c r="A760" s="1"/>
      <c r="B760" s="1"/>
      <c r="C760" s="1"/>
    </row>
    <row r="761" spans="1:3" ht="12.75" customHeight="1" x14ac:dyDescent="0.2">
      <c r="A761" s="1"/>
      <c r="B761" s="1"/>
      <c r="C761" s="1"/>
    </row>
    <row r="762" spans="1:3" ht="12.75" customHeight="1" x14ac:dyDescent="0.2">
      <c r="A762" s="1"/>
      <c r="B762" s="1"/>
      <c r="C762" s="1"/>
    </row>
    <row r="763" spans="1:3" ht="12.75" customHeight="1" x14ac:dyDescent="0.2">
      <c r="A763" s="1"/>
      <c r="B763" s="1"/>
      <c r="C763" s="1"/>
    </row>
    <row r="764" spans="1:3" ht="12.75" customHeight="1" x14ac:dyDescent="0.2">
      <c r="A764" s="1"/>
      <c r="B764" s="1"/>
      <c r="C764" s="1"/>
    </row>
    <row r="765" spans="1:3" ht="12.75" customHeight="1" x14ac:dyDescent="0.2">
      <c r="A765" s="1"/>
      <c r="B765" s="1"/>
      <c r="C765" s="1"/>
    </row>
    <row r="766" spans="1:3" ht="12.75" customHeight="1" x14ac:dyDescent="0.2">
      <c r="A766" s="1"/>
      <c r="B766" s="1"/>
      <c r="C766" s="1"/>
    </row>
    <row r="767" spans="1:3" ht="12.75" customHeight="1" x14ac:dyDescent="0.2">
      <c r="A767" s="1"/>
      <c r="B767" s="1"/>
      <c r="C767" s="1"/>
    </row>
    <row r="768" spans="1:3" ht="12.75" customHeight="1" x14ac:dyDescent="0.2">
      <c r="A768" s="1"/>
      <c r="B768" s="1"/>
      <c r="C768" s="1"/>
    </row>
    <row r="769" spans="1:3" ht="12.75" customHeight="1" x14ac:dyDescent="0.2">
      <c r="A769" s="1"/>
      <c r="B769" s="1"/>
      <c r="C769" s="1"/>
    </row>
    <row r="770" spans="1:3" ht="12.75" customHeight="1" x14ac:dyDescent="0.2">
      <c r="A770" s="1"/>
      <c r="B770" s="1"/>
      <c r="C770" s="1"/>
    </row>
    <row r="771" spans="1:3" ht="12.75" customHeight="1" x14ac:dyDescent="0.2">
      <c r="A771" s="1"/>
      <c r="B771" s="1"/>
      <c r="C771" s="1"/>
    </row>
    <row r="772" spans="1:3" ht="12.75" customHeight="1" x14ac:dyDescent="0.2">
      <c r="A772" s="1"/>
      <c r="B772" s="1"/>
      <c r="C772" s="1"/>
    </row>
    <row r="773" spans="1:3" ht="12.75" customHeight="1" x14ac:dyDescent="0.2">
      <c r="A773" s="1"/>
      <c r="B773" s="1"/>
      <c r="C773" s="1"/>
    </row>
    <row r="774" spans="1:3" ht="12.75" customHeight="1" x14ac:dyDescent="0.2">
      <c r="A774" s="1"/>
      <c r="B774" s="1"/>
      <c r="C774" s="1"/>
    </row>
    <row r="775" spans="1:3" ht="12.75" customHeight="1" x14ac:dyDescent="0.2">
      <c r="A775" s="1"/>
      <c r="B775" s="1"/>
      <c r="C775" s="1"/>
    </row>
    <row r="776" spans="1:3" ht="12.75" customHeight="1" x14ac:dyDescent="0.2">
      <c r="A776" s="1"/>
      <c r="B776" s="1"/>
      <c r="C776" s="1"/>
    </row>
    <row r="777" spans="1:3" ht="12.75" customHeight="1" x14ac:dyDescent="0.2">
      <c r="A777" s="1"/>
      <c r="B777" s="1"/>
      <c r="C777" s="1"/>
    </row>
    <row r="778" spans="1:3" ht="12.75" customHeight="1" x14ac:dyDescent="0.2">
      <c r="A778" s="1"/>
      <c r="B778" s="1"/>
      <c r="C778" s="1"/>
    </row>
    <row r="779" spans="1:3" ht="12.75" customHeight="1" x14ac:dyDescent="0.2">
      <c r="A779" s="1"/>
      <c r="B779" s="1"/>
      <c r="C779" s="1"/>
    </row>
    <row r="780" spans="1:3" ht="12.75" customHeight="1" x14ac:dyDescent="0.2">
      <c r="A780" s="1"/>
      <c r="B780" s="1"/>
      <c r="C780" s="1"/>
    </row>
    <row r="781" spans="1:3" ht="12.75" customHeight="1" x14ac:dyDescent="0.2">
      <c r="A781" s="1"/>
      <c r="B781" s="1"/>
      <c r="C781" s="1"/>
    </row>
    <row r="782" spans="1:3" ht="12.75" customHeight="1" x14ac:dyDescent="0.2">
      <c r="A782" s="1"/>
      <c r="B782" s="1"/>
      <c r="C782" s="1"/>
    </row>
    <row r="783" spans="1:3" ht="12.75" customHeight="1" x14ac:dyDescent="0.2">
      <c r="A783" s="1"/>
      <c r="B783" s="1"/>
      <c r="C783" s="1"/>
    </row>
    <row r="784" spans="1:3" ht="12.75" customHeight="1" x14ac:dyDescent="0.2">
      <c r="A784" s="1"/>
      <c r="B784" s="1"/>
      <c r="C784" s="1"/>
    </row>
    <row r="785" spans="1:3" ht="12.75" customHeight="1" x14ac:dyDescent="0.2">
      <c r="A785" s="1"/>
      <c r="B785" s="1"/>
      <c r="C785" s="1"/>
    </row>
    <row r="786" spans="1:3" ht="12.75" customHeight="1" x14ac:dyDescent="0.2">
      <c r="A786" s="1"/>
      <c r="B786" s="1"/>
      <c r="C786" s="1"/>
    </row>
    <row r="787" spans="1:3" ht="12.75" customHeight="1" x14ac:dyDescent="0.2">
      <c r="A787" s="1"/>
      <c r="B787" s="1"/>
      <c r="C787" s="1"/>
    </row>
    <row r="788" spans="1:3" ht="12.75" customHeight="1" x14ac:dyDescent="0.2">
      <c r="A788" s="1"/>
      <c r="B788" s="1"/>
      <c r="C788" s="1"/>
    </row>
    <row r="789" spans="1:3" ht="12.75" customHeight="1" x14ac:dyDescent="0.2">
      <c r="A789" s="1"/>
      <c r="B789" s="1"/>
      <c r="C789" s="1"/>
    </row>
    <row r="790" spans="1:3" ht="12.75" customHeight="1" x14ac:dyDescent="0.2">
      <c r="A790" s="1"/>
      <c r="B790" s="1"/>
      <c r="C790" s="1"/>
    </row>
    <row r="791" spans="1:3" ht="12.75" customHeight="1" x14ac:dyDescent="0.2">
      <c r="A791" s="1"/>
      <c r="B791" s="1"/>
      <c r="C791" s="1"/>
    </row>
    <row r="792" spans="1:3" ht="12.75" customHeight="1" x14ac:dyDescent="0.2">
      <c r="A792" s="1"/>
      <c r="B792" s="1"/>
      <c r="C792" s="1"/>
    </row>
    <row r="793" spans="1:3" ht="12.75" customHeight="1" x14ac:dyDescent="0.2">
      <c r="A793" s="1"/>
      <c r="B793" s="1"/>
      <c r="C793" s="1"/>
    </row>
    <row r="794" spans="1:3" ht="12.75" customHeight="1" x14ac:dyDescent="0.2">
      <c r="A794" s="1"/>
      <c r="B794" s="1"/>
      <c r="C794" s="1"/>
    </row>
    <row r="795" spans="1:3" ht="12.75" customHeight="1" x14ac:dyDescent="0.2">
      <c r="A795" s="1"/>
      <c r="B795" s="1"/>
      <c r="C795" s="1"/>
    </row>
    <row r="796" spans="1:3" ht="12.75" customHeight="1" x14ac:dyDescent="0.2">
      <c r="A796" s="1"/>
      <c r="B796" s="1"/>
      <c r="C796" s="1"/>
    </row>
    <row r="797" spans="1:3" ht="12.75" customHeight="1" x14ac:dyDescent="0.2">
      <c r="A797" s="1"/>
      <c r="B797" s="1"/>
      <c r="C797" s="1"/>
    </row>
    <row r="798" spans="1:3" ht="12.75" customHeight="1" x14ac:dyDescent="0.2">
      <c r="A798" s="1"/>
      <c r="B798" s="1"/>
      <c r="C798" s="1"/>
    </row>
    <row r="799" spans="1:3" ht="12.75" customHeight="1" x14ac:dyDescent="0.2">
      <c r="A799" s="1"/>
      <c r="B799" s="1"/>
      <c r="C799" s="1"/>
    </row>
    <row r="800" spans="1:3" ht="12.75" customHeight="1" x14ac:dyDescent="0.2">
      <c r="A800" s="1"/>
      <c r="B800" s="1"/>
      <c r="C800" s="1"/>
    </row>
    <row r="801" spans="1:3" ht="12.75" customHeight="1" x14ac:dyDescent="0.2">
      <c r="A801" s="1"/>
      <c r="B801" s="1"/>
      <c r="C801" s="1"/>
    </row>
    <row r="802" spans="1:3" ht="12.75" customHeight="1" x14ac:dyDescent="0.2">
      <c r="A802" s="1"/>
      <c r="B802" s="1"/>
      <c r="C802" s="1"/>
    </row>
    <row r="803" spans="1:3" ht="12.75" customHeight="1" x14ac:dyDescent="0.2">
      <c r="A803" s="1"/>
      <c r="B803" s="1"/>
      <c r="C803" s="1"/>
    </row>
    <row r="804" spans="1:3" ht="12.75" customHeight="1" x14ac:dyDescent="0.2">
      <c r="A804" s="1"/>
      <c r="B804" s="1"/>
      <c r="C804" s="1"/>
    </row>
    <row r="805" spans="1:3" ht="12.75" customHeight="1" x14ac:dyDescent="0.2">
      <c r="A805" s="1"/>
      <c r="B805" s="1"/>
      <c r="C805" s="1"/>
    </row>
    <row r="806" spans="1:3" ht="12.75" customHeight="1" x14ac:dyDescent="0.2">
      <c r="A806" s="1"/>
      <c r="B806" s="1"/>
      <c r="C806" s="1"/>
    </row>
    <row r="807" spans="1:3" ht="12.75" customHeight="1" x14ac:dyDescent="0.2">
      <c r="A807" s="1"/>
      <c r="B807" s="1"/>
      <c r="C807" s="1"/>
    </row>
    <row r="808" spans="1:3" ht="12.75" customHeight="1" x14ac:dyDescent="0.2">
      <c r="A808" s="1"/>
      <c r="B808" s="1"/>
      <c r="C808" s="1"/>
    </row>
    <row r="809" spans="1:3" ht="12.75" customHeight="1" x14ac:dyDescent="0.2">
      <c r="A809" s="1"/>
      <c r="B809" s="1"/>
      <c r="C809" s="1"/>
    </row>
    <row r="810" spans="1:3" ht="12.75" customHeight="1" x14ac:dyDescent="0.2">
      <c r="A810" s="1"/>
      <c r="B810" s="1"/>
      <c r="C810" s="1"/>
    </row>
    <row r="811" spans="1:3" ht="12.75" customHeight="1" x14ac:dyDescent="0.2">
      <c r="A811" s="1"/>
      <c r="B811" s="1"/>
      <c r="C811" s="1"/>
    </row>
    <row r="812" spans="1:3" ht="12.75" customHeight="1" x14ac:dyDescent="0.2">
      <c r="A812" s="1"/>
      <c r="B812" s="1"/>
      <c r="C812" s="1"/>
    </row>
    <row r="813" spans="1:3" ht="12.75" customHeight="1" x14ac:dyDescent="0.2">
      <c r="A813" s="1"/>
      <c r="B813" s="1"/>
      <c r="C813" s="1"/>
    </row>
    <row r="814" spans="1:3" ht="12.75" customHeight="1" x14ac:dyDescent="0.2">
      <c r="A814" s="1"/>
      <c r="B814" s="1"/>
      <c r="C814" s="1"/>
    </row>
    <row r="815" spans="1:3" ht="12.75" customHeight="1" x14ac:dyDescent="0.2">
      <c r="A815" s="1"/>
      <c r="B815" s="1"/>
      <c r="C815" s="1"/>
    </row>
    <row r="816" spans="1:3" ht="12.75" customHeight="1" x14ac:dyDescent="0.2">
      <c r="A816" s="1"/>
      <c r="B816" s="1"/>
      <c r="C816" s="1"/>
    </row>
    <row r="817" spans="1:3" ht="12.75" customHeight="1" x14ac:dyDescent="0.2">
      <c r="A817" s="1"/>
      <c r="B817" s="1"/>
      <c r="C817" s="1"/>
    </row>
    <row r="818" spans="1:3" ht="12.75" customHeight="1" x14ac:dyDescent="0.2">
      <c r="A818" s="1"/>
      <c r="B818" s="1"/>
      <c r="C818" s="1"/>
    </row>
    <row r="819" spans="1:3" ht="12.75" customHeight="1" x14ac:dyDescent="0.2">
      <c r="A819" s="1"/>
      <c r="B819" s="1"/>
      <c r="C819" s="1"/>
    </row>
    <row r="820" spans="1:3" ht="12.75" customHeight="1" x14ac:dyDescent="0.2">
      <c r="A820" s="1"/>
      <c r="B820" s="1"/>
      <c r="C820" s="1"/>
    </row>
    <row r="821" spans="1:3" ht="12.75" customHeight="1" x14ac:dyDescent="0.2">
      <c r="A821" s="1"/>
      <c r="B821" s="1"/>
      <c r="C821" s="1"/>
    </row>
    <row r="822" spans="1:3" ht="12.75" customHeight="1" x14ac:dyDescent="0.2">
      <c r="A822" s="1"/>
      <c r="B822" s="1"/>
      <c r="C822" s="1"/>
    </row>
    <row r="823" spans="1:3" ht="12.75" customHeight="1" x14ac:dyDescent="0.2">
      <c r="A823" s="1"/>
      <c r="B823" s="1"/>
      <c r="C823" s="1"/>
    </row>
    <row r="824" spans="1:3" ht="12.75" customHeight="1" x14ac:dyDescent="0.2">
      <c r="A824" s="1"/>
      <c r="B824" s="1"/>
      <c r="C824" s="1"/>
    </row>
    <row r="825" spans="1:3" ht="12.75" customHeight="1" x14ac:dyDescent="0.2">
      <c r="A825" s="1"/>
      <c r="B825" s="1"/>
      <c r="C825" s="1"/>
    </row>
    <row r="826" spans="1:3" ht="12.75" customHeight="1" x14ac:dyDescent="0.2">
      <c r="A826" s="1"/>
      <c r="B826" s="1"/>
      <c r="C826" s="1"/>
    </row>
    <row r="827" spans="1:3" ht="12.75" customHeight="1" x14ac:dyDescent="0.2">
      <c r="A827" s="1"/>
      <c r="B827" s="1"/>
      <c r="C827" s="1"/>
    </row>
    <row r="828" spans="1:3" ht="12.75" customHeight="1" x14ac:dyDescent="0.2">
      <c r="A828" s="1"/>
      <c r="B828" s="1"/>
      <c r="C828" s="1"/>
    </row>
    <row r="829" spans="1:3" ht="12.75" customHeight="1" x14ac:dyDescent="0.2">
      <c r="A829" s="1"/>
      <c r="B829" s="1"/>
      <c r="C829" s="1"/>
    </row>
    <row r="830" spans="1:3" ht="12.75" customHeight="1" x14ac:dyDescent="0.2">
      <c r="A830" s="1"/>
      <c r="B830" s="1"/>
      <c r="C830" s="1"/>
    </row>
    <row r="831" spans="1:3" ht="12.75" customHeight="1" x14ac:dyDescent="0.2">
      <c r="A831" s="1"/>
      <c r="B831" s="1"/>
      <c r="C831" s="1"/>
    </row>
    <row r="832" spans="1:3" ht="12.75" customHeight="1" x14ac:dyDescent="0.2">
      <c r="A832" s="1"/>
      <c r="B832" s="1"/>
      <c r="C832" s="1"/>
    </row>
    <row r="833" spans="1:3" ht="12.75" customHeight="1" x14ac:dyDescent="0.2">
      <c r="A833" s="1"/>
      <c r="B833" s="1"/>
      <c r="C833" s="1"/>
    </row>
    <row r="834" spans="1:3" ht="12.75" customHeight="1" x14ac:dyDescent="0.2">
      <c r="A834" s="1"/>
      <c r="B834" s="1"/>
      <c r="C834" s="1"/>
    </row>
    <row r="835" spans="1:3" ht="12.75" customHeight="1" x14ac:dyDescent="0.2">
      <c r="A835" s="1"/>
      <c r="B835" s="1"/>
      <c r="C835" s="1"/>
    </row>
    <row r="836" spans="1:3" ht="12.75" customHeight="1" x14ac:dyDescent="0.2">
      <c r="A836" s="1"/>
      <c r="B836" s="1"/>
      <c r="C836" s="1"/>
    </row>
    <row r="837" spans="1:3" ht="12.75" customHeight="1" x14ac:dyDescent="0.2">
      <c r="A837" s="1"/>
      <c r="B837" s="1"/>
      <c r="C837" s="1"/>
    </row>
    <row r="838" spans="1:3" ht="12.75" customHeight="1" x14ac:dyDescent="0.2">
      <c r="A838" s="1"/>
      <c r="B838" s="1"/>
      <c r="C838" s="1"/>
    </row>
    <row r="839" spans="1:3" ht="12.75" customHeight="1" x14ac:dyDescent="0.2">
      <c r="A839" s="1"/>
      <c r="B839" s="1"/>
      <c r="C839" s="1"/>
    </row>
    <row r="840" spans="1:3" ht="12.75" customHeight="1" x14ac:dyDescent="0.2">
      <c r="A840" s="1"/>
      <c r="B840" s="1"/>
      <c r="C840" s="1"/>
    </row>
    <row r="841" spans="1:3" ht="12.75" customHeight="1" x14ac:dyDescent="0.2">
      <c r="A841" s="1"/>
      <c r="B841" s="1"/>
      <c r="C841" s="1"/>
    </row>
    <row r="842" spans="1:3" ht="12.75" customHeight="1" x14ac:dyDescent="0.2">
      <c r="A842" s="1"/>
      <c r="B842" s="1"/>
      <c r="C842" s="1"/>
    </row>
    <row r="843" spans="1:3" ht="12.75" customHeight="1" x14ac:dyDescent="0.2">
      <c r="A843" s="1"/>
      <c r="B843" s="1"/>
      <c r="C843" s="1"/>
    </row>
    <row r="844" spans="1:3" ht="12.75" customHeight="1" x14ac:dyDescent="0.2">
      <c r="A844" s="1"/>
      <c r="B844" s="1"/>
      <c r="C844" s="1"/>
    </row>
    <row r="845" spans="1:3" ht="12.75" customHeight="1" x14ac:dyDescent="0.2">
      <c r="A845" s="1"/>
      <c r="B845" s="1"/>
      <c r="C845" s="1"/>
    </row>
    <row r="846" spans="1:3" ht="12.75" customHeight="1" x14ac:dyDescent="0.2">
      <c r="A846" s="1"/>
      <c r="B846" s="1"/>
      <c r="C846" s="1"/>
    </row>
    <row r="847" spans="1:3" ht="12.75" customHeight="1" x14ac:dyDescent="0.2">
      <c r="A847" s="1"/>
      <c r="B847" s="1"/>
      <c r="C847" s="1"/>
    </row>
    <row r="848" spans="1:3" ht="12.75" customHeight="1" x14ac:dyDescent="0.2">
      <c r="A848" s="1"/>
      <c r="B848" s="1"/>
      <c r="C848" s="1"/>
    </row>
    <row r="849" spans="1:3" ht="12.75" customHeight="1" x14ac:dyDescent="0.2">
      <c r="A849" s="1"/>
      <c r="B849" s="1"/>
      <c r="C849" s="1"/>
    </row>
    <row r="850" spans="1:3" ht="12.75" customHeight="1" x14ac:dyDescent="0.2">
      <c r="A850" s="1"/>
      <c r="B850" s="1"/>
      <c r="C850" s="1"/>
    </row>
    <row r="851" spans="1:3" ht="12.75" customHeight="1" x14ac:dyDescent="0.2">
      <c r="A851" s="1"/>
      <c r="B851" s="1"/>
      <c r="C851" s="1"/>
    </row>
    <row r="852" spans="1:3" ht="12.75" customHeight="1" x14ac:dyDescent="0.2">
      <c r="A852" s="1"/>
      <c r="B852" s="1"/>
      <c r="C852" s="1"/>
    </row>
    <row r="853" spans="1:3" ht="12.75" customHeight="1" x14ac:dyDescent="0.2">
      <c r="A853" s="1"/>
      <c r="B853" s="1"/>
      <c r="C853" s="1"/>
    </row>
    <row r="854" spans="1:3" ht="12.75" customHeight="1" x14ac:dyDescent="0.2">
      <c r="A854" s="1"/>
      <c r="B854" s="1"/>
      <c r="C854" s="1"/>
    </row>
    <row r="855" spans="1:3" ht="12.75" customHeight="1" x14ac:dyDescent="0.2">
      <c r="A855" s="1"/>
      <c r="B855" s="1"/>
      <c r="C855" s="1"/>
    </row>
    <row r="856" spans="1:3" ht="12.75" customHeight="1" x14ac:dyDescent="0.2">
      <c r="A856" s="1"/>
      <c r="B856" s="1"/>
      <c r="C856" s="1"/>
    </row>
    <row r="857" spans="1:3" ht="12.75" customHeight="1" x14ac:dyDescent="0.2">
      <c r="A857" s="1"/>
      <c r="B857" s="1"/>
      <c r="C857" s="1"/>
    </row>
    <row r="858" spans="1:3" ht="12.75" customHeight="1" x14ac:dyDescent="0.2">
      <c r="A858" s="1"/>
      <c r="B858" s="1"/>
      <c r="C858" s="1"/>
    </row>
    <row r="859" spans="1:3" ht="12.75" customHeight="1" x14ac:dyDescent="0.2">
      <c r="A859" s="1"/>
      <c r="B859" s="1"/>
      <c r="C859" s="1"/>
    </row>
    <row r="860" spans="1:3" ht="12.75" customHeight="1" x14ac:dyDescent="0.2">
      <c r="A860" s="1"/>
      <c r="B860" s="1"/>
      <c r="C860" s="1"/>
    </row>
    <row r="861" spans="1:3" ht="12.75" customHeight="1" x14ac:dyDescent="0.2">
      <c r="A861" s="1"/>
      <c r="B861" s="1"/>
      <c r="C861" s="1"/>
    </row>
    <row r="862" spans="1:3" ht="12.75" customHeight="1" x14ac:dyDescent="0.2">
      <c r="A862" s="1"/>
      <c r="B862" s="1"/>
      <c r="C862" s="1"/>
    </row>
    <row r="863" spans="1:3" ht="12.75" customHeight="1" x14ac:dyDescent="0.2">
      <c r="A863" s="1"/>
      <c r="B863" s="1"/>
      <c r="C863" s="1"/>
    </row>
    <row r="864" spans="1:3" ht="12.75" customHeight="1" x14ac:dyDescent="0.2">
      <c r="A864" s="1"/>
      <c r="B864" s="1"/>
      <c r="C864" s="1"/>
    </row>
    <row r="865" spans="1:3" ht="12.75" customHeight="1" x14ac:dyDescent="0.2">
      <c r="A865" s="1"/>
      <c r="B865" s="1"/>
      <c r="C865" s="1"/>
    </row>
    <row r="866" spans="1:3" ht="12.75" customHeight="1" x14ac:dyDescent="0.2">
      <c r="A866" s="1"/>
      <c r="B866" s="1"/>
      <c r="C866" s="1"/>
    </row>
    <row r="867" spans="1:3" ht="12.75" customHeight="1" x14ac:dyDescent="0.2">
      <c r="A867" s="1"/>
      <c r="B867" s="1"/>
      <c r="C867" s="1"/>
    </row>
    <row r="868" spans="1:3" ht="12.75" customHeight="1" x14ac:dyDescent="0.2">
      <c r="A868" s="1"/>
      <c r="B868" s="1"/>
      <c r="C868" s="1"/>
    </row>
    <row r="869" spans="1:3" ht="12.75" customHeight="1" x14ac:dyDescent="0.2">
      <c r="A869" s="1"/>
      <c r="B869" s="1"/>
      <c r="C869" s="1"/>
    </row>
    <row r="870" spans="1:3" ht="12.75" customHeight="1" x14ac:dyDescent="0.2">
      <c r="A870" s="1"/>
      <c r="B870" s="1"/>
      <c r="C870" s="1"/>
    </row>
    <row r="871" spans="1:3" ht="12.75" customHeight="1" x14ac:dyDescent="0.2">
      <c r="A871" s="1"/>
      <c r="B871" s="1"/>
      <c r="C871" s="1"/>
    </row>
    <row r="872" spans="1:3" ht="12.75" customHeight="1" x14ac:dyDescent="0.2">
      <c r="A872" s="1"/>
      <c r="B872" s="1"/>
      <c r="C872" s="1"/>
    </row>
    <row r="873" spans="1:3" ht="12.75" customHeight="1" x14ac:dyDescent="0.2">
      <c r="A873" s="1"/>
      <c r="B873" s="1"/>
      <c r="C873" s="1"/>
    </row>
    <row r="874" spans="1:3" ht="12.75" customHeight="1" x14ac:dyDescent="0.2">
      <c r="A874" s="1"/>
      <c r="B874" s="1"/>
      <c r="C874" s="1"/>
    </row>
    <row r="875" spans="1:3" ht="12.75" customHeight="1" x14ac:dyDescent="0.2">
      <c r="A875" s="1"/>
      <c r="B875" s="1"/>
      <c r="C875" s="1"/>
    </row>
    <row r="876" spans="1:3" ht="12.75" customHeight="1" x14ac:dyDescent="0.2">
      <c r="A876" s="1"/>
      <c r="B876" s="1"/>
      <c r="C876" s="1"/>
    </row>
    <row r="877" spans="1:3" ht="12.75" customHeight="1" x14ac:dyDescent="0.2">
      <c r="A877" s="1"/>
      <c r="B877" s="1"/>
      <c r="C877" s="1"/>
    </row>
    <row r="878" spans="1:3" ht="12.75" customHeight="1" x14ac:dyDescent="0.2">
      <c r="A878" s="1"/>
      <c r="B878" s="1"/>
      <c r="C878" s="1"/>
    </row>
    <row r="879" spans="1:3" ht="12.75" customHeight="1" x14ac:dyDescent="0.2">
      <c r="A879" s="1"/>
      <c r="B879" s="1"/>
      <c r="C879" s="1"/>
    </row>
    <row r="880" spans="1:3" ht="12.75" customHeight="1" x14ac:dyDescent="0.2">
      <c r="A880" s="1"/>
      <c r="B880" s="1"/>
      <c r="C880" s="1"/>
    </row>
    <row r="881" spans="1:3" ht="12.75" customHeight="1" x14ac:dyDescent="0.2">
      <c r="A881" s="1"/>
      <c r="B881" s="1"/>
      <c r="C881" s="1"/>
    </row>
    <row r="882" spans="1:3" ht="12.75" customHeight="1" x14ac:dyDescent="0.2">
      <c r="A882" s="1"/>
      <c r="B882" s="1"/>
      <c r="C882" s="1"/>
    </row>
    <row r="883" spans="1:3" ht="12.75" customHeight="1" x14ac:dyDescent="0.2">
      <c r="A883" s="1"/>
      <c r="B883" s="1"/>
      <c r="C883" s="1"/>
    </row>
    <row r="884" spans="1:3" ht="12.75" customHeight="1" x14ac:dyDescent="0.2">
      <c r="A884" s="1"/>
      <c r="B884" s="1"/>
      <c r="C884" s="1"/>
    </row>
    <row r="885" spans="1:3" ht="12.75" customHeight="1" x14ac:dyDescent="0.2">
      <c r="A885" s="1"/>
      <c r="B885" s="1"/>
      <c r="C885" s="1"/>
    </row>
    <row r="886" spans="1:3" ht="12.75" customHeight="1" x14ac:dyDescent="0.2">
      <c r="A886" s="1"/>
      <c r="B886" s="1"/>
      <c r="C886" s="1"/>
    </row>
    <row r="887" spans="1:3" ht="12.75" customHeight="1" x14ac:dyDescent="0.2">
      <c r="A887" s="1"/>
      <c r="B887" s="1"/>
      <c r="C887" s="1"/>
    </row>
    <row r="888" spans="1:3" ht="12.75" customHeight="1" x14ac:dyDescent="0.2">
      <c r="A888" s="1"/>
      <c r="B888" s="1"/>
      <c r="C888" s="1"/>
    </row>
    <row r="889" spans="1:3" ht="12.75" customHeight="1" x14ac:dyDescent="0.2">
      <c r="A889" s="1"/>
      <c r="B889" s="1"/>
      <c r="C889" s="1"/>
    </row>
    <row r="890" spans="1:3" ht="12.75" customHeight="1" x14ac:dyDescent="0.2">
      <c r="A890" s="1"/>
      <c r="B890" s="1"/>
      <c r="C890" s="1"/>
    </row>
    <row r="891" spans="1:3" ht="12.75" customHeight="1" x14ac:dyDescent="0.2">
      <c r="A891" s="1"/>
      <c r="B891" s="1"/>
      <c r="C891" s="1"/>
    </row>
    <row r="892" spans="1:3" ht="12.75" customHeight="1" x14ac:dyDescent="0.2">
      <c r="A892" s="1"/>
      <c r="B892" s="1"/>
      <c r="C892" s="1"/>
    </row>
    <row r="893" spans="1:3" ht="12.75" customHeight="1" x14ac:dyDescent="0.2">
      <c r="A893" s="1"/>
      <c r="B893" s="1"/>
      <c r="C893" s="1"/>
    </row>
    <row r="894" spans="1:3" ht="12.75" customHeight="1" x14ac:dyDescent="0.2">
      <c r="A894" s="1"/>
      <c r="B894" s="1"/>
      <c r="C894" s="1"/>
    </row>
    <row r="895" spans="1:3" ht="12.75" customHeight="1" x14ac:dyDescent="0.2">
      <c r="A895" s="1"/>
      <c r="B895" s="1"/>
      <c r="C895" s="1"/>
    </row>
    <row r="896" spans="1:3" ht="12.75" customHeight="1" x14ac:dyDescent="0.2">
      <c r="A896" s="1"/>
      <c r="B896" s="1"/>
      <c r="C896" s="1"/>
    </row>
    <row r="897" spans="1:3" ht="12.75" customHeight="1" x14ac:dyDescent="0.2">
      <c r="A897" s="1"/>
      <c r="B897" s="1"/>
      <c r="C897" s="1"/>
    </row>
    <row r="898" spans="1:3" ht="12.75" customHeight="1" x14ac:dyDescent="0.2">
      <c r="A898" s="1"/>
      <c r="B898" s="1"/>
      <c r="C898" s="1"/>
    </row>
    <row r="899" spans="1:3" ht="12.75" customHeight="1" x14ac:dyDescent="0.2">
      <c r="A899" s="1"/>
      <c r="B899" s="1"/>
      <c r="C899" s="1"/>
    </row>
    <row r="900" spans="1:3" ht="12.75" customHeight="1" x14ac:dyDescent="0.2">
      <c r="A900" s="1"/>
      <c r="B900" s="1"/>
      <c r="C900" s="1"/>
    </row>
    <row r="901" spans="1:3" ht="12.75" customHeight="1" x14ac:dyDescent="0.2">
      <c r="A901" s="1"/>
      <c r="B901" s="1"/>
      <c r="C901" s="1"/>
    </row>
    <row r="902" spans="1:3" ht="12.75" customHeight="1" x14ac:dyDescent="0.2">
      <c r="A902" s="1"/>
      <c r="B902" s="1"/>
      <c r="C902" s="1"/>
    </row>
    <row r="903" spans="1:3" ht="12.75" customHeight="1" x14ac:dyDescent="0.2">
      <c r="A903" s="1"/>
      <c r="B903" s="1"/>
      <c r="C903" s="1"/>
    </row>
    <row r="904" spans="1:3" ht="12.75" customHeight="1" x14ac:dyDescent="0.2">
      <c r="A904" s="1"/>
      <c r="B904" s="1"/>
      <c r="C904" s="1"/>
    </row>
    <row r="905" spans="1:3" ht="12.75" customHeight="1" x14ac:dyDescent="0.2">
      <c r="A905" s="1"/>
      <c r="B905" s="1"/>
      <c r="C905" s="1"/>
    </row>
    <row r="906" spans="1:3" ht="12.75" customHeight="1" x14ac:dyDescent="0.2">
      <c r="A906" s="1"/>
      <c r="B906" s="1"/>
      <c r="C906" s="1"/>
    </row>
    <row r="907" spans="1:3" ht="12.75" customHeight="1" x14ac:dyDescent="0.2">
      <c r="A907" s="1"/>
      <c r="B907" s="1"/>
      <c r="C907" s="1"/>
    </row>
    <row r="908" spans="1:3" ht="12.75" customHeight="1" x14ac:dyDescent="0.2">
      <c r="A908" s="1"/>
      <c r="B908" s="1"/>
      <c r="C908" s="1"/>
    </row>
    <row r="909" spans="1:3" ht="12.75" customHeight="1" x14ac:dyDescent="0.2">
      <c r="A909" s="1"/>
      <c r="B909" s="1"/>
      <c r="C909" s="1"/>
    </row>
    <row r="910" spans="1:3" ht="12.75" customHeight="1" x14ac:dyDescent="0.2">
      <c r="A910" s="1"/>
      <c r="B910" s="1"/>
      <c r="C910" s="1"/>
    </row>
    <row r="911" spans="1:3" ht="12.75" customHeight="1" x14ac:dyDescent="0.2">
      <c r="A911" s="1"/>
      <c r="B911" s="1"/>
      <c r="C911" s="1"/>
    </row>
    <row r="912" spans="1:3" ht="12.75" customHeight="1" x14ac:dyDescent="0.2">
      <c r="A912" s="1"/>
      <c r="B912" s="1"/>
      <c r="C912" s="1"/>
    </row>
    <row r="913" spans="1:3" ht="12.75" customHeight="1" x14ac:dyDescent="0.2">
      <c r="A913" s="1"/>
      <c r="B913" s="1"/>
      <c r="C913" s="1"/>
    </row>
    <row r="914" spans="1:3" ht="12.75" customHeight="1" x14ac:dyDescent="0.2">
      <c r="A914" s="1"/>
      <c r="B914" s="1"/>
      <c r="C914" s="1"/>
    </row>
    <row r="915" spans="1:3" ht="12.75" customHeight="1" x14ac:dyDescent="0.2">
      <c r="A915" s="1"/>
      <c r="B915" s="1"/>
      <c r="C915" s="1"/>
    </row>
    <row r="916" spans="1:3" ht="12.75" customHeight="1" x14ac:dyDescent="0.2">
      <c r="A916" s="1"/>
      <c r="B916" s="1"/>
      <c r="C916" s="1"/>
    </row>
    <row r="917" spans="1:3" ht="12.75" customHeight="1" x14ac:dyDescent="0.2">
      <c r="A917" s="1"/>
      <c r="B917" s="1"/>
      <c r="C917" s="1"/>
    </row>
    <row r="918" spans="1:3" ht="12.75" customHeight="1" x14ac:dyDescent="0.2">
      <c r="A918" s="1"/>
      <c r="B918" s="1"/>
      <c r="C918" s="1"/>
    </row>
    <row r="919" spans="1:3" ht="12.75" customHeight="1" x14ac:dyDescent="0.2">
      <c r="A919" s="1"/>
      <c r="B919" s="1"/>
      <c r="C919" s="1"/>
    </row>
    <row r="920" spans="1:3" ht="12.75" customHeight="1" x14ac:dyDescent="0.2">
      <c r="A920" s="1"/>
      <c r="B920" s="1"/>
      <c r="C920" s="1"/>
    </row>
    <row r="921" spans="1:3" ht="12.75" customHeight="1" x14ac:dyDescent="0.2">
      <c r="A921" s="1"/>
      <c r="B921" s="1"/>
      <c r="C921" s="1"/>
    </row>
    <row r="922" spans="1:3" ht="12.75" customHeight="1" x14ac:dyDescent="0.2">
      <c r="A922" s="1"/>
      <c r="B922" s="1"/>
      <c r="C922" s="1"/>
    </row>
    <row r="923" spans="1:3" ht="12.75" customHeight="1" x14ac:dyDescent="0.2">
      <c r="A923" s="1"/>
      <c r="B923" s="1"/>
      <c r="C923" s="1"/>
    </row>
    <row r="924" spans="1:3" ht="12.75" customHeight="1" x14ac:dyDescent="0.2">
      <c r="A924" s="1"/>
      <c r="B924" s="1"/>
      <c r="C924" s="1"/>
    </row>
    <row r="925" spans="1:3" ht="12.75" customHeight="1" x14ac:dyDescent="0.2">
      <c r="A925" s="1"/>
      <c r="B925" s="1"/>
      <c r="C925" s="1"/>
    </row>
    <row r="926" spans="1:3" ht="12.75" customHeight="1" x14ac:dyDescent="0.2">
      <c r="A926" s="1"/>
      <c r="B926" s="1"/>
      <c r="C926" s="1"/>
    </row>
    <row r="927" spans="1:3" ht="12.75" customHeight="1" x14ac:dyDescent="0.2">
      <c r="A927" s="1"/>
      <c r="B927" s="1"/>
      <c r="C927" s="1"/>
    </row>
    <row r="928" spans="1:3" ht="12.75" customHeight="1" x14ac:dyDescent="0.2">
      <c r="A928" s="1"/>
      <c r="B928" s="1"/>
      <c r="C928" s="1"/>
    </row>
    <row r="929" spans="1:3" ht="12.75" customHeight="1" x14ac:dyDescent="0.2">
      <c r="A929" s="1"/>
      <c r="B929" s="1"/>
      <c r="C929" s="1"/>
    </row>
    <row r="930" spans="1:3" ht="12.75" customHeight="1" x14ac:dyDescent="0.2">
      <c r="A930" s="1"/>
      <c r="B930" s="1"/>
      <c r="C930" s="1"/>
    </row>
    <row r="931" spans="1:3" ht="12.75" customHeight="1" x14ac:dyDescent="0.2">
      <c r="A931" s="1"/>
      <c r="B931" s="1"/>
      <c r="C931" s="1"/>
    </row>
    <row r="932" spans="1:3" ht="12.75" customHeight="1" x14ac:dyDescent="0.2">
      <c r="A932" s="1"/>
      <c r="B932" s="1"/>
      <c r="C932" s="1"/>
    </row>
    <row r="933" spans="1:3" ht="12.75" customHeight="1" x14ac:dyDescent="0.2">
      <c r="A933" s="1"/>
      <c r="B933" s="1"/>
      <c r="C933" s="1"/>
    </row>
    <row r="934" spans="1:3" ht="12.75" customHeight="1" x14ac:dyDescent="0.2">
      <c r="A934" s="1"/>
      <c r="B934" s="1"/>
      <c r="C934" s="1"/>
    </row>
    <row r="935" spans="1:3" ht="12.75" customHeight="1" x14ac:dyDescent="0.2">
      <c r="A935" s="1"/>
      <c r="B935" s="1"/>
      <c r="C935" s="1"/>
    </row>
    <row r="936" spans="1:3" ht="12.75" customHeight="1" x14ac:dyDescent="0.2">
      <c r="A936" s="1"/>
      <c r="B936" s="1"/>
      <c r="C936" s="1"/>
    </row>
    <row r="937" spans="1:3" ht="12.75" customHeight="1" x14ac:dyDescent="0.2">
      <c r="A937" s="1"/>
      <c r="B937" s="1"/>
      <c r="C937" s="1"/>
    </row>
    <row r="938" spans="1:3" ht="12.75" customHeight="1" x14ac:dyDescent="0.2">
      <c r="A938" s="1"/>
      <c r="B938" s="1"/>
      <c r="C938" s="1"/>
    </row>
    <row r="939" spans="1:3" ht="12.75" customHeight="1" x14ac:dyDescent="0.2">
      <c r="A939" s="1"/>
      <c r="B939" s="1"/>
      <c r="C939" s="1"/>
    </row>
    <row r="940" spans="1:3" ht="12.75" customHeight="1" x14ac:dyDescent="0.2">
      <c r="A940" s="1"/>
      <c r="B940" s="1"/>
      <c r="C940" s="1"/>
    </row>
    <row r="941" spans="1:3" ht="12.75" customHeight="1" x14ac:dyDescent="0.2">
      <c r="A941" s="1"/>
      <c r="B941" s="1"/>
      <c r="C941" s="1"/>
    </row>
    <row r="942" spans="1:3" ht="12.75" customHeight="1" x14ac:dyDescent="0.2">
      <c r="A942" s="1"/>
      <c r="B942" s="1"/>
      <c r="C942" s="1"/>
    </row>
    <row r="943" spans="1:3" ht="12.75" customHeight="1" x14ac:dyDescent="0.2">
      <c r="A943" s="1"/>
      <c r="B943" s="1"/>
      <c r="C943" s="1"/>
    </row>
    <row r="944" spans="1:3" ht="12.75" customHeight="1" x14ac:dyDescent="0.2">
      <c r="A944" s="1"/>
      <c r="B944" s="1"/>
      <c r="C944" s="1"/>
    </row>
    <row r="945" spans="1:3" ht="12.75" customHeight="1" x14ac:dyDescent="0.2">
      <c r="A945" s="1"/>
      <c r="B945" s="1"/>
      <c r="C945" s="1"/>
    </row>
    <row r="946" spans="1:3" ht="12.75" customHeight="1" x14ac:dyDescent="0.2">
      <c r="A946" s="1"/>
      <c r="B946" s="1"/>
      <c r="C946" s="1"/>
    </row>
    <row r="947" spans="1:3" ht="12.75" customHeight="1" x14ac:dyDescent="0.2">
      <c r="A947" s="1"/>
      <c r="B947" s="1"/>
      <c r="C947" s="1"/>
    </row>
    <row r="948" spans="1:3" ht="12.75" customHeight="1" x14ac:dyDescent="0.2">
      <c r="A948" s="1"/>
      <c r="B948" s="1"/>
      <c r="C948" s="1"/>
    </row>
    <row r="949" spans="1:3" ht="12.75" customHeight="1" x14ac:dyDescent="0.2">
      <c r="A949" s="1"/>
      <c r="B949" s="1"/>
      <c r="C949" s="1"/>
    </row>
    <row r="950" spans="1:3" ht="12.75" customHeight="1" x14ac:dyDescent="0.2">
      <c r="A950" s="1"/>
      <c r="B950" s="1"/>
      <c r="C950" s="1"/>
    </row>
    <row r="951" spans="1:3" ht="12.75" customHeight="1" x14ac:dyDescent="0.2">
      <c r="A951" s="1"/>
      <c r="B951" s="1"/>
      <c r="C951" s="1"/>
    </row>
    <row r="952" spans="1:3" ht="12.75" customHeight="1" x14ac:dyDescent="0.2">
      <c r="A952" s="1"/>
      <c r="B952" s="1"/>
      <c r="C952" s="1"/>
    </row>
    <row r="953" spans="1:3" ht="12.75" customHeight="1" x14ac:dyDescent="0.2">
      <c r="A953" s="1"/>
      <c r="B953" s="1"/>
      <c r="C953" s="1"/>
    </row>
    <row r="954" spans="1:3" ht="12.75" customHeight="1" x14ac:dyDescent="0.2">
      <c r="A954" s="1"/>
      <c r="B954" s="1"/>
      <c r="C954" s="1"/>
    </row>
    <row r="955" spans="1:3" ht="12.75" customHeight="1" x14ac:dyDescent="0.2">
      <c r="A955" s="1"/>
      <c r="B955" s="1"/>
      <c r="C955" s="1"/>
    </row>
    <row r="956" spans="1:3" ht="12.75" customHeight="1" x14ac:dyDescent="0.2">
      <c r="A956" s="1"/>
      <c r="B956" s="1"/>
      <c r="C956" s="1"/>
    </row>
    <row r="957" spans="1:3" ht="12.75" customHeight="1" x14ac:dyDescent="0.2">
      <c r="A957" s="1"/>
      <c r="B957" s="1"/>
      <c r="C957" s="1"/>
    </row>
    <row r="958" spans="1:3" ht="12.75" customHeight="1" x14ac:dyDescent="0.2">
      <c r="A958" s="1"/>
      <c r="B958" s="1"/>
      <c r="C958" s="1"/>
    </row>
    <row r="959" spans="1:3" ht="12.75" customHeight="1" x14ac:dyDescent="0.2">
      <c r="A959" s="1"/>
      <c r="B959" s="1"/>
      <c r="C959" s="1"/>
    </row>
    <row r="960" spans="1:3" ht="12.75" customHeight="1" x14ac:dyDescent="0.2">
      <c r="A960" s="1"/>
      <c r="B960" s="1"/>
      <c r="C960" s="1"/>
    </row>
    <row r="961" spans="1:3" ht="12.75" customHeight="1" x14ac:dyDescent="0.2">
      <c r="A961" s="1"/>
      <c r="B961" s="1"/>
      <c r="C961" s="1"/>
    </row>
    <row r="962" spans="1:3" ht="12.75" customHeight="1" x14ac:dyDescent="0.2">
      <c r="A962" s="1"/>
      <c r="B962" s="1"/>
      <c r="C962" s="1"/>
    </row>
    <row r="963" spans="1:3" ht="12.75" customHeight="1" x14ac:dyDescent="0.2">
      <c r="A963" s="1"/>
      <c r="B963" s="1"/>
      <c r="C963" s="1"/>
    </row>
    <row r="964" spans="1:3" ht="12.75" customHeight="1" x14ac:dyDescent="0.2">
      <c r="A964" s="1"/>
      <c r="B964" s="1"/>
      <c r="C964" s="1"/>
    </row>
    <row r="965" spans="1:3" ht="12.75" customHeight="1" x14ac:dyDescent="0.2">
      <c r="A965" s="1"/>
      <c r="B965" s="1"/>
      <c r="C965" s="1"/>
    </row>
    <row r="966" spans="1:3" ht="12.75" customHeight="1" x14ac:dyDescent="0.2">
      <c r="A966" s="1"/>
      <c r="B966" s="1"/>
      <c r="C966" s="1"/>
    </row>
    <row r="967" spans="1:3" ht="12.75" customHeight="1" x14ac:dyDescent="0.2">
      <c r="A967" s="1"/>
      <c r="B967" s="1"/>
      <c r="C967" s="1"/>
    </row>
    <row r="968" spans="1:3" ht="12.75" customHeight="1" x14ac:dyDescent="0.2">
      <c r="A968" s="1"/>
      <c r="B968" s="1"/>
      <c r="C968" s="1"/>
    </row>
    <row r="969" spans="1:3" ht="12.75" customHeight="1" x14ac:dyDescent="0.2">
      <c r="A969" s="1"/>
      <c r="B969" s="1"/>
      <c r="C969" s="1"/>
    </row>
    <row r="970" spans="1:3" ht="12.75" customHeight="1" x14ac:dyDescent="0.2">
      <c r="A970" s="1"/>
      <c r="B970" s="1"/>
      <c r="C970" s="1"/>
    </row>
    <row r="971" spans="1:3" ht="12.75" customHeight="1" x14ac:dyDescent="0.2">
      <c r="A971" s="1"/>
      <c r="B971" s="1"/>
      <c r="C971" s="1"/>
    </row>
    <row r="972" spans="1:3" ht="12.75" customHeight="1" x14ac:dyDescent="0.2">
      <c r="A972" s="1"/>
      <c r="B972" s="1"/>
      <c r="C972" s="1"/>
    </row>
    <row r="973" spans="1:3" ht="12.75" customHeight="1" x14ac:dyDescent="0.2">
      <c r="A973" s="1"/>
      <c r="B973" s="1"/>
      <c r="C973" s="1"/>
    </row>
    <row r="974" spans="1:3" ht="12.75" customHeight="1" x14ac:dyDescent="0.2">
      <c r="A974" s="1"/>
      <c r="B974" s="1"/>
      <c r="C974" s="1"/>
    </row>
    <row r="975" spans="1:3" ht="12.75" customHeight="1" x14ac:dyDescent="0.2">
      <c r="A975" s="1"/>
      <c r="B975" s="1"/>
      <c r="C975" s="1"/>
    </row>
    <row r="976" spans="1:3" ht="12.75" customHeight="1" x14ac:dyDescent="0.2">
      <c r="A976" s="1"/>
      <c r="B976" s="1"/>
      <c r="C976" s="1"/>
    </row>
    <row r="977" spans="1:3" ht="12.75" customHeight="1" x14ac:dyDescent="0.2">
      <c r="A977" s="1"/>
      <c r="B977" s="1"/>
      <c r="C977" s="1"/>
    </row>
    <row r="978" spans="1:3" ht="12.75" customHeight="1" x14ac:dyDescent="0.2">
      <c r="A978" s="1"/>
      <c r="B978" s="1"/>
      <c r="C978" s="1"/>
    </row>
    <row r="979" spans="1:3" ht="12.75" customHeight="1" x14ac:dyDescent="0.2">
      <c r="A979" s="1"/>
      <c r="B979" s="1"/>
      <c r="C979" s="1"/>
    </row>
    <row r="980" spans="1:3" ht="12.75" customHeight="1" x14ac:dyDescent="0.2">
      <c r="A980" s="1"/>
      <c r="B980" s="1"/>
      <c r="C980" s="1"/>
    </row>
    <row r="981" spans="1:3" ht="12.75" customHeight="1" x14ac:dyDescent="0.2">
      <c r="A981" s="1"/>
      <c r="B981" s="1"/>
      <c r="C981" s="1"/>
    </row>
    <row r="982" spans="1:3" ht="12.75" customHeight="1" x14ac:dyDescent="0.2">
      <c r="A982" s="1"/>
      <c r="B982" s="1"/>
      <c r="C982" s="1"/>
    </row>
    <row r="983" spans="1:3" ht="12.75" customHeight="1" x14ac:dyDescent="0.2">
      <c r="A983" s="1"/>
      <c r="B983" s="1"/>
      <c r="C983" s="1"/>
    </row>
    <row r="984" spans="1:3" ht="12.75" customHeight="1" x14ac:dyDescent="0.2">
      <c r="A984" s="1"/>
      <c r="B984" s="1"/>
      <c r="C984" s="1"/>
    </row>
    <row r="985" spans="1:3" ht="12.75" customHeight="1" x14ac:dyDescent="0.2">
      <c r="A985" s="1"/>
      <c r="B985" s="1"/>
      <c r="C985" s="1"/>
    </row>
    <row r="986" spans="1:3" ht="12.75" customHeight="1" x14ac:dyDescent="0.2">
      <c r="A986" s="1"/>
      <c r="B986" s="1"/>
      <c r="C986" s="1"/>
    </row>
    <row r="987" spans="1:3" ht="12.75" customHeight="1" x14ac:dyDescent="0.2">
      <c r="A987" s="1"/>
      <c r="B987" s="1"/>
      <c r="C987" s="1"/>
    </row>
    <row r="988" spans="1:3" ht="12.75" customHeight="1" x14ac:dyDescent="0.2">
      <c r="A988" s="1"/>
      <c r="B988" s="1"/>
      <c r="C988" s="1"/>
    </row>
    <row r="989" spans="1:3" ht="12.75" customHeight="1" x14ac:dyDescent="0.2">
      <c r="A989" s="1"/>
      <c r="B989" s="1"/>
      <c r="C989" s="1"/>
    </row>
    <row r="990" spans="1:3" ht="12.75" customHeight="1" x14ac:dyDescent="0.2">
      <c r="A990" s="1"/>
      <c r="B990" s="1"/>
      <c r="C990" s="1"/>
    </row>
    <row r="991" spans="1:3" ht="12.75" customHeight="1" x14ac:dyDescent="0.2">
      <c r="A991" s="1"/>
      <c r="B991" s="1"/>
      <c r="C991" s="1"/>
    </row>
    <row r="992" spans="1:3" ht="12.75" customHeight="1" x14ac:dyDescent="0.2">
      <c r="A992" s="1"/>
      <c r="B992" s="1"/>
      <c r="C992" s="1"/>
    </row>
    <row r="993" spans="1:3" ht="12.75" customHeight="1" x14ac:dyDescent="0.2">
      <c r="A993" s="1"/>
      <c r="B993" s="1"/>
      <c r="C993" s="1"/>
    </row>
    <row r="994" spans="1:3" ht="12.75" customHeight="1" x14ac:dyDescent="0.2">
      <c r="A994" s="1"/>
      <c r="B994" s="1"/>
      <c r="C994" s="1"/>
    </row>
    <row r="995" spans="1:3" ht="12.75" customHeight="1" x14ac:dyDescent="0.2">
      <c r="A995" s="1"/>
      <c r="B995" s="1"/>
      <c r="C995" s="1"/>
    </row>
    <row r="996" spans="1:3" ht="12.75" customHeight="1" x14ac:dyDescent="0.2">
      <c r="A996" s="1"/>
      <c r="B996" s="1"/>
      <c r="C996" s="1"/>
    </row>
    <row r="997" spans="1:3" ht="12.75" customHeight="1" x14ac:dyDescent="0.2">
      <c r="A997" s="1"/>
      <c r="B997" s="1"/>
      <c r="C997" s="1"/>
    </row>
    <row r="998" spans="1:3" ht="12.75" customHeight="1" x14ac:dyDescent="0.2">
      <c r="A998" s="1"/>
      <c r="B998" s="1"/>
      <c r="C998" s="1"/>
    </row>
    <row r="999" spans="1:3" ht="12.75" customHeight="1" x14ac:dyDescent="0.2">
      <c r="A999" s="1"/>
      <c r="B999" s="1"/>
      <c r="C999" s="1"/>
    </row>
    <row r="1000" spans="1:3" ht="12.75" customHeight="1" x14ac:dyDescent="0.2">
      <c r="A1000" s="1"/>
      <c r="B1000" s="1"/>
      <c r="C1000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97"/>
  <sheetViews>
    <sheetView workbookViewId="0">
      <selection activeCell="N1" sqref="N1"/>
    </sheetView>
  </sheetViews>
  <sheetFormatPr defaultRowHeight="12.75" x14ac:dyDescent="0.2"/>
  <cols>
    <col min="1" max="1" width="5" style="10" bestFit="1" customWidth="1"/>
    <col min="2" max="2" width="19.140625" style="10" bestFit="1" customWidth="1"/>
    <col min="3" max="3" width="29.85546875" style="10" bestFit="1" customWidth="1"/>
    <col min="4" max="4" width="18.28515625" style="10" customWidth="1"/>
    <col min="5" max="5" width="12.42578125" style="10" bestFit="1" customWidth="1"/>
    <col min="6" max="6" width="19" style="10" customWidth="1"/>
    <col min="7" max="7" width="20.28515625" style="10" bestFit="1" customWidth="1"/>
    <col min="8" max="8" width="23.42578125" style="10" bestFit="1" customWidth="1"/>
    <col min="9" max="9" width="23.140625" style="10" customWidth="1"/>
    <col min="10" max="10" width="25.5703125" style="10" bestFit="1" customWidth="1"/>
    <col min="11" max="11" width="26.42578125" style="10" customWidth="1"/>
  </cols>
  <sheetData>
    <row r="1" spans="1:11" x14ac:dyDescent="0.2">
      <c r="A1" s="8" t="s">
        <v>0</v>
      </c>
      <c r="B1" s="8" t="s">
        <v>27</v>
      </c>
      <c r="C1" s="8" t="s">
        <v>44</v>
      </c>
      <c r="D1" s="9" t="s">
        <v>54</v>
      </c>
      <c r="E1" s="8" t="s">
        <v>63</v>
      </c>
      <c r="F1" s="10" t="s">
        <v>64</v>
      </c>
      <c r="G1" s="9" t="s">
        <v>66</v>
      </c>
      <c r="H1" s="11" t="s">
        <v>67</v>
      </c>
      <c r="I1" s="10" t="s">
        <v>65</v>
      </c>
      <c r="J1" s="11" t="s">
        <v>69</v>
      </c>
      <c r="K1" s="11" t="s">
        <v>68</v>
      </c>
    </row>
    <row r="2" spans="1:11" ht="12.75" hidden="1" customHeight="1" x14ac:dyDescent="0.2">
      <c r="A2" s="8">
        <v>42</v>
      </c>
      <c r="B2" s="8"/>
      <c r="C2" s="8" t="s">
        <v>4</v>
      </c>
      <c r="D2" s="12">
        <v>44866</v>
      </c>
      <c r="E2" s="8">
        <v>36220</v>
      </c>
      <c r="F2" s="10">
        <f>IF(ISTEXT(Таблицаx_2[[#This Row],[Значение]]), 0, Таблицаx_2[[#This Row],[Значение]])</f>
        <v>36220</v>
      </c>
      <c r="G2" s="12">
        <v>44866</v>
      </c>
      <c r="H2" s="10" t="str">
        <f>IFERROR(VLOOKUP(Таблицаx_2[[#This Row],[id]],prolongations!A:C,2,)," ")</f>
        <v>ноябрь 2022</v>
      </c>
      <c r="I2" s="10">
        <f>IF(Таблицаx_2[[#This Row],[Месяц окончания]]=Таблицаx_2[[#This Row],[Месяц]],Таблицаx_2[[#This Row],[Значения числа]],0)</f>
        <v>36220</v>
      </c>
      <c r="J2" s="8">
        <f>IF(AND(Таблицаx_2[[#This Row],[Месяц окончания]]=Таблицаx_2[[#This Row],[Месяц]],Таблицаx_2[[#This Row],[id]]=A3,EDATE(Таблицаx_2[[#This Row],[Месяц]],1)=D3),F3,0)</f>
        <v>0</v>
      </c>
      <c r="K2" s="8">
        <f>IF(AND(Таблицаx_2[[#This Row],[Месяц окончания]]=Таблицаx_2[[#This Row],[Месяц]],Таблицаx_2[[#This Row],[id]]=A3,EDATE(Таблицаx_2[[#This Row],[Месяц]],2)=D3),F3,0)</f>
        <v>0</v>
      </c>
    </row>
    <row r="3" spans="1:11" ht="12.75" hidden="1" customHeight="1" x14ac:dyDescent="0.2">
      <c r="A3" s="8">
        <v>657</v>
      </c>
      <c r="B3" s="8" t="s">
        <v>45</v>
      </c>
      <c r="C3" s="8" t="s">
        <v>4</v>
      </c>
      <c r="D3" s="12">
        <v>44866</v>
      </c>
      <c r="E3" s="8" t="s">
        <v>46</v>
      </c>
      <c r="F3" s="10">
        <f>IF(ISTEXT(Таблицаx_2[[#This Row],[Значение]]), 0, Таблицаx_2[[#This Row],[Значение]])</f>
        <v>0</v>
      </c>
      <c r="G3" s="12">
        <v>44866</v>
      </c>
      <c r="H3" s="10" t="str">
        <f>IFERROR(VLOOKUP(Таблицаx_2[[#This Row],[id]],prolongations!A:C,2,)," ")</f>
        <v>ноябрь 2022</v>
      </c>
      <c r="I3" s="10">
        <f>IF(Таблицаx_2[[#This Row],[Месяц окончания]]=Таблицаx_2[[#This Row],[Месяц]],Таблицаx_2[[#This Row],[Значения числа]],0)</f>
        <v>0</v>
      </c>
      <c r="J3" s="8">
        <f>IF(AND(Таблицаx_2[[#This Row],[Месяц окончания]]=Таблицаx_2[[#This Row],[Месяц]],Таблицаx_2[[#This Row],[id]]=A4,EDATE(Таблицаx_2[[#This Row],[Месяц]],1)=D4),F4,0)</f>
        <v>0</v>
      </c>
      <c r="K3" s="8">
        <f>IF(AND(Таблицаx_2[[#This Row],[Месяц окончания]]=Таблицаx_2[[#This Row],[Месяц]],Таблицаx_2[[#This Row],[id]]=A4,EDATE(Таблицаx_2[[#This Row],[Месяц]],2)=D4),F4,0)</f>
        <v>0</v>
      </c>
    </row>
    <row r="4" spans="1:11" ht="12.75" hidden="1" customHeight="1" x14ac:dyDescent="0.2">
      <c r="A4" s="8">
        <v>657</v>
      </c>
      <c r="B4" s="8" t="s">
        <v>47</v>
      </c>
      <c r="C4" s="8" t="s">
        <v>4</v>
      </c>
      <c r="D4" s="12">
        <v>44866</v>
      </c>
      <c r="E4" s="8" t="s">
        <v>46</v>
      </c>
      <c r="F4" s="10">
        <f>IF(ISTEXT(Таблицаx_2[[#This Row],[Значение]]), 0, Таблицаx_2[[#This Row],[Значение]])</f>
        <v>0</v>
      </c>
      <c r="G4" s="12">
        <v>44866</v>
      </c>
      <c r="H4" s="10" t="str">
        <f>IFERROR(VLOOKUP(Таблицаx_2[[#This Row],[id]],prolongations!A:C,2,)," ")</f>
        <v>ноябрь 2022</v>
      </c>
      <c r="I4" s="10">
        <f>IF(Таблицаx_2[[#This Row],[Месяц окончания]]=Таблицаx_2[[#This Row],[Месяц]],Таблицаx_2[[#This Row],[Значения числа]],0)</f>
        <v>0</v>
      </c>
      <c r="J4" s="8">
        <f>IF(AND(Таблицаx_2[[#This Row],[Месяц окончания]]=Таблицаx_2[[#This Row],[Месяц]],Таблицаx_2[[#This Row],[id]]=A5,EDATE(Таблицаx_2[[#This Row],[Месяц]],1)=D5),F5,0)</f>
        <v>0</v>
      </c>
      <c r="K4" s="8">
        <f>IF(AND(Таблицаx_2[[#This Row],[Месяц окончания]]=Таблицаx_2[[#This Row],[Месяц]],Таблицаx_2[[#This Row],[id]]=A5,EDATE(Таблицаx_2[[#This Row],[Месяц]],2)=D5),F5,0)</f>
        <v>0</v>
      </c>
    </row>
    <row r="5" spans="1:11" ht="12.75" hidden="1" customHeight="1" x14ac:dyDescent="0.2">
      <c r="A5" s="8">
        <v>594</v>
      </c>
      <c r="B5" s="8"/>
      <c r="C5" s="8" t="s">
        <v>4</v>
      </c>
      <c r="D5" s="12">
        <v>44866</v>
      </c>
      <c r="E5" s="8" t="s">
        <v>46</v>
      </c>
      <c r="F5" s="10">
        <f>IF(ISTEXT(Таблицаx_2[[#This Row],[Значение]]), 0, Таблицаx_2[[#This Row],[Значение]])</f>
        <v>0</v>
      </c>
      <c r="G5" s="12">
        <v>44866</v>
      </c>
      <c r="H5" s="10" t="str">
        <f>IFERROR(VLOOKUP(Таблицаx_2[[#This Row],[id]],prolongations!A:C,2,)," ")</f>
        <v>ноябрь 2022</v>
      </c>
      <c r="I5" s="10">
        <f>IF(Таблицаx_2[[#This Row],[Месяц окончания]]=Таблицаx_2[[#This Row],[Месяц]],Таблицаx_2[[#This Row],[Значения числа]],0)</f>
        <v>0</v>
      </c>
      <c r="J5" s="8">
        <f>IF(AND(Таблицаx_2[[#This Row],[Месяц окончания]]=Таблицаx_2[[#This Row],[Месяц]],Таблицаx_2[[#This Row],[id]]=A6,EDATE(Таблицаx_2[[#This Row],[Месяц]],1)=D6),F6,0)</f>
        <v>0</v>
      </c>
      <c r="K5" s="8">
        <f>IF(AND(Таблицаx_2[[#This Row],[Месяц окончания]]=Таблицаx_2[[#This Row],[Месяц]],Таблицаx_2[[#This Row],[id]]=A6,EDATE(Таблицаx_2[[#This Row],[Месяц]],2)=D6),F6,0)</f>
        <v>0</v>
      </c>
    </row>
    <row r="6" spans="1:11" ht="12.75" hidden="1" customHeight="1" x14ac:dyDescent="0.2">
      <c r="A6" s="8">
        <v>665</v>
      </c>
      <c r="B6" s="8"/>
      <c r="C6" s="8" t="s">
        <v>4</v>
      </c>
      <c r="D6" s="12">
        <v>44866</v>
      </c>
      <c r="E6" s="8">
        <v>10000</v>
      </c>
      <c r="F6" s="10">
        <f>IF(ISTEXT(Таблицаx_2[[#This Row],[Значение]]), 0, Таблицаx_2[[#This Row],[Значение]])</f>
        <v>10000</v>
      </c>
      <c r="G6" s="12">
        <v>44866</v>
      </c>
      <c r="H6" s="10" t="str">
        <f>IFERROR(VLOOKUP(Таблицаx_2[[#This Row],[id]],prolongations!A:C,2,)," ")</f>
        <v>ноябрь 2022</v>
      </c>
      <c r="I6" s="10">
        <f>IF(Таблицаx_2[[#This Row],[Месяц окончания]]=Таблицаx_2[[#This Row],[Месяц]],Таблицаx_2[[#This Row],[Значения числа]],0)</f>
        <v>10000</v>
      </c>
      <c r="J6" s="8">
        <f>IF(AND(Таблицаx_2[[#This Row],[Месяц окончания]]=Таблицаx_2[[#This Row],[Месяц]],Таблицаx_2[[#This Row],[id]]=A7,EDATE(Таблицаx_2[[#This Row],[Месяц]],1)=D7),F7,0)</f>
        <v>0</v>
      </c>
      <c r="K6" s="8">
        <f>IF(AND(Таблицаx_2[[#This Row],[Месяц окончания]]=Таблицаx_2[[#This Row],[Месяц]],Таблицаx_2[[#This Row],[id]]=A7,EDATE(Таблицаx_2[[#This Row],[Месяц]],2)=D7),F7,0)</f>
        <v>0</v>
      </c>
    </row>
    <row r="7" spans="1:11" ht="12.75" hidden="1" customHeight="1" x14ac:dyDescent="0.2">
      <c r="A7" s="8">
        <v>637</v>
      </c>
      <c r="B7" s="8"/>
      <c r="C7" s="8" t="s">
        <v>6</v>
      </c>
      <c r="D7" s="12">
        <v>44866</v>
      </c>
      <c r="E7" s="8">
        <v>38045</v>
      </c>
      <c r="F7" s="10">
        <f>IF(ISTEXT(Таблицаx_2[[#This Row],[Значение]]), 0, Таблицаx_2[[#This Row],[Значение]])</f>
        <v>38045</v>
      </c>
      <c r="G7" s="12">
        <v>44866</v>
      </c>
      <c r="H7" s="10" t="str">
        <f>IFERROR(VLOOKUP(Таблицаx_2[[#This Row],[id]],prolongations!A:C,2,)," ")</f>
        <v>ноябрь 2022</v>
      </c>
      <c r="I7" s="10">
        <f>IF(Таблицаx_2[[#This Row],[Месяц окончания]]=Таблицаx_2[[#This Row],[Месяц]],Таблицаx_2[[#This Row],[Значения числа]],0)</f>
        <v>38045</v>
      </c>
      <c r="J7" s="8">
        <f>IF(AND(Таблицаx_2[[#This Row],[Месяц окончания]]=Таблицаx_2[[#This Row],[Месяц]],Таблицаx_2[[#This Row],[id]]=A8,EDATE(Таблицаx_2[[#This Row],[Месяц]],1)=D8),F8,0)</f>
        <v>0</v>
      </c>
      <c r="K7" s="8">
        <f>IF(AND(Таблицаx_2[[#This Row],[Месяц окончания]]=Таблицаx_2[[#This Row],[Месяц]],Таблицаx_2[[#This Row],[id]]=A8,EDATE(Таблицаx_2[[#This Row],[Месяц]],2)=D8),F8,0)</f>
        <v>0</v>
      </c>
    </row>
    <row r="8" spans="1:11" ht="12.75" hidden="1" customHeight="1" x14ac:dyDescent="0.2">
      <c r="A8" s="8">
        <v>578</v>
      </c>
      <c r="B8" s="8"/>
      <c r="C8" s="8" t="s">
        <v>8</v>
      </c>
      <c r="D8" s="12">
        <v>44866</v>
      </c>
      <c r="E8" s="8">
        <v>82800</v>
      </c>
      <c r="F8" s="10">
        <f>IF(ISTEXT(Таблицаx_2[[#This Row],[Значение]]), 0, Таблицаx_2[[#This Row],[Значение]])</f>
        <v>82800</v>
      </c>
      <c r="G8" s="12">
        <v>44866</v>
      </c>
      <c r="H8" s="10" t="str">
        <f>IFERROR(VLOOKUP(Таблицаx_2[[#This Row],[id]],prolongations!A:C,2,)," ")</f>
        <v>ноябрь 2022</v>
      </c>
      <c r="I8" s="10">
        <f>IF(Таблицаx_2[[#This Row],[Месяц окончания]]=Таблицаx_2[[#This Row],[Месяц]],Таблицаx_2[[#This Row],[Значения числа]],0)</f>
        <v>82800</v>
      </c>
      <c r="J8" s="8">
        <f>IF(AND(Таблицаx_2[[#This Row],[Месяц окончания]]=Таблицаx_2[[#This Row],[Месяц]],Таблицаx_2[[#This Row],[id]]=A9,EDATE(Таблицаx_2[[#This Row],[Месяц]],1)=D9),F9,0)</f>
        <v>0</v>
      </c>
      <c r="K8" s="8">
        <f>IF(AND(Таблицаx_2[[#This Row],[Месяц окончания]]=Таблицаx_2[[#This Row],[Месяц]],Таблицаx_2[[#This Row],[id]]=A9,EDATE(Таблицаx_2[[#This Row],[Месяц]],2)=D9),F9,0)</f>
        <v>0</v>
      </c>
    </row>
    <row r="9" spans="1:11" ht="12.75" hidden="1" customHeight="1" x14ac:dyDescent="0.2">
      <c r="A9" s="8">
        <v>579</v>
      </c>
      <c r="B9" s="8"/>
      <c r="C9" s="8" t="s">
        <v>4</v>
      </c>
      <c r="D9" s="12">
        <v>44866</v>
      </c>
      <c r="E9" s="8" t="s">
        <v>48</v>
      </c>
      <c r="F9" s="10">
        <f>IF(ISTEXT(Таблицаx_2[[#This Row],[Значение]]), 0, Таблицаx_2[[#This Row],[Значение]])</f>
        <v>0</v>
      </c>
      <c r="G9" s="12">
        <v>44866</v>
      </c>
      <c r="H9" s="10" t="str">
        <f>IFERROR(VLOOKUP(Таблицаx_2[[#This Row],[id]],prolongations!A:C,2,)," ")</f>
        <v>ноябрь 2022</v>
      </c>
      <c r="I9" s="10">
        <f>IF(Таблицаx_2[[#This Row],[Месяц окончания]]=Таблицаx_2[[#This Row],[Месяц]],Таблицаx_2[[#This Row],[Значения числа]],0)</f>
        <v>0</v>
      </c>
      <c r="J9" s="8">
        <f>IF(AND(Таблицаx_2[[#This Row],[Месяц окончания]]=Таблицаx_2[[#This Row],[Месяц]],Таблицаx_2[[#This Row],[id]]=A10,EDATE(Таблицаx_2[[#This Row],[Месяц]],1)=D10),F10,0)</f>
        <v>0</v>
      </c>
      <c r="K9" s="8">
        <f>IF(AND(Таблицаx_2[[#This Row],[Месяц окончания]]=Таблицаx_2[[#This Row],[Месяц]],Таблицаx_2[[#This Row],[id]]=A10,EDATE(Таблицаx_2[[#This Row],[Месяц]],2)=D10),F10,0)</f>
        <v>0</v>
      </c>
    </row>
    <row r="10" spans="1:11" ht="12.75" hidden="1" customHeight="1" x14ac:dyDescent="0.2">
      <c r="A10" s="8">
        <v>592</v>
      </c>
      <c r="B10" s="8" t="s">
        <v>45</v>
      </c>
      <c r="C10" s="8" t="s">
        <v>4</v>
      </c>
      <c r="D10" s="12">
        <v>44866</v>
      </c>
      <c r="E10" s="8">
        <v>92302</v>
      </c>
      <c r="F10" s="10">
        <f>IF(ISTEXT(Таблицаx_2[[#This Row],[Значение]]), 0, Таблицаx_2[[#This Row],[Значение]])</f>
        <v>92302</v>
      </c>
      <c r="G10" s="12">
        <v>44866</v>
      </c>
      <c r="H10" s="10" t="str">
        <f>IFERROR(VLOOKUP(Таблицаx_2[[#This Row],[id]],prolongations!A:C,2,)," ")</f>
        <v>ноябрь 2022</v>
      </c>
      <c r="I10" s="10">
        <f>IF(Таблицаx_2[[#This Row],[Месяц окончания]]=Таблицаx_2[[#This Row],[Месяц]],Таблицаx_2[[#This Row],[Значения числа]],0)</f>
        <v>92302</v>
      </c>
      <c r="J10" s="8">
        <f>IF(AND(Таблицаx_2[[#This Row],[Месяц окончания]]=Таблицаx_2[[#This Row],[Месяц]],Таблицаx_2[[#This Row],[id]]=A11,EDATE(Таблицаx_2[[#This Row],[Месяц]],1)=D11),F11,0)</f>
        <v>0</v>
      </c>
      <c r="K10" s="8">
        <f>IF(AND(Таблицаx_2[[#This Row],[Месяц окончания]]=Таблицаx_2[[#This Row],[Месяц]],Таблицаx_2[[#This Row],[id]]=A11,EDATE(Таблицаx_2[[#This Row],[Месяц]],2)=D11),F11,0)</f>
        <v>0</v>
      </c>
    </row>
    <row r="11" spans="1:11" ht="12.75" hidden="1" customHeight="1" x14ac:dyDescent="0.2">
      <c r="A11" s="8">
        <v>592</v>
      </c>
      <c r="B11" s="8" t="s">
        <v>47</v>
      </c>
      <c r="C11" s="8" t="s">
        <v>4</v>
      </c>
      <c r="D11" s="12">
        <v>44866</v>
      </c>
      <c r="E11" s="8">
        <v>12340</v>
      </c>
      <c r="F11" s="10">
        <f>IF(ISTEXT(Таблицаx_2[[#This Row],[Значение]]), 0, Таблицаx_2[[#This Row],[Значение]])</f>
        <v>12340</v>
      </c>
      <c r="G11" s="12">
        <v>44866</v>
      </c>
      <c r="H11" s="10" t="str">
        <f>IFERROR(VLOOKUP(Таблицаx_2[[#This Row],[id]],prolongations!A:C,2,)," ")</f>
        <v>ноябрь 2022</v>
      </c>
      <c r="I11" s="10">
        <f>IF(Таблицаx_2[[#This Row],[Месяц окончания]]=Таблицаx_2[[#This Row],[Месяц]],Таблицаx_2[[#This Row],[Значения числа]],0)</f>
        <v>12340</v>
      </c>
      <c r="J11" s="8">
        <f>IF(AND(Таблицаx_2[[#This Row],[Месяц окончания]]=Таблицаx_2[[#This Row],[Месяц]],Таблицаx_2[[#This Row],[id]]=A12,EDATE(Таблицаx_2[[#This Row],[Месяц]],1)=D12),F12,0)</f>
        <v>0</v>
      </c>
      <c r="K11" s="8">
        <f>IF(AND(Таблицаx_2[[#This Row],[Месяц окончания]]=Таблицаx_2[[#This Row],[Месяц]],Таблицаx_2[[#This Row],[id]]=A12,EDATE(Таблицаx_2[[#This Row],[Месяц]],2)=D12),F12,0)</f>
        <v>0</v>
      </c>
    </row>
    <row r="12" spans="1:11" ht="12.75" hidden="1" customHeight="1" x14ac:dyDescent="0.2">
      <c r="A12" s="8">
        <v>666</v>
      </c>
      <c r="B12" s="8"/>
      <c r="C12" s="8" t="s">
        <v>4</v>
      </c>
      <c r="D12" s="12">
        <v>44866</v>
      </c>
      <c r="E12" s="8">
        <v>110000</v>
      </c>
      <c r="F12" s="10">
        <f>IF(ISTEXT(Таблицаx_2[[#This Row],[Значение]]), 0, Таблицаx_2[[#This Row],[Значение]])</f>
        <v>110000</v>
      </c>
      <c r="G12" s="12">
        <v>44866</v>
      </c>
      <c r="H12" s="10" t="str">
        <f>IFERROR(VLOOKUP(Таблицаx_2[[#This Row],[id]],prolongations!A:C,2,)," ")</f>
        <v>ноябрь 2022</v>
      </c>
      <c r="I12" s="10">
        <f>IF(Таблицаx_2[[#This Row],[Месяц окончания]]=Таблицаx_2[[#This Row],[Месяц]],Таблицаx_2[[#This Row],[Значения числа]],0)</f>
        <v>110000</v>
      </c>
      <c r="J12" s="8">
        <f>IF(AND(Таблицаx_2[[#This Row],[Месяц окончания]]=Таблицаx_2[[#This Row],[Месяц]],Таблицаx_2[[#This Row],[id]]=A13,EDATE(Таблицаx_2[[#This Row],[Месяц]],1)=D13),F13,0)</f>
        <v>0</v>
      </c>
      <c r="K12" s="8">
        <f>IF(AND(Таблицаx_2[[#This Row],[Месяц окончания]]=Таблицаx_2[[#This Row],[Месяц]],Таблицаx_2[[#This Row],[id]]=A13,EDATE(Таблицаx_2[[#This Row],[Месяц]],2)=D13),F13,0)</f>
        <v>0</v>
      </c>
    </row>
    <row r="13" spans="1:11" ht="12.75" hidden="1" customHeight="1" x14ac:dyDescent="0.2">
      <c r="A13" s="8">
        <v>620</v>
      </c>
      <c r="B13" s="8"/>
      <c r="C13" s="8" t="s">
        <v>4</v>
      </c>
      <c r="D13" s="12">
        <v>44866</v>
      </c>
      <c r="E13" s="8" t="s">
        <v>48</v>
      </c>
      <c r="F13" s="10">
        <f>IF(ISTEXT(Таблицаx_2[[#This Row],[Значение]]), 0, Таблицаx_2[[#This Row],[Значение]])</f>
        <v>0</v>
      </c>
      <c r="G13" s="12">
        <v>44866</v>
      </c>
      <c r="H13" s="10" t="str">
        <f>IFERROR(VLOOKUP(Таблицаx_2[[#This Row],[id]],prolongations!A:C,2,)," ")</f>
        <v>ноябрь 2022</v>
      </c>
      <c r="I13" s="10">
        <f>IF(Таблицаx_2[[#This Row],[Месяц окончания]]=Таблицаx_2[[#This Row],[Месяц]],Таблицаx_2[[#This Row],[Значения числа]],0)</f>
        <v>0</v>
      </c>
      <c r="J13" s="8">
        <f>IF(AND(Таблицаx_2[[#This Row],[Месяц окончания]]=Таблицаx_2[[#This Row],[Месяц]],Таблицаx_2[[#This Row],[id]]=A14,EDATE(Таблицаx_2[[#This Row],[Месяц]],1)=D14),F14,0)</f>
        <v>0</v>
      </c>
      <c r="K13" s="8">
        <f>IF(AND(Таблицаx_2[[#This Row],[Месяц окончания]]=Таблицаx_2[[#This Row],[Месяц]],Таблицаx_2[[#This Row],[id]]=A14,EDATE(Таблицаx_2[[#This Row],[Месяц]],2)=D14),F14,0)</f>
        <v>0</v>
      </c>
    </row>
    <row r="14" spans="1:11" ht="12.75" hidden="1" customHeight="1" x14ac:dyDescent="0.2">
      <c r="A14" s="8">
        <v>704</v>
      </c>
      <c r="B14" s="8" t="s">
        <v>45</v>
      </c>
      <c r="C14" s="8" t="s">
        <v>5</v>
      </c>
      <c r="D14" s="12">
        <v>44866</v>
      </c>
      <c r="E14" s="8">
        <v>35365</v>
      </c>
      <c r="F14" s="10">
        <f>IF(ISTEXT(Таблицаx_2[[#This Row],[Значение]]), 0, Таблицаx_2[[#This Row],[Значение]])</f>
        <v>35365</v>
      </c>
      <c r="G14" s="12">
        <v>44866</v>
      </c>
      <c r="H14" s="10" t="str">
        <f>IFERROR(VLOOKUP(Таблицаx_2[[#This Row],[id]],prolongations!A:C,2,)," ")</f>
        <v>ноябрь 2022</v>
      </c>
      <c r="I14" s="10">
        <f>IF(Таблицаx_2[[#This Row],[Месяц окончания]]=Таблицаx_2[[#This Row],[Месяц]],Таблицаx_2[[#This Row],[Значения числа]],0)</f>
        <v>35365</v>
      </c>
      <c r="J14" s="8">
        <f>IF(AND(Таблицаx_2[[#This Row],[Месяц окончания]]=Таблицаx_2[[#This Row],[Месяц]],Таблицаx_2[[#This Row],[id]]=A15,EDATE(Таблицаx_2[[#This Row],[Месяц]],1)=D15),F15,0)</f>
        <v>0</v>
      </c>
      <c r="K14" s="8">
        <f>IF(AND(Таблицаx_2[[#This Row],[Месяц окончания]]=Таблицаx_2[[#This Row],[Месяц]],Таблицаx_2[[#This Row],[id]]=A15,EDATE(Таблицаx_2[[#This Row],[Месяц]],2)=D15),F15,0)</f>
        <v>0</v>
      </c>
    </row>
    <row r="15" spans="1:11" ht="12.75" hidden="1" customHeight="1" x14ac:dyDescent="0.2">
      <c r="A15" s="8">
        <v>704</v>
      </c>
      <c r="B15" s="8" t="s">
        <v>47</v>
      </c>
      <c r="C15" s="8" t="s">
        <v>5</v>
      </c>
      <c r="D15" s="12">
        <v>44866</v>
      </c>
      <c r="E15" s="8">
        <v>945</v>
      </c>
      <c r="F15" s="10">
        <f>IF(ISTEXT(Таблицаx_2[[#This Row],[Значение]]), 0, Таблицаx_2[[#This Row],[Значение]])</f>
        <v>945</v>
      </c>
      <c r="G15" s="12">
        <v>44866</v>
      </c>
      <c r="H15" s="10" t="str">
        <f>IFERROR(VLOOKUP(Таблицаx_2[[#This Row],[id]],prolongations!A:C,2,)," ")</f>
        <v>ноябрь 2022</v>
      </c>
      <c r="I15" s="10">
        <f>IF(Таблицаx_2[[#This Row],[Месяц окончания]]=Таблицаx_2[[#This Row],[Месяц]],Таблицаx_2[[#This Row],[Значения числа]],0)</f>
        <v>945</v>
      </c>
      <c r="J15" s="8">
        <f>IF(AND(Таблицаx_2[[#This Row],[Месяц окончания]]=Таблицаx_2[[#This Row],[Месяц]],Таблицаx_2[[#This Row],[id]]=A16,EDATE(Таблицаx_2[[#This Row],[Месяц]],1)=D16),F16,0)</f>
        <v>0</v>
      </c>
      <c r="K15" s="8">
        <f>IF(AND(Таблицаx_2[[#This Row],[Месяц окончания]]=Таблицаx_2[[#This Row],[Месяц]],Таблицаx_2[[#This Row],[id]]=A16,EDATE(Таблицаx_2[[#This Row],[Месяц]],2)=D16),F16,0)</f>
        <v>0</v>
      </c>
    </row>
    <row r="16" spans="1:11" ht="12.75" hidden="1" customHeight="1" x14ac:dyDescent="0.2">
      <c r="A16" s="8">
        <v>704</v>
      </c>
      <c r="B16" s="8" t="s">
        <v>47</v>
      </c>
      <c r="C16" s="8" t="s">
        <v>5</v>
      </c>
      <c r="D16" s="12">
        <v>44866</v>
      </c>
      <c r="E16" s="8">
        <v>4715</v>
      </c>
      <c r="F16" s="10">
        <f>IF(ISTEXT(Таблицаx_2[[#This Row],[Значение]]), 0, Таблицаx_2[[#This Row],[Значение]])</f>
        <v>4715</v>
      </c>
      <c r="G16" s="12">
        <v>44866</v>
      </c>
      <c r="H16" s="10" t="str">
        <f>IFERROR(VLOOKUP(Таблицаx_2[[#This Row],[id]],prolongations!A:C,2,)," ")</f>
        <v>ноябрь 2022</v>
      </c>
      <c r="I16" s="10">
        <f>IF(Таблицаx_2[[#This Row],[Месяц окончания]]=Таблицаx_2[[#This Row],[Месяц]],Таблицаx_2[[#This Row],[Значения числа]],0)</f>
        <v>4715</v>
      </c>
      <c r="J16" s="8">
        <f>IF(AND(Таблицаx_2[[#This Row],[Месяц окончания]]=Таблицаx_2[[#This Row],[Месяц]],Таблицаx_2[[#This Row],[id]]=A17,EDATE(Таблицаx_2[[#This Row],[Месяц]],1)=D17),F17,0)</f>
        <v>0</v>
      </c>
      <c r="K16" s="8">
        <f>IF(AND(Таблицаx_2[[#This Row],[Месяц окончания]]=Таблицаx_2[[#This Row],[Месяц]],Таблицаx_2[[#This Row],[id]]=A17,EDATE(Таблицаx_2[[#This Row],[Месяц]],2)=D17),F17,0)</f>
        <v>0</v>
      </c>
    </row>
    <row r="17" spans="1:11" ht="12.75" hidden="1" customHeight="1" x14ac:dyDescent="0.2">
      <c r="A17" s="8">
        <v>379</v>
      </c>
      <c r="B17" s="8"/>
      <c r="C17" s="8" t="s">
        <v>7</v>
      </c>
      <c r="D17" s="12">
        <v>44866</v>
      </c>
      <c r="E17" s="8">
        <v>55195</v>
      </c>
      <c r="F17" s="10">
        <f>IF(ISTEXT(Таблицаx_2[[#This Row],[Значение]]), 0, Таблицаx_2[[#This Row],[Значение]])</f>
        <v>55195</v>
      </c>
      <c r="G17" s="12">
        <v>44896</v>
      </c>
      <c r="H17" s="10" t="str">
        <f>IFERROR(VLOOKUP(Таблицаx_2[[#This Row],[id]],prolongations!A:C,2,)," ")</f>
        <v>декабрь 2022</v>
      </c>
      <c r="I17" s="10">
        <f>IF(Таблицаx_2[[#This Row],[Месяц окончания]]=Таблицаx_2[[#This Row],[Месяц]],Таблицаx_2[[#This Row],[Значения числа]],0)</f>
        <v>0</v>
      </c>
      <c r="J17" s="8">
        <f>IF(AND(Таблицаx_2[[#This Row],[Месяц окончания]]=Таблицаx_2[[#This Row],[Месяц]],Таблицаx_2[[#This Row],[id]]=A18,EDATE(Таблицаx_2[[#This Row],[Месяц]],1)=D18),F18,0)</f>
        <v>0</v>
      </c>
      <c r="K17" s="8">
        <f>IF(AND(Таблицаx_2[[#This Row],[Месяц окончания]]=Таблицаx_2[[#This Row],[Месяц]],Таблицаx_2[[#This Row],[id]]=A18,EDATE(Таблицаx_2[[#This Row],[Месяц]],2)=D18),F18,0)</f>
        <v>0</v>
      </c>
    </row>
    <row r="18" spans="1:11" hidden="1" x14ac:dyDescent="0.2">
      <c r="A18" s="8">
        <v>379</v>
      </c>
      <c r="B18" s="8"/>
      <c r="C18" s="8" t="s">
        <v>7</v>
      </c>
      <c r="D18" s="12">
        <v>44896</v>
      </c>
      <c r="E18" s="8">
        <v>55195</v>
      </c>
      <c r="F18" s="10">
        <f>IF(ISTEXT(Таблицаx_2[[#This Row],[Значение]]), 0, Таблицаx_2[[#This Row],[Значение]])</f>
        <v>55195</v>
      </c>
      <c r="G18" s="12">
        <v>44896</v>
      </c>
      <c r="H18" s="10" t="str">
        <f>IFERROR(VLOOKUP(Таблицаx_2[[#This Row],[id]],prolongations!A:C,2,)," ")</f>
        <v>декабрь 2022</v>
      </c>
      <c r="I18" s="10">
        <f>IF(Таблицаx_2[[#This Row],[Месяц окончания]]=Таблицаx_2[[#This Row],[Месяц]],Таблицаx_2[[#This Row],[Значения числа]],0)</f>
        <v>55195</v>
      </c>
      <c r="J18" s="8">
        <f>IF(AND(Таблицаx_2[[#This Row],[Месяц окончания]]=Таблицаx_2[[#This Row],[Месяц]],Таблицаx_2[[#This Row],[id]]=A19,EDATE(Таблицаx_2[[#This Row],[Месяц]],1)=D19),F19,0)</f>
        <v>0</v>
      </c>
      <c r="K18" s="8">
        <f>IF(AND(Таблицаx_2[[#This Row],[Месяц окончания]]=Таблицаx_2[[#This Row],[Месяц]],Таблицаx_2[[#This Row],[id]]=A19,EDATE(Таблицаx_2[[#This Row],[Месяц]],2)=D19),F19,0)</f>
        <v>0</v>
      </c>
    </row>
    <row r="19" spans="1:11" ht="12.75" hidden="1" customHeight="1" x14ac:dyDescent="0.2">
      <c r="A19" s="8">
        <v>31</v>
      </c>
      <c r="B19" s="8"/>
      <c r="C19" s="8" t="s">
        <v>4</v>
      </c>
      <c r="D19" s="12">
        <v>44866</v>
      </c>
      <c r="E19" s="8">
        <v>55100</v>
      </c>
      <c r="F19" s="10">
        <f>IF(ISTEXT(Таблицаx_2[[#This Row],[Значение]]), 0, Таблицаx_2[[#This Row],[Значение]])</f>
        <v>55100</v>
      </c>
      <c r="G19" s="12">
        <v>44896</v>
      </c>
      <c r="H19" s="10" t="str">
        <f>IFERROR(VLOOKUP(Таблицаx_2[[#This Row],[id]],prolongations!A:C,2,)," ")</f>
        <v>декабрь 2022</v>
      </c>
      <c r="I19" s="10">
        <f>IF(Таблицаx_2[[#This Row],[Месяц окончания]]=Таблицаx_2[[#This Row],[Месяц]],Таблицаx_2[[#This Row],[Значения числа]],0)</f>
        <v>0</v>
      </c>
      <c r="J19" s="8">
        <f>IF(AND(Таблицаx_2[[#This Row],[Месяц окончания]]=Таблицаx_2[[#This Row],[Месяц]],Таблицаx_2[[#This Row],[id]]=A20,EDATE(Таблицаx_2[[#This Row],[Месяц]],1)=D20),F20,0)</f>
        <v>0</v>
      </c>
      <c r="K19" s="8">
        <f>IF(AND(Таблицаx_2[[#This Row],[Месяц окончания]]=Таблицаx_2[[#This Row],[Месяц]],Таблицаx_2[[#This Row],[id]]=A20,EDATE(Таблицаx_2[[#This Row],[Месяц]],2)=D20),F20,0)</f>
        <v>0</v>
      </c>
    </row>
    <row r="20" spans="1:11" hidden="1" x14ac:dyDescent="0.2">
      <c r="A20" s="8">
        <v>31</v>
      </c>
      <c r="B20" s="8"/>
      <c r="C20" s="8" t="s">
        <v>4</v>
      </c>
      <c r="D20" s="12">
        <v>44896</v>
      </c>
      <c r="E20" s="8">
        <v>55100</v>
      </c>
      <c r="F20" s="10">
        <f>IF(ISTEXT(Таблицаx_2[[#This Row],[Значение]]), 0, Таблицаx_2[[#This Row],[Значение]])</f>
        <v>55100</v>
      </c>
      <c r="G20" s="12">
        <v>44896</v>
      </c>
      <c r="H20" s="10" t="str">
        <f>IFERROR(VLOOKUP(Таблицаx_2[[#This Row],[id]],prolongations!A:C,2,)," ")</f>
        <v>декабрь 2022</v>
      </c>
      <c r="I20" s="10">
        <f>IF(Таблицаx_2[[#This Row],[Месяц окончания]]=Таблицаx_2[[#This Row],[Месяц]],Таблицаx_2[[#This Row],[Значения числа]],0)</f>
        <v>55100</v>
      </c>
      <c r="J20" s="8">
        <f>IF(AND(Таблицаx_2[[#This Row],[Месяц окончания]]=Таблицаx_2[[#This Row],[Месяц]],Таблицаx_2[[#This Row],[id]]=A21,EDATE(Таблицаx_2[[#This Row],[Месяц]],1)=D21),F21,0)</f>
        <v>0</v>
      </c>
      <c r="K20" s="8">
        <f>IF(AND(Таблицаx_2[[#This Row],[Месяц окончания]]=Таблицаx_2[[#This Row],[Месяц]],Таблицаx_2[[#This Row],[id]]=A21,EDATE(Таблицаx_2[[#This Row],[Месяц]],2)=D21),F21,0)</f>
        <v>44775</v>
      </c>
    </row>
    <row r="21" spans="1:11" ht="12.75" hidden="1" customHeight="1" x14ac:dyDescent="0.2">
      <c r="A21" s="8">
        <v>31</v>
      </c>
      <c r="B21" s="8"/>
      <c r="C21" s="8" t="s">
        <v>4</v>
      </c>
      <c r="D21" s="12">
        <v>44958</v>
      </c>
      <c r="E21" s="8">
        <v>44775</v>
      </c>
      <c r="F21" s="10">
        <f>IF(ISTEXT(Таблицаx_2[[#This Row],[Значение]]), 0, Таблицаx_2[[#This Row],[Значение]])</f>
        <v>44775</v>
      </c>
      <c r="G21" s="12">
        <v>44896</v>
      </c>
      <c r="H21" s="10" t="str">
        <f>IFERROR(VLOOKUP(Таблицаx_2[[#This Row],[id]],prolongations!A:C,2,)," ")</f>
        <v>декабрь 2022</v>
      </c>
      <c r="I21" s="10">
        <f>IF(Таблицаx_2[[#This Row],[Месяц окончания]]=Таблицаx_2[[#This Row],[Месяц]],Таблицаx_2[[#This Row],[Значения числа]],0)</f>
        <v>0</v>
      </c>
      <c r="J21" s="8">
        <f>IF(AND(Таблицаx_2[[#This Row],[Месяц окончания]]=Таблицаx_2[[#This Row],[Месяц]],Таблицаx_2[[#This Row],[id]]=A22,EDATE(Таблицаx_2[[#This Row],[Месяц]],1)=D22),F22,0)</f>
        <v>0</v>
      </c>
      <c r="K21" s="8">
        <f>IF(AND(Таблицаx_2[[#This Row],[Месяц окончания]]=Таблицаx_2[[#This Row],[Месяц]],Таблицаx_2[[#This Row],[id]]=A22,EDATE(Таблицаx_2[[#This Row],[Месяц]],2)=D22),F22,0)</f>
        <v>0</v>
      </c>
    </row>
    <row r="22" spans="1:11" ht="12.75" hidden="1" customHeight="1" x14ac:dyDescent="0.2">
      <c r="A22" s="8">
        <v>31</v>
      </c>
      <c r="B22" s="8"/>
      <c r="C22" s="8" t="s">
        <v>4</v>
      </c>
      <c r="D22" s="12">
        <v>44986</v>
      </c>
      <c r="E22" s="8">
        <v>44775</v>
      </c>
      <c r="F22" s="10">
        <f>IF(ISTEXT(Таблицаx_2[[#This Row],[Значение]]), 0, Таблицаx_2[[#This Row],[Значение]])</f>
        <v>44775</v>
      </c>
      <c r="G22" s="12">
        <v>44896</v>
      </c>
      <c r="H22" s="10" t="str">
        <f>IFERROR(VLOOKUP(Таблицаx_2[[#This Row],[id]],prolongations!A:C,2,)," ")</f>
        <v>декабрь 2022</v>
      </c>
      <c r="I22" s="10">
        <f>IF(Таблицаx_2[[#This Row],[Месяц окончания]]=Таблицаx_2[[#This Row],[Месяц]],Таблицаx_2[[#This Row],[Значения числа]],0)</f>
        <v>0</v>
      </c>
      <c r="J22" s="8">
        <f>IF(AND(Таблицаx_2[[#This Row],[Месяц окончания]]=Таблицаx_2[[#This Row],[Месяц]],Таблицаx_2[[#This Row],[id]]=A23,EDATE(Таблицаx_2[[#This Row],[Месяц]],1)=D23),F23,0)</f>
        <v>0</v>
      </c>
      <c r="K22" s="8">
        <f>IF(AND(Таблицаx_2[[#This Row],[Месяц окончания]]=Таблицаx_2[[#This Row],[Месяц]],Таблицаx_2[[#This Row],[id]]=A23,EDATE(Таблицаx_2[[#This Row],[Месяц]],2)=D23),F23,0)</f>
        <v>0</v>
      </c>
    </row>
    <row r="23" spans="1:11" ht="12.75" hidden="1" customHeight="1" x14ac:dyDescent="0.2">
      <c r="A23" s="8">
        <v>31</v>
      </c>
      <c r="B23" s="8"/>
      <c r="C23" s="8" t="s">
        <v>4</v>
      </c>
      <c r="D23" s="12">
        <v>45017</v>
      </c>
      <c r="E23" s="8">
        <v>44775</v>
      </c>
      <c r="F23" s="10">
        <f>IF(ISTEXT(Таблицаx_2[[#This Row],[Значение]]), 0, Таблицаx_2[[#This Row],[Значение]])</f>
        <v>44775</v>
      </c>
      <c r="G23" s="12">
        <v>44896</v>
      </c>
      <c r="H23" s="10" t="str">
        <f>IFERROR(VLOOKUP(Таблицаx_2[[#This Row],[id]],prolongations!A:C,2,)," ")</f>
        <v>декабрь 2022</v>
      </c>
      <c r="I23" s="10">
        <f>IF(Таблицаx_2[[#This Row],[Месяц окончания]]=Таблицаx_2[[#This Row],[Месяц]],Таблицаx_2[[#This Row],[Значения числа]],0)</f>
        <v>0</v>
      </c>
      <c r="J23" s="8">
        <f>IF(AND(Таблицаx_2[[#This Row],[Месяц окончания]]=Таблицаx_2[[#This Row],[Месяц]],Таблицаx_2[[#This Row],[id]]=A24,EDATE(Таблицаx_2[[#This Row],[Месяц]],1)=D24),F24,0)</f>
        <v>0</v>
      </c>
      <c r="K23" s="8">
        <f>IF(AND(Таблицаx_2[[#This Row],[Месяц окончания]]=Таблицаx_2[[#This Row],[Месяц]],Таблицаx_2[[#This Row],[id]]=A24,EDATE(Таблицаx_2[[#This Row],[Месяц]],2)=D24),F24,0)</f>
        <v>0</v>
      </c>
    </row>
    <row r="24" spans="1:11" ht="12.75" hidden="1" customHeight="1" x14ac:dyDescent="0.2">
      <c r="A24" s="8">
        <v>31</v>
      </c>
      <c r="B24" s="8"/>
      <c r="C24" s="8" t="s">
        <v>4</v>
      </c>
      <c r="D24" s="12">
        <v>45047</v>
      </c>
      <c r="E24" s="8">
        <v>44775</v>
      </c>
      <c r="F24" s="10">
        <f>IF(ISTEXT(Таблицаx_2[[#This Row],[Значение]]), 0, Таблицаx_2[[#This Row],[Значение]])</f>
        <v>44775</v>
      </c>
      <c r="G24" s="12">
        <v>44896</v>
      </c>
      <c r="H24" s="10" t="str">
        <f>IFERROR(VLOOKUP(Таблицаx_2[[#This Row],[id]],prolongations!A:C,2,)," ")</f>
        <v>декабрь 2022</v>
      </c>
      <c r="I24" s="10">
        <f>IF(Таблицаx_2[[#This Row],[Месяц окончания]]=Таблицаx_2[[#This Row],[Месяц]],Таблицаx_2[[#This Row],[Значения числа]],0)</f>
        <v>0</v>
      </c>
      <c r="J24" s="8">
        <f>IF(AND(Таблицаx_2[[#This Row],[Месяц окончания]]=Таблицаx_2[[#This Row],[Месяц]],Таблицаx_2[[#This Row],[id]]=A25,EDATE(Таблицаx_2[[#This Row],[Месяц]],1)=D25),F25,0)</f>
        <v>0</v>
      </c>
      <c r="K24" s="8">
        <f>IF(AND(Таблицаx_2[[#This Row],[Месяц окончания]]=Таблицаx_2[[#This Row],[Месяц]],Таблицаx_2[[#This Row],[id]]=A25,EDATE(Таблицаx_2[[#This Row],[Месяц]],2)=D25),F25,0)</f>
        <v>0</v>
      </c>
    </row>
    <row r="25" spans="1:11" ht="12.75" hidden="1" customHeight="1" x14ac:dyDescent="0.2">
      <c r="A25" s="8">
        <v>31</v>
      </c>
      <c r="B25" s="8"/>
      <c r="C25" s="8" t="s">
        <v>4</v>
      </c>
      <c r="D25" s="12">
        <v>45078</v>
      </c>
      <c r="E25" s="8">
        <v>44775</v>
      </c>
      <c r="F25" s="10">
        <f>IF(ISTEXT(Таблицаx_2[[#This Row],[Значение]]), 0, Таблицаx_2[[#This Row],[Значение]])</f>
        <v>44775</v>
      </c>
      <c r="G25" s="12">
        <v>44896</v>
      </c>
      <c r="H25" s="10" t="str">
        <f>IFERROR(VLOOKUP(Таблицаx_2[[#This Row],[id]],prolongations!A:C,2,)," ")</f>
        <v>декабрь 2022</v>
      </c>
      <c r="I25" s="10">
        <f>IF(Таблицаx_2[[#This Row],[Месяц окончания]]=Таблицаx_2[[#This Row],[Месяц]],Таблицаx_2[[#This Row],[Значения числа]],0)</f>
        <v>0</v>
      </c>
      <c r="J25" s="8">
        <f>IF(AND(Таблицаx_2[[#This Row],[Месяц окончания]]=Таблицаx_2[[#This Row],[Месяц]],Таблицаx_2[[#This Row],[id]]=A26,EDATE(Таблицаx_2[[#This Row],[Месяц]],1)=D26),F26,0)</f>
        <v>0</v>
      </c>
      <c r="K25" s="8">
        <f>IF(AND(Таблицаx_2[[#This Row],[Месяц окончания]]=Таблицаx_2[[#This Row],[Месяц]],Таблицаx_2[[#This Row],[id]]=A26,EDATE(Таблицаx_2[[#This Row],[Месяц]],2)=D26),F26,0)</f>
        <v>0</v>
      </c>
    </row>
    <row r="26" spans="1:11" ht="12.75" hidden="1" customHeight="1" x14ac:dyDescent="0.2">
      <c r="A26" s="8">
        <v>31</v>
      </c>
      <c r="B26" s="8"/>
      <c r="C26" s="8" t="s">
        <v>4</v>
      </c>
      <c r="D26" s="12">
        <v>45108</v>
      </c>
      <c r="E26" s="8">
        <v>44775</v>
      </c>
      <c r="F26" s="10">
        <f>IF(ISTEXT(Таблицаx_2[[#This Row],[Значение]]), 0, Таблицаx_2[[#This Row],[Значение]])</f>
        <v>44775</v>
      </c>
      <c r="G26" s="12">
        <v>44896</v>
      </c>
      <c r="H26" s="10" t="str">
        <f>IFERROR(VLOOKUP(Таблицаx_2[[#This Row],[id]],prolongations!A:C,2,)," ")</f>
        <v>декабрь 2022</v>
      </c>
      <c r="I26" s="10">
        <f>IF(Таблицаx_2[[#This Row],[Месяц окончания]]=Таблицаx_2[[#This Row],[Месяц]],Таблицаx_2[[#This Row],[Значения числа]],0)</f>
        <v>0</v>
      </c>
      <c r="J26" s="8">
        <f>IF(AND(Таблицаx_2[[#This Row],[Месяц окончания]]=Таблицаx_2[[#This Row],[Месяц]],Таблицаx_2[[#This Row],[id]]=A27,EDATE(Таблицаx_2[[#This Row],[Месяц]],1)=D27),F27,0)</f>
        <v>0</v>
      </c>
      <c r="K26" s="8">
        <f>IF(AND(Таблицаx_2[[#This Row],[Месяц окончания]]=Таблицаx_2[[#This Row],[Месяц]],Таблицаx_2[[#This Row],[id]]=A27,EDATE(Таблицаx_2[[#This Row],[Месяц]],2)=D27),F27,0)</f>
        <v>0</v>
      </c>
    </row>
    <row r="27" spans="1:11" ht="12.75" hidden="1" customHeight="1" x14ac:dyDescent="0.2">
      <c r="A27" s="8">
        <v>31</v>
      </c>
      <c r="B27" s="8"/>
      <c r="C27" s="8" t="s">
        <v>4</v>
      </c>
      <c r="D27" s="12">
        <v>45139</v>
      </c>
      <c r="E27" s="8">
        <v>44775</v>
      </c>
      <c r="F27" s="10">
        <f>IF(ISTEXT(Таблицаx_2[[#This Row],[Значение]]), 0, Таблицаx_2[[#This Row],[Значение]])</f>
        <v>44775</v>
      </c>
      <c r="G27" s="12">
        <v>44896</v>
      </c>
      <c r="H27" s="10" t="str">
        <f>IFERROR(VLOOKUP(Таблицаx_2[[#This Row],[id]],prolongations!A:C,2,)," ")</f>
        <v>декабрь 2022</v>
      </c>
      <c r="I27" s="10">
        <f>IF(Таблицаx_2[[#This Row],[Месяц окончания]]=Таблицаx_2[[#This Row],[Месяц]],Таблицаx_2[[#This Row],[Значения числа]],0)</f>
        <v>0</v>
      </c>
      <c r="J27" s="8">
        <f>IF(AND(Таблицаx_2[[#This Row],[Месяц окончания]]=Таблицаx_2[[#This Row],[Месяц]],Таблицаx_2[[#This Row],[id]]=A28,EDATE(Таблицаx_2[[#This Row],[Месяц]],1)=D28),F28,0)</f>
        <v>0</v>
      </c>
      <c r="K27" s="8">
        <f>IF(AND(Таблицаx_2[[#This Row],[Месяц окончания]]=Таблицаx_2[[#This Row],[Месяц]],Таблицаx_2[[#This Row],[id]]=A28,EDATE(Таблицаx_2[[#This Row],[Месяц]],2)=D28),F28,0)</f>
        <v>0</v>
      </c>
    </row>
    <row r="28" spans="1:11" ht="12.75" hidden="1" customHeight="1" x14ac:dyDescent="0.2">
      <c r="A28" s="8">
        <v>31</v>
      </c>
      <c r="B28" s="8"/>
      <c r="C28" s="8" t="s">
        <v>4</v>
      </c>
      <c r="D28" s="12">
        <v>45170</v>
      </c>
      <c r="E28" s="8">
        <v>44775</v>
      </c>
      <c r="F28" s="10">
        <f>IF(ISTEXT(Таблицаx_2[[#This Row],[Значение]]), 0, Таблицаx_2[[#This Row],[Значение]])</f>
        <v>44775</v>
      </c>
      <c r="G28" s="12">
        <v>44896</v>
      </c>
      <c r="H28" s="10" t="str">
        <f>IFERROR(VLOOKUP(Таблицаx_2[[#This Row],[id]],prolongations!A:C,2,)," ")</f>
        <v>декабрь 2022</v>
      </c>
      <c r="I28" s="10">
        <f>IF(Таблицаx_2[[#This Row],[Месяц окончания]]=Таблицаx_2[[#This Row],[Месяц]],Таблицаx_2[[#This Row],[Значения числа]],0)</f>
        <v>0</v>
      </c>
      <c r="J28" s="8">
        <f>IF(AND(Таблицаx_2[[#This Row],[Месяц окончания]]=Таблицаx_2[[#This Row],[Месяц]],Таблицаx_2[[#This Row],[id]]=A29,EDATE(Таблицаx_2[[#This Row],[Месяц]],1)=D29),F29,0)</f>
        <v>0</v>
      </c>
      <c r="K28" s="8">
        <f>IF(AND(Таблицаx_2[[#This Row],[Месяц окончания]]=Таблицаx_2[[#This Row],[Месяц]],Таблицаx_2[[#This Row],[id]]=A29,EDATE(Таблицаx_2[[#This Row],[Месяц]],2)=D29),F29,0)</f>
        <v>0</v>
      </c>
    </row>
    <row r="29" spans="1:11" ht="12.75" hidden="1" customHeight="1" x14ac:dyDescent="0.2">
      <c r="A29" s="8">
        <v>31</v>
      </c>
      <c r="B29" s="8"/>
      <c r="C29" s="8" t="s">
        <v>4</v>
      </c>
      <c r="D29" s="12">
        <v>45200</v>
      </c>
      <c r="E29" s="8">
        <v>44775</v>
      </c>
      <c r="F29" s="10">
        <f>IF(ISTEXT(Таблицаx_2[[#This Row],[Значение]]), 0, Таблицаx_2[[#This Row],[Значение]])</f>
        <v>44775</v>
      </c>
      <c r="G29" s="12">
        <v>44896</v>
      </c>
      <c r="H29" s="10" t="str">
        <f>IFERROR(VLOOKUP(Таблицаx_2[[#This Row],[id]],prolongations!A:C,2,)," ")</f>
        <v>декабрь 2022</v>
      </c>
      <c r="I29" s="10">
        <f>IF(Таблицаx_2[[#This Row],[Месяц окончания]]=Таблицаx_2[[#This Row],[Месяц]],Таблицаx_2[[#This Row],[Значения числа]],0)</f>
        <v>0</v>
      </c>
      <c r="J29" s="8">
        <f>IF(AND(Таблицаx_2[[#This Row],[Месяц окончания]]=Таблицаx_2[[#This Row],[Месяц]],Таблицаx_2[[#This Row],[id]]=A30,EDATE(Таблицаx_2[[#This Row],[Месяц]],1)=D30),F30,0)</f>
        <v>0</v>
      </c>
      <c r="K29" s="8">
        <f>IF(AND(Таблицаx_2[[#This Row],[Месяц окончания]]=Таблицаx_2[[#This Row],[Месяц]],Таблицаx_2[[#This Row],[id]]=A30,EDATE(Таблицаx_2[[#This Row],[Месяц]],2)=D30),F30,0)</f>
        <v>0</v>
      </c>
    </row>
    <row r="30" spans="1:11" ht="12.75" hidden="1" customHeight="1" x14ac:dyDescent="0.2">
      <c r="A30" s="8">
        <v>31</v>
      </c>
      <c r="B30" s="8"/>
      <c r="C30" s="8" t="s">
        <v>4</v>
      </c>
      <c r="D30" s="12">
        <v>45231</v>
      </c>
      <c r="E30" s="8">
        <v>44775</v>
      </c>
      <c r="F30" s="10">
        <f>IF(ISTEXT(Таблицаx_2[[#This Row],[Значение]]), 0, Таблицаx_2[[#This Row],[Значение]])</f>
        <v>44775</v>
      </c>
      <c r="G30" s="12">
        <v>44896</v>
      </c>
      <c r="H30" s="10" t="str">
        <f>IFERROR(VLOOKUP(Таблицаx_2[[#This Row],[id]],prolongations!A:C,2,)," ")</f>
        <v>декабрь 2022</v>
      </c>
      <c r="I30" s="10">
        <f>IF(Таблицаx_2[[#This Row],[Месяц окончания]]=Таблицаx_2[[#This Row],[Месяц]],Таблицаx_2[[#This Row],[Значения числа]],0)</f>
        <v>0</v>
      </c>
      <c r="J30" s="8">
        <f>IF(AND(Таблицаx_2[[#This Row],[Месяц окончания]]=Таблицаx_2[[#This Row],[Месяц]],Таблицаx_2[[#This Row],[id]]=A31,EDATE(Таблицаx_2[[#This Row],[Месяц]],1)=D31),F31,0)</f>
        <v>0</v>
      </c>
      <c r="K30" s="8">
        <f>IF(AND(Таблицаx_2[[#This Row],[Месяц окончания]]=Таблицаx_2[[#This Row],[Месяц]],Таблицаx_2[[#This Row],[id]]=A31,EDATE(Таблицаx_2[[#This Row],[Месяц]],2)=D31),F31,0)</f>
        <v>0</v>
      </c>
    </row>
    <row r="31" spans="1:11" ht="12.75" hidden="1" customHeight="1" x14ac:dyDescent="0.2">
      <c r="A31" s="8">
        <v>31</v>
      </c>
      <c r="B31" s="8"/>
      <c r="C31" s="8" t="s">
        <v>4</v>
      </c>
      <c r="D31" s="12">
        <v>45261</v>
      </c>
      <c r="E31" s="8">
        <v>44775</v>
      </c>
      <c r="F31" s="10">
        <f>IF(ISTEXT(Таблицаx_2[[#This Row],[Значение]]), 0, Таблицаx_2[[#This Row],[Значение]])</f>
        <v>44775</v>
      </c>
      <c r="G31" s="12">
        <v>44896</v>
      </c>
      <c r="H31" s="10" t="str">
        <f>IFERROR(VLOOKUP(Таблицаx_2[[#This Row],[id]],prolongations!A:C,2,)," ")</f>
        <v>декабрь 2022</v>
      </c>
      <c r="I31" s="10">
        <f>IF(Таблицаx_2[[#This Row],[Месяц окончания]]=Таблицаx_2[[#This Row],[Месяц]],Таблицаx_2[[#This Row],[Значения числа]],0)</f>
        <v>0</v>
      </c>
      <c r="J31" s="8">
        <f>IF(AND(Таблицаx_2[[#This Row],[Месяц окончания]]=Таблицаx_2[[#This Row],[Месяц]],Таблицаx_2[[#This Row],[id]]=A32,EDATE(Таблицаx_2[[#This Row],[Месяц]],1)=D32),F32,0)</f>
        <v>0</v>
      </c>
      <c r="K31" s="8">
        <f>IF(AND(Таблицаx_2[[#This Row],[Месяц окончания]]=Таблицаx_2[[#This Row],[Месяц]],Таблицаx_2[[#This Row],[id]]=A32,EDATE(Таблицаx_2[[#This Row],[Месяц]],2)=D32),F32,0)</f>
        <v>0</v>
      </c>
    </row>
    <row r="32" spans="1:11" ht="12.75" hidden="1" customHeight="1" x14ac:dyDescent="0.2">
      <c r="A32" s="8">
        <v>31</v>
      </c>
      <c r="B32" s="8"/>
      <c r="C32" s="8" t="s">
        <v>4</v>
      </c>
      <c r="D32" s="12">
        <v>45292</v>
      </c>
      <c r="E32" s="8">
        <v>44775</v>
      </c>
      <c r="F32" s="10">
        <f>IF(ISTEXT(Таблицаx_2[[#This Row],[Значение]]), 0, Таблицаx_2[[#This Row],[Значение]])</f>
        <v>44775</v>
      </c>
      <c r="G32" s="12">
        <v>44896</v>
      </c>
      <c r="H32" s="10" t="str">
        <f>IFERROR(VLOOKUP(Таблицаx_2[[#This Row],[id]],prolongations!A:C,2,)," ")</f>
        <v>декабрь 2022</v>
      </c>
      <c r="I32" s="10">
        <f>IF(Таблицаx_2[[#This Row],[Месяц окончания]]=Таблицаx_2[[#This Row],[Месяц]],Таблицаx_2[[#This Row],[Значения числа]],0)</f>
        <v>0</v>
      </c>
      <c r="J32" s="8">
        <f>IF(AND(Таблицаx_2[[#This Row],[Месяц окончания]]=Таблицаx_2[[#This Row],[Месяц]],Таблицаx_2[[#This Row],[id]]=A33,EDATE(Таблицаx_2[[#This Row],[Месяц]],1)=D33),F33,0)</f>
        <v>0</v>
      </c>
      <c r="K32" s="8">
        <f>IF(AND(Таблицаx_2[[#This Row],[Месяц окончания]]=Таблицаx_2[[#This Row],[Месяц]],Таблицаx_2[[#This Row],[id]]=A33,EDATE(Таблицаx_2[[#This Row],[Месяц]],2)=D33),F33,0)</f>
        <v>0</v>
      </c>
    </row>
    <row r="33" spans="1:11" ht="12.75" hidden="1" customHeight="1" x14ac:dyDescent="0.2">
      <c r="A33" s="8">
        <v>31</v>
      </c>
      <c r="B33" s="8"/>
      <c r="C33" s="8" t="s">
        <v>4</v>
      </c>
      <c r="D33" s="12">
        <v>45323</v>
      </c>
      <c r="E33" s="8">
        <v>46200</v>
      </c>
      <c r="F33" s="10">
        <f>IF(ISTEXT(Таблицаx_2[[#This Row],[Значение]]), 0, Таблицаx_2[[#This Row],[Значение]])</f>
        <v>46200</v>
      </c>
      <c r="G33" s="12">
        <v>44896</v>
      </c>
      <c r="H33" s="10" t="str">
        <f>IFERROR(VLOOKUP(Таблицаx_2[[#This Row],[id]],prolongations!A:C,2,)," ")</f>
        <v>декабрь 2022</v>
      </c>
      <c r="I33" s="10">
        <f>IF(Таблицаx_2[[#This Row],[Месяц окончания]]=Таблицаx_2[[#This Row],[Месяц]],Таблицаx_2[[#This Row],[Значения числа]],0)</f>
        <v>0</v>
      </c>
      <c r="J33" s="8">
        <f>IF(AND(Таблицаx_2[[#This Row],[Месяц окончания]]=Таблицаx_2[[#This Row],[Месяц]],Таблицаx_2[[#This Row],[id]]=A34,EDATE(Таблицаx_2[[#This Row],[Месяц]],1)=D34),F34,0)</f>
        <v>0</v>
      </c>
      <c r="K33" s="8">
        <f>IF(AND(Таблицаx_2[[#This Row],[Месяц окончания]]=Таблицаx_2[[#This Row],[Месяц]],Таблицаx_2[[#This Row],[id]]=A34,EDATE(Таблицаx_2[[#This Row],[Месяц]],2)=D34),F34,0)</f>
        <v>0</v>
      </c>
    </row>
    <row r="34" spans="1:11" ht="12.75" hidden="1" customHeight="1" x14ac:dyDescent="0.2">
      <c r="A34" s="8">
        <v>572</v>
      </c>
      <c r="B34" s="8" t="s">
        <v>49</v>
      </c>
      <c r="C34" s="8" t="s">
        <v>4</v>
      </c>
      <c r="D34" s="12">
        <v>44866</v>
      </c>
      <c r="E34" s="8">
        <v>56200</v>
      </c>
      <c r="F34" s="10">
        <f>IF(ISTEXT(Таблицаx_2[[#This Row],[Значение]]), 0, Таблицаx_2[[#This Row],[Значение]])</f>
        <v>56200</v>
      </c>
      <c r="G34" s="12">
        <v>44896</v>
      </c>
      <c r="H34" s="10" t="str">
        <f>IFERROR(VLOOKUP(Таблицаx_2[[#This Row],[id]],prolongations!A:C,2,)," ")</f>
        <v>декабрь 2022</v>
      </c>
      <c r="I34" s="10">
        <f>IF(Таблицаx_2[[#This Row],[Месяц окончания]]=Таблицаx_2[[#This Row],[Месяц]],Таблицаx_2[[#This Row],[Значения числа]],0)</f>
        <v>0</v>
      </c>
      <c r="J34" s="8">
        <f>IF(AND(Таблицаx_2[[#This Row],[Месяц окончания]]=Таблицаx_2[[#This Row],[Месяц]],Таблицаx_2[[#This Row],[id]]=A35,EDATE(Таблицаx_2[[#This Row],[Месяц]],1)=D35),F35,0)</f>
        <v>0</v>
      </c>
      <c r="K34" s="8">
        <f>IF(AND(Таблицаx_2[[#This Row],[Месяц окончания]]=Таблицаx_2[[#This Row],[Месяц]],Таблицаx_2[[#This Row],[id]]=A35,EDATE(Таблицаx_2[[#This Row],[Месяц]],2)=D35),F35,0)</f>
        <v>0</v>
      </c>
    </row>
    <row r="35" spans="1:11" hidden="1" x14ac:dyDescent="0.2">
      <c r="A35" s="8">
        <v>572</v>
      </c>
      <c r="B35" s="8" t="s">
        <v>49</v>
      </c>
      <c r="C35" s="8" t="s">
        <v>4</v>
      </c>
      <c r="D35" s="12">
        <v>44896</v>
      </c>
      <c r="E35" s="8" t="s">
        <v>46</v>
      </c>
      <c r="F35" s="10">
        <f>IF(ISTEXT(Таблицаx_2[[#This Row],[Значение]]), 0, Таблицаx_2[[#This Row],[Значение]])</f>
        <v>0</v>
      </c>
      <c r="G35" s="12">
        <v>44896</v>
      </c>
      <c r="H35" s="10" t="str">
        <f>IFERROR(VLOOKUP(Таблицаx_2[[#This Row],[id]],prolongations!A:C,2,)," ")</f>
        <v>декабрь 2022</v>
      </c>
      <c r="I35" s="10">
        <f>IF(Таблицаx_2[[#This Row],[Месяц окончания]]=Таблицаx_2[[#This Row],[Месяц]],Таблицаx_2[[#This Row],[Значения числа]],0)</f>
        <v>0</v>
      </c>
      <c r="J35" s="8">
        <f>IF(AND(Таблицаx_2[[#This Row],[Месяц окончания]]=Таблицаx_2[[#This Row],[Месяц]],Таблицаx_2[[#This Row],[id]]=A36,EDATE(Таблицаx_2[[#This Row],[Месяц]],1)=D36),F36,0)</f>
        <v>0</v>
      </c>
      <c r="K35" s="8">
        <f>IF(AND(Таблицаx_2[[#This Row],[Месяц окончания]]=Таблицаx_2[[#This Row],[Месяц]],Таблицаx_2[[#This Row],[id]]=A36,EDATE(Таблицаx_2[[#This Row],[Месяц]],2)=D36),F36,0)</f>
        <v>0</v>
      </c>
    </row>
    <row r="36" spans="1:11" ht="12.75" hidden="1" customHeight="1" x14ac:dyDescent="0.2">
      <c r="A36" s="8">
        <v>573</v>
      </c>
      <c r="B36" s="8" t="s">
        <v>49</v>
      </c>
      <c r="C36" s="8" t="s">
        <v>4</v>
      </c>
      <c r="D36" s="12">
        <v>44866</v>
      </c>
      <c r="E36" s="8">
        <v>69210</v>
      </c>
      <c r="F36" s="10">
        <f>IF(ISTEXT(Таблицаx_2[[#This Row],[Значение]]), 0, Таблицаx_2[[#This Row],[Значение]])</f>
        <v>69210</v>
      </c>
      <c r="G36" s="12">
        <v>44896</v>
      </c>
      <c r="H36" s="10" t="str">
        <f>IFERROR(VLOOKUP(Таблицаx_2[[#This Row],[id]],prolongations!A:C,2,)," ")</f>
        <v>декабрь 2022</v>
      </c>
      <c r="I36" s="10">
        <f>IF(Таблицаx_2[[#This Row],[Месяц окончания]]=Таблицаx_2[[#This Row],[Месяц]],Таблицаx_2[[#This Row],[Значения числа]],0)</f>
        <v>0</v>
      </c>
      <c r="J36" s="8">
        <f>IF(AND(Таблицаx_2[[#This Row],[Месяц окончания]]=Таблицаx_2[[#This Row],[Месяц]],Таблицаx_2[[#This Row],[id]]=A37,EDATE(Таблицаx_2[[#This Row],[Месяц]],1)=D37),F37,0)</f>
        <v>0</v>
      </c>
      <c r="K36" s="8">
        <f>IF(AND(Таблицаx_2[[#This Row],[Месяц окончания]]=Таблицаx_2[[#This Row],[Месяц]],Таблицаx_2[[#This Row],[id]]=A37,EDATE(Таблицаx_2[[#This Row],[Месяц]],2)=D37),F37,0)</f>
        <v>0</v>
      </c>
    </row>
    <row r="37" spans="1:11" hidden="1" x14ac:dyDescent="0.2">
      <c r="A37" s="8">
        <v>573</v>
      </c>
      <c r="B37" s="8" t="s">
        <v>49</v>
      </c>
      <c r="C37" s="8" t="s">
        <v>4</v>
      </c>
      <c r="D37" s="12">
        <v>44896</v>
      </c>
      <c r="E37" s="8" t="s">
        <v>46</v>
      </c>
      <c r="F37" s="10">
        <f>IF(ISTEXT(Таблицаx_2[[#This Row],[Значение]]), 0, Таблицаx_2[[#This Row],[Значение]])</f>
        <v>0</v>
      </c>
      <c r="G37" s="12">
        <v>44896</v>
      </c>
      <c r="H37" s="10" t="str">
        <f>IFERROR(VLOOKUP(Таблицаx_2[[#This Row],[id]],prolongations!A:C,2,)," ")</f>
        <v>декабрь 2022</v>
      </c>
      <c r="I37" s="10">
        <f>IF(Таблицаx_2[[#This Row],[Месяц окончания]]=Таблицаx_2[[#This Row],[Месяц]],Таблицаx_2[[#This Row],[Значения числа]],0)</f>
        <v>0</v>
      </c>
      <c r="J37" s="8">
        <f>IF(AND(Таблицаx_2[[#This Row],[Месяц окончания]]=Таблицаx_2[[#This Row],[Месяц]],Таблицаx_2[[#This Row],[id]]=A38,EDATE(Таблицаx_2[[#This Row],[Месяц]],1)=D38),F38,0)</f>
        <v>0</v>
      </c>
      <c r="K37" s="8">
        <f>IF(AND(Таблицаx_2[[#This Row],[Месяц окончания]]=Таблицаx_2[[#This Row],[Месяц]],Таблицаx_2[[#This Row],[id]]=A38,EDATE(Таблицаx_2[[#This Row],[Месяц]],2)=D38),F38,0)</f>
        <v>0</v>
      </c>
    </row>
    <row r="38" spans="1:11" ht="12.75" hidden="1" customHeight="1" x14ac:dyDescent="0.2">
      <c r="A38" s="8">
        <v>574</v>
      </c>
      <c r="B38" s="8" t="s">
        <v>49</v>
      </c>
      <c r="C38" s="8" t="s">
        <v>4</v>
      </c>
      <c r="D38" s="12">
        <v>44866</v>
      </c>
      <c r="E38" s="8">
        <v>46755</v>
      </c>
      <c r="F38" s="10">
        <f>IF(ISTEXT(Таблицаx_2[[#This Row],[Значение]]), 0, Таблицаx_2[[#This Row],[Значение]])</f>
        <v>46755</v>
      </c>
      <c r="G38" s="12">
        <v>44896</v>
      </c>
      <c r="H38" s="10" t="str">
        <f>IFERROR(VLOOKUP(Таблицаx_2[[#This Row],[id]],prolongations!A:C,2,)," ")</f>
        <v>декабрь 2022</v>
      </c>
      <c r="I38" s="10">
        <f>IF(Таблицаx_2[[#This Row],[Месяц окончания]]=Таблицаx_2[[#This Row],[Месяц]],Таблицаx_2[[#This Row],[Значения числа]],0)</f>
        <v>0</v>
      </c>
      <c r="J38" s="8">
        <f>IF(AND(Таблицаx_2[[#This Row],[Месяц окончания]]=Таблицаx_2[[#This Row],[Месяц]],Таблицаx_2[[#This Row],[id]]=A39,EDATE(Таблицаx_2[[#This Row],[Месяц]],1)=D39),F39,0)</f>
        <v>0</v>
      </c>
      <c r="K38" s="8">
        <f>IF(AND(Таблицаx_2[[#This Row],[Месяц окончания]]=Таблицаx_2[[#This Row],[Месяц]],Таблицаx_2[[#This Row],[id]]=A39,EDATE(Таблицаx_2[[#This Row],[Месяц]],2)=D39),F39,0)</f>
        <v>0</v>
      </c>
    </row>
    <row r="39" spans="1:11" hidden="1" x14ac:dyDescent="0.2">
      <c r="A39" s="8">
        <v>574</v>
      </c>
      <c r="B39" s="8" t="s">
        <v>49</v>
      </c>
      <c r="C39" s="8" t="s">
        <v>4</v>
      </c>
      <c r="D39" s="12">
        <v>44896</v>
      </c>
      <c r="E39" s="8" t="s">
        <v>46</v>
      </c>
      <c r="F39" s="10">
        <f>IF(ISTEXT(Таблицаx_2[[#This Row],[Значение]]), 0, Таблицаx_2[[#This Row],[Значение]])</f>
        <v>0</v>
      </c>
      <c r="G39" s="12">
        <v>44896</v>
      </c>
      <c r="H39" s="10" t="str">
        <f>IFERROR(VLOOKUP(Таблицаx_2[[#This Row],[id]],prolongations!A:C,2,)," ")</f>
        <v>декабрь 2022</v>
      </c>
      <c r="I39" s="10">
        <f>IF(Таблицаx_2[[#This Row],[Месяц окончания]]=Таблицаx_2[[#This Row],[Месяц]],Таблицаx_2[[#This Row],[Значения числа]],0)</f>
        <v>0</v>
      </c>
      <c r="J39" s="8">
        <f>IF(AND(Таблицаx_2[[#This Row],[Месяц окончания]]=Таблицаx_2[[#This Row],[Месяц]],Таблицаx_2[[#This Row],[id]]=A40,EDATE(Таблицаx_2[[#This Row],[Месяц]],1)=D40),F40,0)</f>
        <v>0</v>
      </c>
      <c r="K39" s="8">
        <f>IF(AND(Таблицаx_2[[#This Row],[Месяц окончания]]=Таблицаx_2[[#This Row],[Месяц]],Таблицаx_2[[#This Row],[id]]=A40,EDATE(Таблицаx_2[[#This Row],[Месяц]],2)=D40),F40,0)</f>
        <v>0</v>
      </c>
    </row>
    <row r="40" spans="1:11" ht="12.75" hidden="1" customHeight="1" x14ac:dyDescent="0.2">
      <c r="A40" s="8">
        <v>575</v>
      </c>
      <c r="B40" s="8" t="s">
        <v>49</v>
      </c>
      <c r="C40" s="8" t="s">
        <v>4</v>
      </c>
      <c r="D40" s="12">
        <v>44866</v>
      </c>
      <c r="E40" s="8">
        <v>25020</v>
      </c>
      <c r="F40" s="10">
        <f>IF(ISTEXT(Таблицаx_2[[#This Row],[Значение]]), 0, Таблицаx_2[[#This Row],[Значение]])</f>
        <v>25020</v>
      </c>
      <c r="G40" s="12">
        <v>44896</v>
      </c>
      <c r="H40" s="10" t="str">
        <f>IFERROR(VLOOKUP(Таблицаx_2[[#This Row],[id]],prolongations!A:C,2,)," ")</f>
        <v>декабрь 2022</v>
      </c>
      <c r="I40" s="10">
        <f>IF(Таблицаx_2[[#This Row],[Месяц окончания]]=Таблицаx_2[[#This Row],[Месяц]],Таблицаx_2[[#This Row],[Значения числа]],0)</f>
        <v>0</v>
      </c>
      <c r="J40" s="8">
        <f>IF(AND(Таблицаx_2[[#This Row],[Месяц окончания]]=Таблицаx_2[[#This Row],[Месяц]],Таблицаx_2[[#This Row],[id]]=A41,EDATE(Таблицаx_2[[#This Row],[Месяц]],1)=D41),F41,0)</f>
        <v>0</v>
      </c>
      <c r="K40" s="8">
        <f>IF(AND(Таблицаx_2[[#This Row],[Месяц окончания]]=Таблицаx_2[[#This Row],[Месяц]],Таблицаx_2[[#This Row],[id]]=A41,EDATE(Таблицаx_2[[#This Row],[Месяц]],2)=D41),F41,0)</f>
        <v>0</v>
      </c>
    </row>
    <row r="41" spans="1:11" hidden="1" x14ac:dyDescent="0.2">
      <c r="A41" s="8">
        <v>575</v>
      </c>
      <c r="B41" s="8" t="s">
        <v>49</v>
      </c>
      <c r="C41" s="8" t="s">
        <v>4</v>
      </c>
      <c r="D41" s="12">
        <v>44896</v>
      </c>
      <c r="E41" s="8" t="s">
        <v>46</v>
      </c>
      <c r="F41" s="10">
        <f>IF(ISTEXT(Таблицаx_2[[#This Row],[Значение]]), 0, Таблицаx_2[[#This Row],[Значение]])</f>
        <v>0</v>
      </c>
      <c r="G41" s="12">
        <v>44896</v>
      </c>
      <c r="H41" s="10" t="str">
        <f>IFERROR(VLOOKUP(Таблицаx_2[[#This Row],[id]],prolongations!A:C,2,)," ")</f>
        <v>декабрь 2022</v>
      </c>
      <c r="I41" s="10">
        <f>IF(Таблицаx_2[[#This Row],[Месяц окончания]]=Таблицаx_2[[#This Row],[Месяц]],Таблицаx_2[[#This Row],[Значения числа]],0)</f>
        <v>0</v>
      </c>
      <c r="J41" s="8">
        <f>IF(AND(Таблицаx_2[[#This Row],[Месяц окончания]]=Таблицаx_2[[#This Row],[Месяц]],Таблицаx_2[[#This Row],[id]]=A42,EDATE(Таблицаx_2[[#This Row],[Месяц]],1)=D42),F42,0)</f>
        <v>0</v>
      </c>
      <c r="K41" s="8">
        <f>IF(AND(Таблицаx_2[[#This Row],[Месяц окончания]]=Таблицаx_2[[#This Row],[Месяц]],Таблицаx_2[[#This Row],[id]]=A42,EDATE(Таблицаx_2[[#This Row],[Месяц]],2)=D42),F42,0)</f>
        <v>0</v>
      </c>
    </row>
    <row r="42" spans="1:11" ht="12.75" hidden="1" customHeight="1" x14ac:dyDescent="0.2">
      <c r="A42" s="8">
        <v>576</v>
      </c>
      <c r="B42" s="8" t="s">
        <v>49</v>
      </c>
      <c r="C42" s="8" t="s">
        <v>4</v>
      </c>
      <c r="D42" s="12">
        <v>44866</v>
      </c>
      <c r="E42" s="8">
        <v>36365</v>
      </c>
      <c r="F42" s="10">
        <f>IF(ISTEXT(Таблицаx_2[[#This Row],[Значение]]), 0, Таблицаx_2[[#This Row],[Значение]])</f>
        <v>36365</v>
      </c>
      <c r="G42" s="12">
        <v>44896</v>
      </c>
      <c r="H42" s="10" t="str">
        <f>IFERROR(VLOOKUP(Таблицаx_2[[#This Row],[id]],prolongations!A:C,2,)," ")</f>
        <v>декабрь 2022</v>
      </c>
      <c r="I42" s="10">
        <f>IF(Таблицаx_2[[#This Row],[Месяц окончания]]=Таблицаx_2[[#This Row],[Месяц]],Таблицаx_2[[#This Row],[Значения числа]],0)</f>
        <v>0</v>
      </c>
      <c r="J42" s="8">
        <f>IF(AND(Таблицаx_2[[#This Row],[Месяц окончания]]=Таблицаx_2[[#This Row],[Месяц]],Таблицаx_2[[#This Row],[id]]=A43,EDATE(Таблицаx_2[[#This Row],[Месяц]],1)=D43),F43,0)</f>
        <v>0</v>
      </c>
      <c r="K42" s="8">
        <f>IF(AND(Таблицаx_2[[#This Row],[Месяц окончания]]=Таблицаx_2[[#This Row],[Месяц]],Таблицаx_2[[#This Row],[id]]=A43,EDATE(Таблицаx_2[[#This Row],[Месяц]],2)=D43),F43,0)</f>
        <v>0</v>
      </c>
    </row>
    <row r="43" spans="1:11" hidden="1" x14ac:dyDescent="0.2">
      <c r="A43" s="8">
        <v>576</v>
      </c>
      <c r="B43" s="8" t="s">
        <v>49</v>
      </c>
      <c r="C43" s="8" t="s">
        <v>4</v>
      </c>
      <c r="D43" s="12">
        <v>44896</v>
      </c>
      <c r="E43" s="8" t="s">
        <v>46</v>
      </c>
      <c r="F43" s="10">
        <f>IF(ISTEXT(Таблицаx_2[[#This Row],[Значение]]), 0, Таблицаx_2[[#This Row],[Значение]])</f>
        <v>0</v>
      </c>
      <c r="G43" s="12">
        <v>44896</v>
      </c>
      <c r="H43" s="10" t="str">
        <f>IFERROR(VLOOKUP(Таблицаx_2[[#This Row],[id]],prolongations!A:C,2,)," ")</f>
        <v>декабрь 2022</v>
      </c>
      <c r="I43" s="10">
        <f>IF(Таблицаx_2[[#This Row],[Месяц окончания]]=Таблицаx_2[[#This Row],[Месяц]],Таблицаx_2[[#This Row],[Значения числа]],0)</f>
        <v>0</v>
      </c>
      <c r="J43" s="8">
        <f>IF(AND(Таблицаx_2[[#This Row],[Месяц окончания]]=Таблицаx_2[[#This Row],[Месяц]],Таблицаx_2[[#This Row],[id]]=A44,EDATE(Таблицаx_2[[#This Row],[Месяц]],1)=D44),F44,0)</f>
        <v>0</v>
      </c>
      <c r="K43" s="8">
        <f>IF(AND(Таблицаx_2[[#This Row],[Месяц окончания]]=Таблицаx_2[[#This Row],[Месяц]],Таблицаx_2[[#This Row],[id]]=A44,EDATE(Таблицаx_2[[#This Row],[Месяц]],2)=D44),F44,0)</f>
        <v>0</v>
      </c>
    </row>
    <row r="44" spans="1:11" ht="12.75" hidden="1" customHeight="1" x14ac:dyDescent="0.2">
      <c r="A44" s="8">
        <v>328</v>
      </c>
      <c r="B44" s="8"/>
      <c r="C44" s="8" t="s">
        <v>7</v>
      </c>
      <c r="D44" s="12">
        <v>44866</v>
      </c>
      <c r="E44" s="8">
        <v>116473.5</v>
      </c>
      <c r="F44" s="10">
        <f>IF(ISTEXT(Таблицаx_2[[#This Row],[Значение]]), 0, Таблицаx_2[[#This Row],[Значение]])</f>
        <v>116473.5</v>
      </c>
      <c r="G44" s="12">
        <v>44896</v>
      </c>
      <c r="H44" s="10" t="str">
        <f>IFERROR(VLOOKUP(Таблицаx_2[[#This Row],[id]],prolongations!A:C,2,)," ")</f>
        <v>декабрь 2022</v>
      </c>
      <c r="I44" s="10">
        <f>IF(Таблицаx_2[[#This Row],[Месяц окончания]]=Таблицаx_2[[#This Row],[Месяц]],Таблицаx_2[[#This Row],[Значения числа]],0)</f>
        <v>0</v>
      </c>
      <c r="J44" s="8">
        <f>IF(AND(Таблицаx_2[[#This Row],[Месяц окончания]]=Таблицаx_2[[#This Row],[Месяц]],Таблицаx_2[[#This Row],[id]]=A45,EDATE(Таблицаx_2[[#This Row],[Месяц]],1)=D45),F45,0)</f>
        <v>0</v>
      </c>
      <c r="K44" s="8">
        <f>IF(AND(Таблицаx_2[[#This Row],[Месяц окончания]]=Таблицаx_2[[#This Row],[Месяц]],Таблицаx_2[[#This Row],[id]]=A45,EDATE(Таблицаx_2[[#This Row],[Месяц]],2)=D45),F45,0)</f>
        <v>0</v>
      </c>
    </row>
    <row r="45" spans="1:11" hidden="1" x14ac:dyDescent="0.2">
      <c r="A45" s="8">
        <v>328</v>
      </c>
      <c r="B45" s="8"/>
      <c r="C45" s="8" t="s">
        <v>7</v>
      </c>
      <c r="D45" s="12">
        <v>44896</v>
      </c>
      <c r="E45" s="8">
        <v>110700</v>
      </c>
      <c r="F45" s="10">
        <f>IF(ISTEXT(Таблицаx_2[[#This Row],[Значение]]), 0, Таблицаx_2[[#This Row],[Значение]])</f>
        <v>110700</v>
      </c>
      <c r="G45" s="12">
        <v>44896</v>
      </c>
      <c r="H45" s="10" t="str">
        <f>IFERROR(VLOOKUP(Таблицаx_2[[#This Row],[id]],prolongations!A:C,2,)," ")</f>
        <v>декабрь 2022</v>
      </c>
      <c r="I45" s="10">
        <f>IF(Таблицаx_2[[#This Row],[Месяц окончания]]=Таблицаx_2[[#This Row],[Месяц]],Таблицаx_2[[#This Row],[Значения числа]],0)</f>
        <v>110700</v>
      </c>
      <c r="J45" s="8">
        <f>IF(AND(Таблицаx_2[[#This Row],[Месяц окончания]]=Таблицаx_2[[#This Row],[Месяц]],Таблицаx_2[[#This Row],[id]]=A46,EDATE(Таблицаx_2[[#This Row],[Месяц]],1)=D46),F46,0)</f>
        <v>0</v>
      </c>
      <c r="K45" s="8">
        <f>IF(AND(Таблицаx_2[[#This Row],[Месяц окончания]]=Таблицаx_2[[#This Row],[Месяц]],Таблицаx_2[[#This Row],[id]]=A46,EDATE(Таблицаx_2[[#This Row],[Месяц]],2)=D46),F46,0)</f>
        <v>0</v>
      </c>
    </row>
    <row r="46" spans="1:11" ht="12.75" hidden="1" customHeight="1" x14ac:dyDescent="0.2">
      <c r="A46" s="8">
        <v>716</v>
      </c>
      <c r="B46" s="8" t="s">
        <v>45</v>
      </c>
      <c r="C46" s="8" t="s">
        <v>6</v>
      </c>
      <c r="D46" s="12">
        <v>44866</v>
      </c>
      <c r="E46" s="8">
        <v>18640</v>
      </c>
      <c r="F46" s="10">
        <f>IF(ISTEXT(Таблицаx_2[[#This Row],[Значение]]), 0, Таблицаx_2[[#This Row],[Значение]])</f>
        <v>18640</v>
      </c>
      <c r="G46" s="12">
        <v>44896</v>
      </c>
      <c r="H46" s="10" t="str">
        <f>IFERROR(VLOOKUP(Таблицаx_2[[#This Row],[id]],prolongations!A:C,2,)," ")</f>
        <v>декабрь 2022</v>
      </c>
      <c r="I46" s="10">
        <f>IF(Таблицаx_2[[#This Row],[Месяц окончания]]=Таблицаx_2[[#This Row],[Месяц]],Таблицаx_2[[#This Row],[Значения числа]],0)</f>
        <v>0</v>
      </c>
      <c r="J46" s="8">
        <f>IF(AND(Таблицаx_2[[#This Row],[Месяц окончания]]=Таблицаx_2[[#This Row],[Месяц]],Таблицаx_2[[#This Row],[id]]=A47,EDATE(Таблицаx_2[[#This Row],[Месяц]],1)=D47),F47,0)</f>
        <v>0</v>
      </c>
      <c r="K46" s="8">
        <f>IF(AND(Таблицаx_2[[#This Row],[Месяц окончания]]=Таблицаx_2[[#This Row],[Месяц]],Таблицаx_2[[#This Row],[id]]=A47,EDATE(Таблицаx_2[[#This Row],[Месяц]],2)=D47),F47,0)</f>
        <v>0</v>
      </c>
    </row>
    <row r="47" spans="1:11" hidden="1" x14ac:dyDescent="0.2">
      <c r="A47" s="8">
        <v>716</v>
      </c>
      <c r="B47" s="8" t="s">
        <v>45</v>
      </c>
      <c r="C47" s="8" t="s">
        <v>6</v>
      </c>
      <c r="D47" s="12">
        <v>44896</v>
      </c>
      <c r="E47" s="8">
        <v>18710</v>
      </c>
      <c r="F47" s="10">
        <f>IF(ISTEXT(Таблицаx_2[[#This Row],[Значение]]), 0, Таблицаx_2[[#This Row],[Значение]])</f>
        <v>18710</v>
      </c>
      <c r="G47" s="12">
        <v>44896</v>
      </c>
      <c r="H47" s="10" t="str">
        <f>IFERROR(VLOOKUP(Таблицаx_2[[#This Row],[id]],prolongations!A:C,2,)," ")</f>
        <v>декабрь 2022</v>
      </c>
      <c r="I47" s="10">
        <f>IF(Таблицаx_2[[#This Row],[Месяц окончания]]=Таблицаx_2[[#This Row],[Месяц]],Таблицаx_2[[#This Row],[Значения числа]],0)</f>
        <v>18710</v>
      </c>
      <c r="J47" s="8">
        <f>IF(AND(Таблицаx_2[[#This Row],[Месяц окончания]]=Таблицаx_2[[#This Row],[Месяц]],Таблицаx_2[[#This Row],[id]]=A48,EDATE(Таблицаx_2[[#This Row],[Месяц]],1)=D48),F48,0)</f>
        <v>0</v>
      </c>
      <c r="K47" s="8">
        <f>IF(AND(Таблицаx_2[[#This Row],[Месяц окончания]]=Таблицаx_2[[#This Row],[Месяц]],Таблицаx_2[[#This Row],[id]]=A48,EDATE(Таблицаx_2[[#This Row],[Месяц]],2)=D48),F48,0)</f>
        <v>0</v>
      </c>
    </row>
    <row r="48" spans="1:11" ht="12.75" hidden="1" customHeight="1" x14ac:dyDescent="0.2">
      <c r="A48" s="8">
        <v>716</v>
      </c>
      <c r="B48" s="8" t="s">
        <v>47</v>
      </c>
      <c r="C48" s="8" t="s">
        <v>6</v>
      </c>
      <c r="D48" s="12">
        <v>44866</v>
      </c>
      <c r="E48" s="8">
        <v>3165</v>
      </c>
      <c r="F48" s="10">
        <f>IF(ISTEXT(Таблицаx_2[[#This Row],[Значение]]), 0, Таблицаx_2[[#This Row],[Значение]])</f>
        <v>3165</v>
      </c>
      <c r="G48" s="12">
        <v>44896</v>
      </c>
      <c r="H48" s="10" t="str">
        <f>IFERROR(VLOOKUP(Таблицаx_2[[#This Row],[id]],prolongations!A:C,2,)," ")</f>
        <v>декабрь 2022</v>
      </c>
      <c r="I48" s="10">
        <f>IF(Таблицаx_2[[#This Row],[Месяц окончания]]=Таблицаx_2[[#This Row],[Месяц]],Таблицаx_2[[#This Row],[Значения числа]],0)</f>
        <v>0</v>
      </c>
      <c r="J48" s="8">
        <f>IF(AND(Таблицаx_2[[#This Row],[Месяц окончания]]=Таблицаx_2[[#This Row],[Месяц]],Таблицаx_2[[#This Row],[id]]=A49,EDATE(Таблицаx_2[[#This Row],[Месяц]],1)=D49),F49,0)</f>
        <v>0</v>
      </c>
      <c r="K48" s="8">
        <f>IF(AND(Таблицаx_2[[#This Row],[Месяц окончания]]=Таблицаx_2[[#This Row],[Месяц]],Таблицаx_2[[#This Row],[id]]=A49,EDATE(Таблицаx_2[[#This Row],[Месяц]],2)=D49),F49,0)</f>
        <v>0</v>
      </c>
    </row>
    <row r="49" spans="1:11" hidden="1" x14ac:dyDescent="0.2">
      <c r="A49" s="8">
        <v>716</v>
      </c>
      <c r="B49" s="8" t="s">
        <v>47</v>
      </c>
      <c r="C49" s="8" t="s">
        <v>6</v>
      </c>
      <c r="D49" s="12">
        <v>44896</v>
      </c>
      <c r="E49" s="8">
        <v>2110</v>
      </c>
      <c r="F49" s="10">
        <f>IF(ISTEXT(Таблицаx_2[[#This Row],[Значение]]), 0, Таблицаx_2[[#This Row],[Значение]])</f>
        <v>2110</v>
      </c>
      <c r="G49" s="12">
        <v>44896</v>
      </c>
      <c r="H49" s="10" t="str">
        <f>IFERROR(VLOOKUP(Таблицаx_2[[#This Row],[id]],prolongations!A:C,2,)," ")</f>
        <v>декабрь 2022</v>
      </c>
      <c r="I49" s="10">
        <f>IF(Таблицаx_2[[#This Row],[Месяц окончания]]=Таблицаx_2[[#This Row],[Месяц]],Таблицаx_2[[#This Row],[Значения числа]],0)</f>
        <v>2110</v>
      </c>
      <c r="J49" s="8">
        <f>IF(AND(Таблицаx_2[[#This Row],[Месяц окончания]]=Таблицаx_2[[#This Row],[Месяц]],Таблицаx_2[[#This Row],[id]]=A50,EDATE(Таблицаx_2[[#This Row],[Месяц]],1)=D50),F50,0)</f>
        <v>0</v>
      </c>
      <c r="K49" s="8">
        <f>IF(AND(Таблицаx_2[[#This Row],[Месяц окончания]]=Таблицаx_2[[#This Row],[Месяц]],Таблицаx_2[[#This Row],[id]]=A50,EDATE(Таблицаx_2[[#This Row],[Месяц]],2)=D50),F50,0)</f>
        <v>0</v>
      </c>
    </row>
    <row r="50" spans="1:11" ht="12.75" hidden="1" customHeight="1" x14ac:dyDescent="0.2">
      <c r="A50" s="8">
        <v>613</v>
      </c>
      <c r="B50" s="8" t="s">
        <v>45</v>
      </c>
      <c r="C50" s="8" t="s">
        <v>4</v>
      </c>
      <c r="D50" s="12">
        <v>44866</v>
      </c>
      <c r="E50" s="8" t="s">
        <v>48</v>
      </c>
      <c r="F50" s="10">
        <f>IF(ISTEXT(Таблицаx_2[[#This Row],[Значение]]), 0, Таблицаx_2[[#This Row],[Значение]])</f>
        <v>0</v>
      </c>
      <c r="G50" s="12">
        <v>44896</v>
      </c>
      <c r="H50" s="10" t="str">
        <f>IFERROR(VLOOKUP(Таблицаx_2[[#This Row],[id]],prolongations!A:C,2,)," ")</f>
        <v>декабрь 2022</v>
      </c>
      <c r="I50" s="10">
        <f>IF(Таблицаx_2[[#This Row],[Месяц окончания]]=Таблицаx_2[[#This Row],[Месяц]],Таблицаx_2[[#This Row],[Значения числа]],0)</f>
        <v>0</v>
      </c>
      <c r="J50" s="8">
        <f>IF(AND(Таблицаx_2[[#This Row],[Месяц окончания]]=Таблицаx_2[[#This Row],[Месяц]],Таблицаx_2[[#This Row],[id]]=A51,EDATE(Таблицаx_2[[#This Row],[Месяц]],1)=D51),F51,0)</f>
        <v>0</v>
      </c>
      <c r="K50" s="8">
        <f>IF(AND(Таблицаx_2[[#This Row],[Месяц окончания]]=Таблицаx_2[[#This Row],[Месяц]],Таблицаx_2[[#This Row],[id]]=A51,EDATE(Таблицаx_2[[#This Row],[Месяц]],2)=D51),F51,0)</f>
        <v>0</v>
      </c>
    </row>
    <row r="51" spans="1:11" hidden="1" x14ac:dyDescent="0.2">
      <c r="A51" s="8">
        <v>613</v>
      </c>
      <c r="B51" s="8" t="s">
        <v>45</v>
      </c>
      <c r="C51" s="8" t="s">
        <v>4</v>
      </c>
      <c r="D51" s="12">
        <v>44896</v>
      </c>
      <c r="E51" s="8" t="s">
        <v>46</v>
      </c>
      <c r="F51" s="10">
        <f>IF(ISTEXT(Таблицаx_2[[#This Row],[Значение]]), 0, Таблицаx_2[[#This Row],[Значение]])</f>
        <v>0</v>
      </c>
      <c r="G51" s="12">
        <v>44896</v>
      </c>
      <c r="H51" s="10" t="str">
        <f>IFERROR(VLOOKUP(Таблицаx_2[[#This Row],[id]],prolongations!A:C,2,)," ")</f>
        <v>декабрь 2022</v>
      </c>
      <c r="I51" s="10">
        <f>IF(Таблицаx_2[[#This Row],[Месяц окончания]]=Таблицаx_2[[#This Row],[Месяц]],Таблицаx_2[[#This Row],[Значения числа]],0)</f>
        <v>0</v>
      </c>
      <c r="J51" s="8">
        <f>IF(AND(Таблицаx_2[[#This Row],[Месяц окончания]]=Таблицаx_2[[#This Row],[Месяц]],Таблицаx_2[[#This Row],[id]]=A52,EDATE(Таблицаx_2[[#This Row],[Месяц]],1)=D52),F52,0)</f>
        <v>0</v>
      </c>
      <c r="K51" s="8">
        <f>IF(AND(Таблицаx_2[[#This Row],[Месяц окончания]]=Таблицаx_2[[#This Row],[Месяц]],Таблицаx_2[[#This Row],[id]]=A52,EDATE(Таблицаx_2[[#This Row],[Месяц]],2)=D52),F52,0)</f>
        <v>0</v>
      </c>
    </row>
    <row r="52" spans="1:11" ht="12.75" hidden="1" customHeight="1" x14ac:dyDescent="0.2">
      <c r="A52" s="8">
        <v>615</v>
      </c>
      <c r="B52" s="8" t="s">
        <v>45</v>
      </c>
      <c r="C52" s="8" t="s">
        <v>4</v>
      </c>
      <c r="D52" s="12">
        <v>44866</v>
      </c>
      <c r="E52" s="8" t="s">
        <v>48</v>
      </c>
      <c r="F52" s="10">
        <f>IF(ISTEXT(Таблицаx_2[[#This Row],[Значение]]), 0, Таблицаx_2[[#This Row],[Значение]])</f>
        <v>0</v>
      </c>
      <c r="G52" s="12">
        <v>44896</v>
      </c>
      <c r="H52" s="10" t="str">
        <f>IFERROR(VLOOKUP(Таблицаx_2[[#This Row],[id]],prolongations!A:C,2,)," ")</f>
        <v>декабрь 2022</v>
      </c>
      <c r="I52" s="10">
        <f>IF(Таблицаx_2[[#This Row],[Месяц окончания]]=Таблицаx_2[[#This Row],[Месяц]],Таблицаx_2[[#This Row],[Значения числа]],0)</f>
        <v>0</v>
      </c>
      <c r="J52" s="8">
        <f>IF(AND(Таблицаx_2[[#This Row],[Месяц окончания]]=Таблицаx_2[[#This Row],[Месяц]],Таблицаx_2[[#This Row],[id]]=A53,EDATE(Таблицаx_2[[#This Row],[Месяц]],1)=D53),F53,0)</f>
        <v>0</v>
      </c>
      <c r="K52" s="8">
        <f>IF(AND(Таблицаx_2[[#This Row],[Месяц окончания]]=Таблицаx_2[[#This Row],[Месяц]],Таблицаx_2[[#This Row],[id]]=A53,EDATE(Таблицаx_2[[#This Row],[Месяц]],2)=D53),F53,0)</f>
        <v>0</v>
      </c>
    </row>
    <row r="53" spans="1:11" hidden="1" x14ac:dyDescent="0.2">
      <c r="A53" s="8">
        <v>615</v>
      </c>
      <c r="B53" s="8" t="s">
        <v>45</v>
      </c>
      <c r="C53" s="8" t="s">
        <v>4</v>
      </c>
      <c r="D53" s="12">
        <v>44896</v>
      </c>
      <c r="E53" s="8" t="s">
        <v>46</v>
      </c>
      <c r="F53" s="10">
        <f>IF(ISTEXT(Таблицаx_2[[#This Row],[Значение]]), 0, Таблицаx_2[[#This Row],[Значение]])</f>
        <v>0</v>
      </c>
      <c r="G53" s="12">
        <v>44896</v>
      </c>
      <c r="H53" s="10" t="str">
        <f>IFERROR(VLOOKUP(Таблицаx_2[[#This Row],[id]],prolongations!A:C,2,)," ")</f>
        <v>декабрь 2022</v>
      </c>
      <c r="I53" s="10">
        <f>IF(Таблицаx_2[[#This Row],[Месяц окончания]]=Таблицаx_2[[#This Row],[Месяц]],Таблицаx_2[[#This Row],[Значения числа]],0)</f>
        <v>0</v>
      </c>
      <c r="J53" s="8">
        <f>IF(AND(Таблицаx_2[[#This Row],[Месяц окончания]]=Таблицаx_2[[#This Row],[Месяц]],Таблицаx_2[[#This Row],[id]]=A54,EDATE(Таблицаx_2[[#This Row],[Месяц]],1)=D54),F54,0)</f>
        <v>0</v>
      </c>
      <c r="K53" s="8">
        <f>IF(AND(Таблицаx_2[[#This Row],[Месяц окончания]]=Таблицаx_2[[#This Row],[Месяц]],Таблицаx_2[[#This Row],[id]]=A54,EDATE(Таблицаx_2[[#This Row],[Месяц]],2)=D54),F54,0)</f>
        <v>0</v>
      </c>
    </row>
    <row r="54" spans="1:11" ht="12.75" hidden="1" customHeight="1" x14ac:dyDescent="0.2">
      <c r="A54" s="8">
        <v>617</v>
      </c>
      <c r="B54" s="8" t="s">
        <v>45</v>
      </c>
      <c r="C54" s="8" t="s">
        <v>4</v>
      </c>
      <c r="D54" s="12">
        <v>44866</v>
      </c>
      <c r="E54" s="8" t="s">
        <v>48</v>
      </c>
      <c r="F54" s="10">
        <f>IF(ISTEXT(Таблицаx_2[[#This Row],[Значение]]), 0, Таблицаx_2[[#This Row],[Значение]])</f>
        <v>0</v>
      </c>
      <c r="G54" s="12">
        <v>44896</v>
      </c>
      <c r="H54" s="10" t="str">
        <f>IFERROR(VLOOKUP(Таблицаx_2[[#This Row],[id]],prolongations!A:C,2,)," ")</f>
        <v>декабрь 2022</v>
      </c>
      <c r="I54" s="10">
        <f>IF(Таблицаx_2[[#This Row],[Месяц окончания]]=Таблицаx_2[[#This Row],[Месяц]],Таблицаx_2[[#This Row],[Значения числа]],0)</f>
        <v>0</v>
      </c>
      <c r="J54" s="8">
        <f>IF(AND(Таблицаx_2[[#This Row],[Месяц окончания]]=Таблицаx_2[[#This Row],[Месяц]],Таблицаx_2[[#This Row],[id]]=A55,EDATE(Таблицаx_2[[#This Row],[Месяц]],1)=D55),F55,0)</f>
        <v>0</v>
      </c>
      <c r="K54" s="8">
        <f>IF(AND(Таблицаx_2[[#This Row],[Месяц окончания]]=Таблицаx_2[[#This Row],[Месяц]],Таблицаx_2[[#This Row],[id]]=A55,EDATE(Таблицаx_2[[#This Row],[Месяц]],2)=D55),F55,0)</f>
        <v>0</v>
      </c>
    </row>
    <row r="55" spans="1:11" hidden="1" x14ac:dyDescent="0.2">
      <c r="A55" s="8">
        <v>617</v>
      </c>
      <c r="B55" s="8" t="s">
        <v>45</v>
      </c>
      <c r="C55" s="8" t="s">
        <v>4</v>
      </c>
      <c r="D55" s="12">
        <v>44896</v>
      </c>
      <c r="E55" s="8" t="s">
        <v>46</v>
      </c>
      <c r="F55" s="10">
        <f>IF(ISTEXT(Таблицаx_2[[#This Row],[Значение]]), 0, Таблицаx_2[[#This Row],[Значение]])</f>
        <v>0</v>
      </c>
      <c r="G55" s="12">
        <v>44896</v>
      </c>
      <c r="H55" s="10" t="str">
        <f>IFERROR(VLOOKUP(Таблицаx_2[[#This Row],[id]],prolongations!A:C,2,)," ")</f>
        <v>декабрь 2022</v>
      </c>
      <c r="I55" s="10">
        <f>IF(Таблицаx_2[[#This Row],[Месяц окончания]]=Таблицаx_2[[#This Row],[Месяц]],Таблицаx_2[[#This Row],[Значения числа]],0)</f>
        <v>0</v>
      </c>
      <c r="J55" s="8">
        <f>IF(AND(Таблицаx_2[[#This Row],[Месяц окончания]]=Таблицаx_2[[#This Row],[Месяц]],Таблицаx_2[[#This Row],[id]]=A56,EDATE(Таблицаx_2[[#This Row],[Месяц]],1)=D56),F56,0)</f>
        <v>0</v>
      </c>
      <c r="K55" s="8">
        <f>IF(AND(Таблицаx_2[[#This Row],[Месяц окончания]]=Таблицаx_2[[#This Row],[Месяц]],Таблицаx_2[[#This Row],[id]]=A56,EDATE(Таблицаx_2[[#This Row],[Месяц]],2)=D56),F56,0)</f>
        <v>0</v>
      </c>
    </row>
    <row r="56" spans="1:11" ht="12.75" hidden="1" customHeight="1" x14ac:dyDescent="0.2">
      <c r="A56" s="8">
        <v>643</v>
      </c>
      <c r="B56" s="8" t="s">
        <v>45</v>
      </c>
      <c r="C56" s="8" t="s">
        <v>4</v>
      </c>
      <c r="D56" s="12">
        <v>44866</v>
      </c>
      <c r="E56" s="8" t="s">
        <v>48</v>
      </c>
      <c r="F56" s="10">
        <f>IF(ISTEXT(Таблицаx_2[[#This Row],[Значение]]), 0, Таблицаx_2[[#This Row],[Значение]])</f>
        <v>0</v>
      </c>
      <c r="G56" s="12">
        <v>44896</v>
      </c>
      <c r="H56" s="10" t="str">
        <f>IFERROR(VLOOKUP(Таблицаx_2[[#This Row],[id]],prolongations!A:C,2,)," ")</f>
        <v>декабрь 2022</v>
      </c>
      <c r="I56" s="10">
        <f>IF(Таблицаx_2[[#This Row],[Месяц окончания]]=Таблицаx_2[[#This Row],[Месяц]],Таблицаx_2[[#This Row],[Значения числа]],0)</f>
        <v>0</v>
      </c>
      <c r="J56" s="8">
        <f>IF(AND(Таблицаx_2[[#This Row],[Месяц окончания]]=Таблицаx_2[[#This Row],[Месяц]],Таблицаx_2[[#This Row],[id]]=A57,EDATE(Таблицаx_2[[#This Row],[Месяц]],1)=D57),F57,0)</f>
        <v>0</v>
      </c>
      <c r="K56" s="8">
        <f>IF(AND(Таблицаx_2[[#This Row],[Месяц окончания]]=Таблицаx_2[[#This Row],[Месяц]],Таблицаx_2[[#This Row],[id]]=A57,EDATE(Таблицаx_2[[#This Row],[Месяц]],2)=D57),F57,0)</f>
        <v>0</v>
      </c>
    </row>
    <row r="57" spans="1:11" hidden="1" x14ac:dyDescent="0.2">
      <c r="A57" s="8">
        <v>643</v>
      </c>
      <c r="B57" s="8" t="s">
        <v>45</v>
      </c>
      <c r="C57" s="8" t="s">
        <v>4</v>
      </c>
      <c r="D57" s="12">
        <v>44896</v>
      </c>
      <c r="E57" s="8" t="s">
        <v>46</v>
      </c>
      <c r="F57" s="10">
        <f>IF(ISTEXT(Таблицаx_2[[#This Row],[Значение]]), 0, Таблицаx_2[[#This Row],[Значение]])</f>
        <v>0</v>
      </c>
      <c r="G57" s="12">
        <v>44896</v>
      </c>
      <c r="H57" s="10" t="str">
        <f>IFERROR(VLOOKUP(Таблицаx_2[[#This Row],[id]],prolongations!A:C,2,)," ")</f>
        <v>декабрь 2022</v>
      </c>
      <c r="I57" s="10">
        <f>IF(Таблицаx_2[[#This Row],[Месяц окончания]]=Таблицаx_2[[#This Row],[Месяц]],Таблицаx_2[[#This Row],[Значения числа]],0)</f>
        <v>0</v>
      </c>
      <c r="J57" s="8">
        <f>IF(AND(Таблицаx_2[[#This Row],[Месяц окончания]]=Таблицаx_2[[#This Row],[Месяц]],Таблицаx_2[[#This Row],[id]]=A58,EDATE(Таблицаx_2[[#This Row],[Месяц]],1)=D58),F58,0)</f>
        <v>0</v>
      </c>
      <c r="K57" s="8">
        <f>IF(AND(Таблицаx_2[[#This Row],[Месяц окончания]]=Таблицаx_2[[#This Row],[Месяц]],Таблицаx_2[[#This Row],[id]]=A58,EDATE(Таблицаx_2[[#This Row],[Месяц]],2)=D58),F58,0)</f>
        <v>0</v>
      </c>
    </row>
    <row r="58" spans="1:11" ht="12.75" hidden="1" customHeight="1" x14ac:dyDescent="0.2">
      <c r="A58" s="8">
        <v>318</v>
      </c>
      <c r="B58" s="8"/>
      <c r="C58" s="8" t="s">
        <v>8</v>
      </c>
      <c r="D58" s="12">
        <v>44866</v>
      </c>
      <c r="E58" s="8">
        <v>17950</v>
      </c>
      <c r="F58" s="10">
        <f>IF(ISTEXT(Таблицаx_2[[#This Row],[Значение]]), 0, Таблицаx_2[[#This Row],[Значение]])</f>
        <v>17950</v>
      </c>
      <c r="G58" s="12">
        <v>44896</v>
      </c>
      <c r="H58" s="10" t="str">
        <f>IFERROR(VLOOKUP(Таблицаx_2[[#This Row],[id]],prolongations!A:C,2,)," ")</f>
        <v>декабрь 2022</v>
      </c>
      <c r="I58" s="10">
        <f>IF(Таблицаx_2[[#This Row],[Месяц окончания]]=Таблицаx_2[[#This Row],[Месяц]],Таблицаx_2[[#This Row],[Значения числа]],0)</f>
        <v>0</v>
      </c>
      <c r="J58" s="8">
        <f>IF(AND(Таблицаx_2[[#This Row],[Месяц окончания]]=Таблицаx_2[[#This Row],[Месяц]],Таблицаx_2[[#This Row],[id]]=A59,EDATE(Таблицаx_2[[#This Row],[Месяц]],1)=D59),F59,0)</f>
        <v>0</v>
      </c>
      <c r="K58" s="8">
        <f>IF(AND(Таблицаx_2[[#This Row],[Месяц окончания]]=Таблицаx_2[[#This Row],[Месяц]],Таблицаx_2[[#This Row],[id]]=A59,EDATE(Таблицаx_2[[#This Row],[Месяц]],2)=D59),F59,0)</f>
        <v>0</v>
      </c>
    </row>
    <row r="59" spans="1:11" hidden="1" x14ac:dyDescent="0.2">
      <c r="A59" s="8">
        <v>318</v>
      </c>
      <c r="B59" s="8"/>
      <c r="C59" s="8" t="s">
        <v>8</v>
      </c>
      <c r="D59" s="12">
        <v>44896</v>
      </c>
      <c r="E59" s="8">
        <v>20590</v>
      </c>
      <c r="F59" s="10">
        <f>IF(ISTEXT(Таблицаx_2[[#This Row],[Значение]]), 0, Таблицаx_2[[#This Row],[Значение]])</f>
        <v>20590</v>
      </c>
      <c r="G59" s="12">
        <v>44896</v>
      </c>
      <c r="H59" s="10" t="str">
        <f>IFERROR(VLOOKUP(Таблицаx_2[[#This Row],[id]],prolongations!A:C,2,)," ")</f>
        <v>декабрь 2022</v>
      </c>
      <c r="I59" s="10">
        <f>IF(Таблицаx_2[[#This Row],[Месяц окончания]]=Таблицаx_2[[#This Row],[Месяц]],Таблицаx_2[[#This Row],[Значения числа]],0)</f>
        <v>20590</v>
      </c>
      <c r="J59" s="8">
        <f>IF(AND(Таблицаx_2[[#This Row],[Месяц окончания]]=Таблицаx_2[[#This Row],[Месяц]],Таблицаx_2[[#This Row],[id]]=A60,EDATE(Таблицаx_2[[#This Row],[Месяц]],1)=D60),F60,0)</f>
        <v>0</v>
      </c>
      <c r="K59" s="8">
        <f>IF(AND(Таблицаx_2[[#This Row],[Месяц окончания]]=Таблицаx_2[[#This Row],[Месяц]],Таблицаx_2[[#This Row],[id]]=A60,EDATE(Таблицаx_2[[#This Row],[Месяц]],2)=D60),F60,0)</f>
        <v>0</v>
      </c>
    </row>
    <row r="60" spans="1:11" ht="12.75" hidden="1" customHeight="1" x14ac:dyDescent="0.2">
      <c r="A60" s="8">
        <v>461</v>
      </c>
      <c r="B60" s="8" t="s">
        <v>45</v>
      </c>
      <c r="C60" s="8" t="s">
        <v>7</v>
      </c>
      <c r="D60" s="12">
        <v>44866</v>
      </c>
      <c r="E60" s="8">
        <v>103230</v>
      </c>
      <c r="F60" s="10">
        <f>IF(ISTEXT(Таблицаx_2[[#This Row],[Значение]]), 0, Таблицаx_2[[#This Row],[Значение]])</f>
        <v>103230</v>
      </c>
      <c r="G60" s="12">
        <v>44896</v>
      </c>
      <c r="H60" s="10" t="str">
        <f>IFERROR(VLOOKUP(Таблицаx_2[[#This Row],[id]],prolongations!A:C,2,)," ")</f>
        <v>декабрь 2022</v>
      </c>
      <c r="I60" s="10">
        <f>IF(Таблицаx_2[[#This Row],[Месяц окончания]]=Таблицаx_2[[#This Row],[Месяц]],Таблицаx_2[[#This Row],[Значения числа]],0)</f>
        <v>0</v>
      </c>
      <c r="J60" s="8">
        <f>IF(AND(Таблицаx_2[[#This Row],[Месяц окончания]]=Таблицаx_2[[#This Row],[Месяц]],Таблицаx_2[[#This Row],[id]]=A61,EDATE(Таблицаx_2[[#This Row],[Месяц]],1)=D61),F61,0)</f>
        <v>0</v>
      </c>
      <c r="K60" s="8">
        <f>IF(AND(Таблицаx_2[[#This Row],[Месяц окончания]]=Таблицаx_2[[#This Row],[Месяц]],Таблицаx_2[[#This Row],[id]]=A61,EDATE(Таблицаx_2[[#This Row],[Месяц]],2)=D61),F61,0)</f>
        <v>0</v>
      </c>
    </row>
    <row r="61" spans="1:11" hidden="1" x14ac:dyDescent="0.2">
      <c r="A61" s="8">
        <v>461</v>
      </c>
      <c r="B61" s="8" t="s">
        <v>45</v>
      </c>
      <c r="C61" s="8" t="s">
        <v>7</v>
      </c>
      <c r="D61" s="12">
        <v>44896</v>
      </c>
      <c r="E61" s="8">
        <v>103230</v>
      </c>
      <c r="F61" s="10">
        <f>IF(ISTEXT(Таблицаx_2[[#This Row],[Значение]]), 0, Таблицаx_2[[#This Row],[Значение]])</f>
        <v>103230</v>
      </c>
      <c r="G61" s="12">
        <v>44896</v>
      </c>
      <c r="H61" s="10" t="str">
        <f>IFERROR(VLOOKUP(Таблицаx_2[[#This Row],[id]],prolongations!A:C,2,)," ")</f>
        <v>декабрь 2022</v>
      </c>
      <c r="I61" s="10">
        <f>IF(Таблицаx_2[[#This Row],[Месяц окончания]]=Таблицаx_2[[#This Row],[Месяц]],Таблицаx_2[[#This Row],[Значения числа]],0)</f>
        <v>103230</v>
      </c>
      <c r="J61" s="8">
        <f>IF(AND(Таблицаx_2[[#This Row],[Месяц окончания]]=Таблицаx_2[[#This Row],[Месяц]],Таблицаx_2[[#This Row],[id]]=A62,EDATE(Таблицаx_2[[#This Row],[Месяц]],1)=D62),F62,0)</f>
        <v>0</v>
      </c>
      <c r="K61" s="8">
        <f>IF(AND(Таблицаx_2[[#This Row],[Месяц окончания]]=Таблицаx_2[[#This Row],[Месяц]],Таблицаx_2[[#This Row],[id]]=A62,EDATE(Таблицаx_2[[#This Row],[Месяц]],2)=D62),F62,0)</f>
        <v>0</v>
      </c>
    </row>
    <row r="62" spans="1:11" ht="12.75" hidden="1" customHeight="1" x14ac:dyDescent="0.2">
      <c r="A62" s="8">
        <v>461</v>
      </c>
      <c r="B62" s="8" t="s">
        <v>47</v>
      </c>
      <c r="C62" s="8" t="s">
        <v>7</v>
      </c>
      <c r="D62" s="12">
        <v>44866</v>
      </c>
      <c r="E62" s="8">
        <v>27720</v>
      </c>
      <c r="F62" s="10">
        <f>IF(ISTEXT(Таблицаx_2[[#This Row],[Значение]]), 0, Таблицаx_2[[#This Row],[Значение]])</f>
        <v>27720</v>
      </c>
      <c r="G62" s="12">
        <v>44896</v>
      </c>
      <c r="H62" s="10" t="str">
        <f>IFERROR(VLOOKUP(Таблицаx_2[[#This Row],[id]],prolongations!A:C,2,)," ")</f>
        <v>декабрь 2022</v>
      </c>
      <c r="I62" s="10">
        <f>IF(Таблицаx_2[[#This Row],[Месяц окончания]]=Таблицаx_2[[#This Row],[Месяц]],Таблицаx_2[[#This Row],[Значения числа]],0)</f>
        <v>0</v>
      </c>
      <c r="J62" s="8">
        <f>IF(AND(Таблицаx_2[[#This Row],[Месяц окончания]]=Таблицаx_2[[#This Row],[Месяц]],Таблицаx_2[[#This Row],[id]]=A63,EDATE(Таблицаx_2[[#This Row],[Месяц]],1)=D63),F63,0)</f>
        <v>0</v>
      </c>
      <c r="K62" s="8">
        <f>IF(AND(Таблицаx_2[[#This Row],[Месяц окончания]]=Таблицаx_2[[#This Row],[Месяц]],Таблицаx_2[[#This Row],[id]]=A63,EDATE(Таблицаx_2[[#This Row],[Месяц]],2)=D63),F63,0)</f>
        <v>0</v>
      </c>
    </row>
    <row r="63" spans="1:11" hidden="1" x14ac:dyDescent="0.2">
      <c r="A63" s="8">
        <v>461</v>
      </c>
      <c r="B63" s="8" t="s">
        <v>47</v>
      </c>
      <c r="C63" s="8" t="s">
        <v>7</v>
      </c>
      <c r="D63" s="12">
        <v>44896</v>
      </c>
      <c r="E63" s="8">
        <v>27180</v>
      </c>
      <c r="F63" s="10">
        <f>IF(ISTEXT(Таблицаx_2[[#This Row],[Значение]]), 0, Таблицаx_2[[#This Row],[Значение]])</f>
        <v>27180</v>
      </c>
      <c r="G63" s="12">
        <v>44896</v>
      </c>
      <c r="H63" s="10" t="str">
        <f>IFERROR(VLOOKUP(Таблицаx_2[[#This Row],[id]],prolongations!A:C,2,)," ")</f>
        <v>декабрь 2022</v>
      </c>
      <c r="I63" s="10">
        <f>IF(Таблицаx_2[[#This Row],[Месяц окончания]]=Таблицаx_2[[#This Row],[Месяц]],Таблицаx_2[[#This Row],[Значения числа]],0)</f>
        <v>27180</v>
      </c>
      <c r="J63" s="8">
        <f>IF(AND(Таблицаx_2[[#This Row],[Месяц окончания]]=Таблицаx_2[[#This Row],[Месяц]],Таблицаx_2[[#This Row],[id]]=A64,EDATE(Таблицаx_2[[#This Row],[Месяц]],1)=D64),F64,0)</f>
        <v>0</v>
      </c>
      <c r="K63" s="8">
        <f>IF(AND(Таблицаx_2[[#This Row],[Месяц окончания]]=Таблицаx_2[[#This Row],[Месяц]],Таблицаx_2[[#This Row],[id]]=A64,EDATE(Таблицаx_2[[#This Row],[Месяц]],2)=D64),F64,0)</f>
        <v>0</v>
      </c>
    </row>
    <row r="64" spans="1:11" hidden="1" x14ac:dyDescent="0.2">
      <c r="A64" s="8">
        <v>717</v>
      </c>
      <c r="B64" s="8"/>
      <c r="C64" s="8" t="s">
        <v>8</v>
      </c>
      <c r="D64" s="12">
        <v>44896</v>
      </c>
      <c r="E64" s="8">
        <v>34100</v>
      </c>
      <c r="F64" s="10">
        <f>IF(ISTEXT(Таблицаx_2[[#This Row],[Значение]]), 0, Таблицаx_2[[#This Row],[Значение]])</f>
        <v>34100</v>
      </c>
      <c r="G64" s="12">
        <v>44896</v>
      </c>
      <c r="H64" s="10" t="str">
        <f>IFERROR(VLOOKUP(Таблицаx_2[[#This Row],[id]],prolongations!A:C,2,)," ")</f>
        <v>декабрь 2022</v>
      </c>
      <c r="I64" s="10">
        <f>IF(Таблицаx_2[[#This Row],[Месяц окончания]]=Таблицаx_2[[#This Row],[Месяц]],Таблицаx_2[[#This Row],[Значения числа]],0)</f>
        <v>34100</v>
      </c>
      <c r="J64" s="8">
        <f>IF(AND(Таблицаx_2[[#This Row],[Месяц окончания]]=Таблицаx_2[[#This Row],[Месяц]],Таблицаx_2[[#This Row],[id]]=A65,EDATE(Таблицаx_2[[#This Row],[Месяц]],1)=D65),F65,0)</f>
        <v>0</v>
      </c>
      <c r="K64" s="8">
        <f>IF(AND(Таблицаx_2[[#This Row],[Месяц окончания]]=Таблицаx_2[[#This Row],[Месяц]],Таблицаx_2[[#This Row],[id]]=A65,EDATE(Таблицаx_2[[#This Row],[Месяц]],2)=D65),F65,0)</f>
        <v>0</v>
      </c>
    </row>
    <row r="65" spans="1:11" ht="12.75" hidden="1" customHeight="1" x14ac:dyDescent="0.2">
      <c r="A65" s="8">
        <v>418</v>
      </c>
      <c r="B65" s="8"/>
      <c r="C65" s="8" t="s">
        <v>5</v>
      </c>
      <c r="D65" s="12">
        <v>44866</v>
      </c>
      <c r="E65" s="8">
        <v>160420</v>
      </c>
      <c r="F65" s="10">
        <f>IF(ISTEXT(Таблицаx_2[[#This Row],[Значение]]), 0, Таблицаx_2[[#This Row],[Значение]])</f>
        <v>160420</v>
      </c>
      <c r="G65" s="12">
        <v>44896</v>
      </c>
      <c r="H65" s="10" t="str">
        <f>IFERROR(VLOOKUP(Таблицаx_2[[#This Row],[id]],prolongations!A:C,2,)," ")</f>
        <v>декабрь 2022</v>
      </c>
      <c r="I65" s="10">
        <f>IF(Таблицаx_2[[#This Row],[Месяц окончания]]=Таблицаx_2[[#This Row],[Месяц]],Таблицаx_2[[#This Row],[Значения числа]],0)</f>
        <v>0</v>
      </c>
      <c r="J65" s="8">
        <f>IF(AND(Таблицаx_2[[#This Row],[Месяц окончания]]=Таблицаx_2[[#This Row],[Месяц]],Таблицаx_2[[#This Row],[id]]=A66,EDATE(Таблицаx_2[[#This Row],[Месяц]],1)=D66),F66,0)</f>
        <v>0</v>
      </c>
      <c r="K65" s="8">
        <f>IF(AND(Таблицаx_2[[#This Row],[Месяц окончания]]=Таблицаx_2[[#This Row],[Месяц]],Таблицаx_2[[#This Row],[id]]=A66,EDATE(Таблицаx_2[[#This Row],[Месяц]],2)=D66),F66,0)</f>
        <v>0</v>
      </c>
    </row>
    <row r="66" spans="1:11" hidden="1" x14ac:dyDescent="0.2">
      <c r="A66" s="8">
        <v>418</v>
      </c>
      <c r="B66" s="8"/>
      <c r="C66" s="8" t="s">
        <v>5</v>
      </c>
      <c r="D66" s="12">
        <v>44896</v>
      </c>
      <c r="E66" s="8" t="s">
        <v>46</v>
      </c>
      <c r="F66" s="10">
        <f>IF(ISTEXT(Таблицаx_2[[#This Row],[Значение]]), 0, Таблицаx_2[[#This Row],[Значение]])</f>
        <v>0</v>
      </c>
      <c r="G66" s="12">
        <v>44896</v>
      </c>
      <c r="H66" s="10" t="str">
        <f>IFERROR(VLOOKUP(Таблицаx_2[[#This Row],[id]],prolongations!A:C,2,)," ")</f>
        <v>декабрь 2022</v>
      </c>
      <c r="I66" s="10">
        <f>IF(Таблицаx_2[[#This Row],[Месяц окончания]]=Таблицаx_2[[#This Row],[Месяц]],Таблицаx_2[[#This Row],[Значения числа]],0)</f>
        <v>0</v>
      </c>
      <c r="J66" s="8">
        <f>IF(AND(Таблицаx_2[[#This Row],[Месяц окончания]]=Таблицаx_2[[#This Row],[Месяц]],Таблицаx_2[[#This Row],[id]]=A67,EDATE(Таблицаx_2[[#This Row],[Месяц]],1)=D67),F67,0)</f>
        <v>0</v>
      </c>
      <c r="K66" s="8">
        <f>IF(AND(Таблицаx_2[[#This Row],[Месяц окончания]]=Таблицаx_2[[#This Row],[Месяц]],Таблицаx_2[[#This Row],[id]]=A67,EDATE(Таблицаx_2[[#This Row],[Месяц]],2)=D67),F67,0)</f>
        <v>0</v>
      </c>
    </row>
    <row r="67" spans="1:11" ht="12.75" hidden="1" customHeight="1" x14ac:dyDescent="0.2">
      <c r="A67" s="8">
        <v>456</v>
      </c>
      <c r="B67" s="8"/>
      <c r="C67" s="8" t="s">
        <v>5</v>
      </c>
      <c r="D67" s="12">
        <v>44866</v>
      </c>
      <c r="E67" s="8">
        <v>91240</v>
      </c>
      <c r="F67" s="10">
        <f>IF(ISTEXT(Таблицаx_2[[#This Row],[Значение]]), 0, Таблицаx_2[[#This Row],[Значение]])</f>
        <v>91240</v>
      </c>
      <c r="G67" s="12">
        <v>44896</v>
      </c>
      <c r="H67" s="10" t="str">
        <f>IFERROR(VLOOKUP(Таблицаx_2[[#This Row],[id]],prolongations!A:C,2,)," ")</f>
        <v>декабрь 2022</v>
      </c>
      <c r="I67" s="10">
        <f>IF(Таблицаx_2[[#This Row],[Месяц окончания]]=Таблицаx_2[[#This Row],[Месяц]],Таблицаx_2[[#This Row],[Значения числа]],0)</f>
        <v>0</v>
      </c>
      <c r="J67" s="8">
        <f>IF(AND(Таблицаx_2[[#This Row],[Месяц окончания]]=Таблицаx_2[[#This Row],[Месяц]],Таблицаx_2[[#This Row],[id]]=A68,EDATE(Таблицаx_2[[#This Row],[Месяц]],1)=D68),F68,0)</f>
        <v>0</v>
      </c>
      <c r="K67" s="8">
        <f>IF(AND(Таблицаx_2[[#This Row],[Месяц окончания]]=Таблицаx_2[[#This Row],[Месяц]],Таблицаx_2[[#This Row],[id]]=A68,EDATE(Таблицаx_2[[#This Row],[Месяц]],2)=D68),F68,0)</f>
        <v>0</v>
      </c>
    </row>
    <row r="68" spans="1:11" hidden="1" x14ac:dyDescent="0.2">
      <c r="A68" s="8">
        <v>456</v>
      </c>
      <c r="B68" s="8"/>
      <c r="C68" s="8" t="s">
        <v>5</v>
      </c>
      <c r="D68" s="12">
        <v>44896</v>
      </c>
      <c r="E68" s="8" t="s">
        <v>46</v>
      </c>
      <c r="F68" s="10">
        <f>IF(ISTEXT(Таблицаx_2[[#This Row],[Значение]]), 0, Таблицаx_2[[#This Row],[Значение]])</f>
        <v>0</v>
      </c>
      <c r="G68" s="12">
        <v>44896</v>
      </c>
      <c r="H68" s="10" t="str">
        <f>IFERROR(VLOOKUP(Таблицаx_2[[#This Row],[id]],prolongations!A:C,2,)," ")</f>
        <v>декабрь 2022</v>
      </c>
      <c r="I68" s="10">
        <f>IF(Таблицаx_2[[#This Row],[Месяц окончания]]=Таблицаx_2[[#This Row],[Месяц]],Таблицаx_2[[#This Row],[Значения числа]],0)</f>
        <v>0</v>
      </c>
      <c r="J68" s="8">
        <f>IF(AND(Таблицаx_2[[#This Row],[Месяц окончания]]=Таблицаx_2[[#This Row],[Месяц]],Таблицаx_2[[#This Row],[id]]=A69,EDATE(Таблицаx_2[[#This Row],[Месяц]],1)=D69),F69,0)</f>
        <v>0</v>
      </c>
      <c r="K68" s="8">
        <f>IF(AND(Таблицаx_2[[#This Row],[Месяц окончания]]=Таблицаx_2[[#This Row],[Месяц]],Таблицаx_2[[#This Row],[id]]=A69,EDATE(Таблицаx_2[[#This Row],[Месяц]],2)=D69),F69,0)</f>
        <v>0</v>
      </c>
    </row>
    <row r="69" spans="1:11" ht="12.75" hidden="1" customHeight="1" x14ac:dyDescent="0.2">
      <c r="A69" s="8">
        <v>457</v>
      </c>
      <c r="B69" s="8"/>
      <c r="C69" s="8" t="s">
        <v>5</v>
      </c>
      <c r="D69" s="12">
        <v>44866</v>
      </c>
      <c r="E69" s="8">
        <v>104675</v>
      </c>
      <c r="F69" s="10">
        <f>IF(ISTEXT(Таблицаx_2[[#This Row],[Значение]]), 0, Таблицаx_2[[#This Row],[Значение]])</f>
        <v>104675</v>
      </c>
      <c r="G69" s="12">
        <v>44896</v>
      </c>
      <c r="H69" s="10" t="str">
        <f>IFERROR(VLOOKUP(Таблицаx_2[[#This Row],[id]],prolongations!A:C,2,)," ")</f>
        <v>декабрь 2022</v>
      </c>
      <c r="I69" s="10">
        <f>IF(Таблицаx_2[[#This Row],[Месяц окончания]]=Таблицаx_2[[#This Row],[Месяц]],Таблицаx_2[[#This Row],[Значения числа]],0)</f>
        <v>0</v>
      </c>
      <c r="J69" s="8">
        <f>IF(AND(Таблицаx_2[[#This Row],[Месяц окончания]]=Таблицаx_2[[#This Row],[Месяц]],Таблицаx_2[[#This Row],[id]]=A70,EDATE(Таблицаx_2[[#This Row],[Месяц]],1)=D70),F70,0)</f>
        <v>0</v>
      </c>
      <c r="K69" s="8">
        <f>IF(AND(Таблицаx_2[[#This Row],[Месяц окончания]]=Таблицаx_2[[#This Row],[Месяц]],Таблицаx_2[[#This Row],[id]]=A70,EDATE(Таблицаx_2[[#This Row],[Месяц]],2)=D70),F70,0)</f>
        <v>0</v>
      </c>
    </row>
    <row r="70" spans="1:11" hidden="1" x14ac:dyDescent="0.2">
      <c r="A70" s="8">
        <v>457</v>
      </c>
      <c r="B70" s="8"/>
      <c r="C70" s="8" t="s">
        <v>5</v>
      </c>
      <c r="D70" s="12">
        <v>44896</v>
      </c>
      <c r="E70" s="8" t="s">
        <v>46</v>
      </c>
      <c r="F70" s="10">
        <f>IF(ISTEXT(Таблицаx_2[[#This Row],[Значение]]), 0, Таблицаx_2[[#This Row],[Значение]])</f>
        <v>0</v>
      </c>
      <c r="G70" s="12">
        <v>44896</v>
      </c>
      <c r="H70" s="10" t="str">
        <f>IFERROR(VLOOKUP(Таблицаx_2[[#This Row],[id]],prolongations!A:C,2,)," ")</f>
        <v>декабрь 2022</v>
      </c>
      <c r="I70" s="10">
        <f>IF(Таблицаx_2[[#This Row],[Месяц окончания]]=Таблицаx_2[[#This Row],[Месяц]],Таблицаx_2[[#This Row],[Значения числа]],0)</f>
        <v>0</v>
      </c>
      <c r="J70" s="8">
        <f>IF(AND(Таблицаx_2[[#This Row],[Месяц окончания]]=Таблицаx_2[[#This Row],[Месяц]],Таблицаx_2[[#This Row],[id]]=A71,EDATE(Таблицаx_2[[#This Row],[Месяц]],1)=D71),F71,0)</f>
        <v>0</v>
      </c>
      <c r="K70" s="8">
        <f>IF(AND(Таблицаx_2[[#This Row],[Месяц окончания]]=Таблицаx_2[[#This Row],[Месяц]],Таблицаx_2[[#This Row],[id]]=A71,EDATE(Таблицаx_2[[#This Row],[Месяц]],2)=D71),F71,0)</f>
        <v>0</v>
      </c>
    </row>
    <row r="71" spans="1:11" ht="12.75" hidden="1" customHeight="1" x14ac:dyDescent="0.2">
      <c r="A71" s="8">
        <v>454</v>
      </c>
      <c r="B71" s="8"/>
      <c r="C71" s="8" t="s">
        <v>5</v>
      </c>
      <c r="D71" s="12">
        <v>44866</v>
      </c>
      <c r="E71" s="8">
        <v>88540</v>
      </c>
      <c r="F71" s="10">
        <f>IF(ISTEXT(Таблицаx_2[[#This Row],[Значение]]), 0, Таблицаx_2[[#This Row],[Значение]])</f>
        <v>88540</v>
      </c>
      <c r="G71" s="12">
        <v>44896</v>
      </c>
      <c r="H71" s="10" t="str">
        <f>IFERROR(VLOOKUP(Таблицаx_2[[#This Row],[id]],prolongations!A:C,2,)," ")</f>
        <v>декабрь 2022</v>
      </c>
      <c r="I71" s="10">
        <f>IF(Таблицаx_2[[#This Row],[Месяц окончания]]=Таблицаx_2[[#This Row],[Месяц]],Таблицаx_2[[#This Row],[Значения числа]],0)</f>
        <v>0</v>
      </c>
      <c r="J71" s="8">
        <f>IF(AND(Таблицаx_2[[#This Row],[Месяц окончания]]=Таблицаx_2[[#This Row],[Месяц]],Таблицаx_2[[#This Row],[id]]=A72,EDATE(Таблицаx_2[[#This Row],[Месяц]],1)=D72),F72,0)</f>
        <v>0</v>
      </c>
      <c r="K71" s="8">
        <f>IF(AND(Таблицаx_2[[#This Row],[Месяц окончания]]=Таблицаx_2[[#This Row],[Месяц]],Таблицаx_2[[#This Row],[id]]=A72,EDATE(Таблицаx_2[[#This Row],[Месяц]],2)=D72),F72,0)</f>
        <v>0</v>
      </c>
    </row>
    <row r="72" spans="1:11" hidden="1" x14ac:dyDescent="0.2">
      <c r="A72" s="8">
        <v>454</v>
      </c>
      <c r="B72" s="8"/>
      <c r="C72" s="8" t="s">
        <v>5</v>
      </c>
      <c r="D72" s="12">
        <v>44896</v>
      </c>
      <c r="E72" s="8">
        <v>92140</v>
      </c>
      <c r="F72" s="10">
        <f>IF(ISTEXT(Таблицаx_2[[#This Row],[Значение]]), 0, Таблицаx_2[[#This Row],[Значение]])</f>
        <v>92140</v>
      </c>
      <c r="G72" s="12">
        <v>44896</v>
      </c>
      <c r="H72" s="10" t="str">
        <f>IFERROR(VLOOKUP(Таблицаx_2[[#This Row],[id]],prolongations!A:C,2,)," ")</f>
        <v>декабрь 2022</v>
      </c>
      <c r="I72" s="10">
        <f>IF(Таблицаx_2[[#This Row],[Месяц окончания]]=Таблицаx_2[[#This Row],[Месяц]],Таблицаx_2[[#This Row],[Значения числа]],0)</f>
        <v>92140</v>
      </c>
      <c r="J72" s="8">
        <f>IF(AND(Таблицаx_2[[#This Row],[Месяц окончания]]=Таблицаx_2[[#This Row],[Месяц]],Таблицаx_2[[#This Row],[id]]=A73,EDATE(Таблицаx_2[[#This Row],[Месяц]],1)=D73),F73,0)</f>
        <v>0</v>
      </c>
      <c r="K72" s="8">
        <f>IF(AND(Таблицаx_2[[#This Row],[Месяц окончания]]=Таблицаx_2[[#This Row],[Месяц]],Таблицаx_2[[#This Row],[id]]=A73,EDATE(Таблицаx_2[[#This Row],[Месяц]],2)=D73),F73,0)</f>
        <v>0</v>
      </c>
    </row>
    <row r="73" spans="1:11" ht="12.75" hidden="1" customHeight="1" x14ac:dyDescent="0.2">
      <c r="A73" s="8">
        <v>455</v>
      </c>
      <c r="B73" s="8"/>
      <c r="C73" s="8" t="s">
        <v>5</v>
      </c>
      <c r="D73" s="12">
        <v>44866</v>
      </c>
      <c r="E73" s="8">
        <v>55000</v>
      </c>
      <c r="F73" s="10">
        <f>IF(ISTEXT(Таблицаx_2[[#This Row],[Значение]]), 0, Таблицаx_2[[#This Row],[Значение]])</f>
        <v>55000</v>
      </c>
      <c r="G73" s="12">
        <v>44896</v>
      </c>
      <c r="H73" s="10" t="str">
        <f>IFERROR(VLOOKUP(Таблицаx_2[[#This Row],[id]],prolongations!A:C,2,)," ")</f>
        <v>декабрь 2022</v>
      </c>
      <c r="I73" s="10">
        <f>IF(Таблицаx_2[[#This Row],[Месяц окончания]]=Таблицаx_2[[#This Row],[Месяц]],Таблицаx_2[[#This Row],[Значения числа]],0)</f>
        <v>0</v>
      </c>
      <c r="J73" s="8">
        <f>IF(AND(Таблицаx_2[[#This Row],[Месяц окончания]]=Таблицаx_2[[#This Row],[Месяц]],Таблицаx_2[[#This Row],[id]]=A74,EDATE(Таблицаx_2[[#This Row],[Месяц]],1)=D74),F74,0)</f>
        <v>0</v>
      </c>
      <c r="K73" s="8">
        <f>IF(AND(Таблицаx_2[[#This Row],[Месяц окончания]]=Таблицаx_2[[#This Row],[Месяц]],Таблицаx_2[[#This Row],[id]]=A74,EDATE(Таблицаx_2[[#This Row],[Месяц]],2)=D74),F74,0)</f>
        <v>0</v>
      </c>
    </row>
    <row r="74" spans="1:11" hidden="1" x14ac:dyDescent="0.2">
      <c r="A74" s="8">
        <v>455</v>
      </c>
      <c r="B74" s="8"/>
      <c r="C74" s="8" t="s">
        <v>5</v>
      </c>
      <c r="D74" s="12">
        <v>44896</v>
      </c>
      <c r="E74" s="8">
        <v>55000</v>
      </c>
      <c r="F74" s="10">
        <f>IF(ISTEXT(Таблицаx_2[[#This Row],[Значение]]), 0, Таблицаx_2[[#This Row],[Значение]])</f>
        <v>55000</v>
      </c>
      <c r="G74" s="12">
        <v>44896</v>
      </c>
      <c r="H74" s="10" t="str">
        <f>IFERROR(VLOOKUP(Таблицаx_2[[#This Row],[id]],prolongations!A:C,2,)," ")</f>
        <v>декабрь 2022</v>
      </c>
      <c r="I74" s="10">
        <f>IF(Таблицаx_2[[#This Row],[Месяц окончания]]=Таблицаx_2[[#This Row],[Месяц]],Таблицаx_2[[#This Row],[Значения числа]],0)</f>
        <v>55000</v>
      </c>
      <c r="J74" s="8">
        <f>IF(AND(Таблицаx_2[[#This Row],[Месяц окончания]]=Таблицаx_2[[#This Row],[Месяц]],Таблицаx_2[[#This Row],[id]]=A75,EDATE(Таблицаx_2[[#This Row],[Месяц]],1)=D75),F75,0)</f>
        <v>0</v>
      </c>
      <c r="K74" s="8">
        <f>IF(AND(Таблицаx_2[[#This Row],[Месяц окончания]]=Таблицаx_2[[#This Row],[Месяц]],Таблицаx_2[[#This Row],[id]]=A75,EDATE(Таблицаx_2[[#This Row],[Месяц]],2)=D75),F75,0)</f>
        <v>0</v>
      </c>
    </row>
    <row r="75" spans="1:11" ht="12.75" hidden="1" customHeight="1" x14ac:dyDescent="0.2">
      <c r="A75" s="8">
        <v>693</v>
      </c>
      <c r="B75" s="8" t="s">
        <v>49</v>
      </c>
      <c r="C75" s="8" t="s">
        <v>8</v>
      </c>
      <c r="D75" s="12">
        <v>44866</v>
      </c>
      <c r="E75" s="8">
        <v>81085</v>
      </c>
      <c r="F75" s="10">
        <f>IF(ISTEXT(Таблицаx_2[[#This Row],[Значение]]), 0, Таблицаx_2[[#This Row],[Значение]])</f>
        <v>81085</v>
      </c>
      <c r="G75" s="12">
        <v>44896</v>
      </c>
      <c r="H75" s="10" t="str">
        <f>IFERROR(VLOOKUP(Таблицаx_2[[#This Row],[id]],prolongations!A:C,2,)," ")</f>
        <v>декабрь 2022</v>
      </c>
      <c r="I75" s="10">
        <f>IF(Таблицаx_2[[#This Row],[Месяц окончания]]=Таблицаx_2[[#This Row],[Месяц]],Таблицаx_2[[#This Row],[Значения числа]],0)</f>
        <v>0</v>
      </c>
      <c r="J75" s="8">
        <f>IF(AND(Таблицаx_2[[#This Row],[Месяц окончания]]=Таблицаx_2[[#This Row],[Месяц]],Таблицаx_2[[#This Row],[id]]=A76,EDATE(Таблицаx_2[[#This Row],[Месяц]],1)=D76),F76,0)</f>
        <v>0</v>
      </c>
      <c r="K75" s="8">
        <f>IF(AND(Таблицаx_2[[#This Row],[Месяц окончания]]=Таблицаx_2[[#This Row],[Месяц]],Таблицаx_2[[#This Row],[id]]=A76,EDATE(Таблицаx_2[[#This Row],[Месяц]],2)=D76),F76,0)</f>
        <v>0</v>
      </c>
    </row>
    <row r="76" spans="1:11" hidden="1" x14ac:dyDescent="0.2">
      <c r="A76" s="8">
        <v>693</v>
      </c>
      <c r="B76" s="8" t="s">
        <v>49</v>
      </c>
      <c r="C76" s="8" t="s">
        <v>8</v>
      </c>
      <c r="D76" s="12">
        <v>44896</v>
      </c>
      <c r="E76" s="8">
        <v>82435</v>
      </c>
      <c r="F76" s="10">
        <f>IF(ISTEXT(Таблицаx_2[[#This Row],[Значение]]), 0, Таблицаx_2[[#This Row],[Значение]])</f>
        <v>82435</v>
      </c>
      <c r="G76" s="12">
        <v>44896</v>
      </c>
      <c r="H76" s="10" t="str">
        <f>IFERROR(VLOOKUP(Таблицаx_2[[#This Row],[id]],prolongations!A:C,2,)," ")</f>
        <v>декабрь 2022</v>
      </c>
      <c r="I76" s="10">
        <f>IF(Таблицаx_2[[#This Row],[Месяц окончания]]=Таблицаx_2[[#This Row],[Месяц]],Таблицаx_2[[#This Row],[Значения числа]],0)</f>
        <v>82435</v>
      </c>
      <c r="J76" s="8">
        <f>IF(AND(Таблицаx_2[[#This Row],[Месяц окончания]]=Таблицаx_2[[#This Row],[Месяц]],Таблицаx_2[[#This Row],[id]]=A77,EDATE(Таблицаx_2[[#This Row],[Месяц]],1)=D77),F77,0)</f>
        <v>0</v>
      </c>
      <c r="K76" s="8">
        <f>IF(AND(Таблицаx_2[[#This Row],[Месяц окончания]]=Таблицаx_2[[#This Row],[Месяц]],Таблицаx_2[[#This Row],[id]]=A77,EDATE(Таблицаx_2[[#This Row],[Месяц]],2)=D77),F77,0)</f>
        <v>0</v>
      </c>
    </row>
    <row r="77" spans="1:11" ht="12.75" hidden="1" customHeight="1" x14ac:dyDescent="0.2">
      <c r="A77" s="8">
        <v>654</v>
      </c>
      <c r="B77" s="8"/>
      <c r="C77" s="8" t="s">
        <v>6</v>
      </c>
      <c r="D77" s="12">
        <v>44866</v>
      </c>
      <c r="E77" s="8">
        <v>150685.21</v>
      </c>
      <c r="F77" s="10">
        <f>IF(ISTEXT(Таблицаx_2[[#This Row],[Значение]]), 0, Таблицаx_2[[#This Row],[Значение]])</f>
        <v>150685.21</v>
      </c>
      <c r="G77" s="12">
        <v>44896</v>
      </c>
      <c r="H77" s="10" t="str">
        <f>IFERROR(VLOOKUP(Таблицаx_2[[#This Row],[id]],prolongations!A:C,2,)," ")</f>
        <v>декабрь 2022</v>
      </c>
      <c r="I77" s="10">
        <f>IF(Таблицаx_2[[#This Row],[Месяц окончания]]=Таблицаx_2[[#This Row],[Месяц]],Таблицаx_2[[#This Row],[Значения числа]],0)</f>
        <v>0</v>
      </c>
      <c r="J77" s="8">
        <f>IF(AND(Таблицаx_2[[#This Row],[Месяц окончания]]=Таблицаx_2[[#This Row],[Месяц]],Таблицаx_2[[#This Row],[id]]=A78,EDATE(Таблицаx_2[[#This Row],[Месяц]],1)=D78),F78,0)</f>
        <v>0</v>
      </c>
      <c r="K77" s="8">
        <f>IF(AND(Таблицаx_2[[#This Row],[Месяц окончания]]=Таблицаx_2[[#This Row],[Месяц]],Таблицаx_2[[#This Row],[id]]=A78,EDATE(Таблицаx_2[[#This Row],[Месяц]],2)=D78),F78,0)</f>
        <v>0</v>
      </c>
    </row>
    <row r="78" spans="1:11" hidden="1" x14ac:dyDescent="0.2">
      <c r="A78" s="8">
        <v>654</v>
      </c>
      <c r="B78" s="8"/>
      <c r="C78" s="8" t="s">
        <v>6</v>
      </c>
      <c r="D78" s="12">
        <v>44896</v>
      </c>
      <c r="E78" s="8">
        <v>231057.76</v>
      </c>
      <c r="F78" s="10">
        <f>IF(ISTEXT(Таблицаx_2[[#This Row],[Значение]]), 0, Таблицаx_2[[#This Row],[Значение]])</f>
        <v>231057.76</v>
      </c>
      <c r="G78" s="12">
        <v>44896</v>
      </c>
      <c r="H78" s="10" t="str">
        <f>IFERROR(VLOOKUP(Таблицаx_2[[#This Row],[id]],prolongations!A:C,2,)," ")</f>
        <v>декабрь 2022</v>
      </c>
      <c r="I78" s="10">
        <f>IF(Таблицаx_2[[#This Row],[Месяц окончания]]=Таблицаx_2[[#This Row],[Месяц]],Таблицаx_2[[#This Row],[Значения числа]],0)</f>
        <v>231057.76</v>
      </c>
      <c r="J78" s="8">
        <f>IF(AND(Таблицаx_2[[#This Row],[Месяц окончания]]=Таблицаx_2[[#This Row],[Месяц]],Таблицаx_2[[#This Row],[id]]=A79,EDATE(Таблицаx_2[[#This Row],[Месяц]],1)=D79),F79,0)</f>
        <v>0</v>
      </c>
      <c r="K78" s="8">
        <f>IF(AND(Таблицаx_2[[#This Row],[Месяц окончания]]=Таблицаx_2[[#This Row],[Месяц]],Таблицаx_2[[#This Row],[id]]=A79,EDATE(Таблицаx_2[[#This Row],[Месяц]],2)=D79),F79,0)</f>
        <v>0</v>
      </c>
    </row>
    <row r="79" spans="1:11" ht="12.75" hidden="1" customHeight="1" x14ac:dyDescent="0.2">
      <c r="A79" s="8">
        <v>475</v>
      </c>
      <c r="B79" s="8"/>
      <c r="C79" s="8" t="s">
        <v>6</v>
      </c>
      <c r="D79" s="12">
        <v>44866</v>
      </c>
      <c r="E79" s="8">
        <v>100485</v>
      </c>
      <c r="F79" s="10">
        <f>IF(ISTEXT(Таблицаx_2[[#This Row],[Значение]]), 0, Таблицаx_2[[#This Row],[Значение]])</f>
        <v>100485</v>
      </c>
      <c r="G79" s="12">
        <v>44896</v>
      </c>
      <c r="H79" s="10" t="str">
        <f>IFERROR(VLOOKUP(Таблицаx_2[[#This Row],[id]],prolongations!A:C,2,)," ")</f>
        <v>декабрь 2022</v>
      </c>
      <c r="I79" s="10">
        <f>IF(Таблицаx_2[[#This Row],[Месяц окончания]]=Таблицаx_2[[#This Row],[Месяц]],Таблицаx_2[[#This Row],[Значения числа]],0)</f>
        <v>0</v>
      </c>
      <c r="J79" s="8">
        <f>IF(AND(Таблицаx_2[[#This Row],[Месяц окончания]]=Таблицаx_2[[#This Row],[Месяц]],Таблицаx_2[[#This Row],[id]]=A80,EDATE(Таблицаx_2[[#This Row],[Месяц]],1)=D80),F80,0)</f>
        <v>0</v>
      </c>
      <c r="K79" s="8">
        <f>IF(AND(Таблицаx_2[[#This Row],[Месяц окончания]]=Таблицаx_2[[#This Row],[Месяц]],Таблицаx_2[[#This Row],[id]]=A80,EDATE(Таблицаx_2[[#This Row],[Месяц]],2)=D80),F80,0)</f>
        <v>0</v>
      </c>
    </row>
    <row r="80" spans="1:11" hidden="1" x14ac:dyDescent="0.2">
      <c r="A80" s="8">
        <v>475</v>
      </c>
      <c r="B80" s="8"/>
      <c r="C80" s="8" t="s">
        <v>6</v>
      </c>
      <c r="D80" s="12">
        <v>44896</v>
      </c>
      <c r="E80" s="8">
        <v>100485</v>
      </c>
      <c r="F80" s="10">
        <f>IF(ISTEXT(Таблицаx_2[[#This Row],[Значение]]), 0, Таблицаx_2[[#This Row],[Значение]])</f>
        <v>100485</v>
      </c>
      <c r="G80" s="12">
        <v>44896</v>
      </c>
      <c r="H80" s="10" t="str">
        <f>IFERROR(VLOOKUP(Таблицаx_2[[#This Row],[id]],prolongations!A:C,2,)," ")</f>
        <v>декабрь 2022</v>
      </c>
      <c r="I80" s="10">
        <f>IF(Таблицаx_2[[#This Row],[Месяц окончания]]=Таблицаx_2[[#This Row],[Месяц]],Таблицаx_2[[#This Row],[Значения числа]],0)</f>
        <v>100485</v>
      </c>
      <c r="J80" s="8">
        <f>IF(AND(Таблицаx_2[[#This Row],[Месяц окончания]]=Таблицаx_2[[#This Row],[Месяц]],Таблицаx_2[[#This Row],[id]]=A81,EDATE(Таблицаx_2[[#This Row],[Месяц]],1)=D81),F81,0)</f>
        <v>0</v>
      </c>
      <c r="K80" s="8">
        <f>IF(AND(Таблицаx_2[[#This Row],[Месяц окончания]]=Таблицаx_2[[#This Row],[Месяц]],Таблицаx_2[[#This Row],[id]]=A81,EDATE(Таблицаx_2[[#This Row],[Месяц]],2)=D81),F81,0)</f>
        <v>0</v>
      </c>
    </row>
    <row r="81" spans="1:11" ht="12.75" hidden="1" customHeight="1" x14ac:dyDescent="0.2">
      <c r="A81" s="8">
        <v>193</v>
      </c>
      <c r="B81" s="8" t="s">
        <v>45</v>
      </c>
      <c r="C81" s="8" t="s">
        <v>7</v>
      </c>
      <c r="D81" s="12">
        <v>44866</v>
      </c>
      <c r="E81" s="8">
        <v>164000</v>
      </c>
      <c r="F81" s="10">
        <f>IF(ISTEXT(Таблицаx_2[[#This Row],[Значение]]), 0, Таблицаx_2[[#This Row],[Значение]])</f>
        <v>164000</v>
      </c>
      <c r="G81" s="12">
        <v>44896</v>
      </c>
      <c r="H81" s="10" t="str">
        <f>IFERROR(VLOOKUP(Таблицаx_2[[#This Row],[id]],prolongations!A:C,2,)," ")</f>
        <v>декабрь 2022</v>
      </c>
      <c r="I81" s="10">
        <f>IF(Таблицаx_2[[#This Row],[Месяц окончания]]=Таблицаx_2[[#This Row],[Месяц]],Таблицаx_2[[#This Row],[Значения числа]],0)</f>
        <v>0</v>
      </c>
      <c r="J81" s="8">
        <f>IF(AND(Таблицаx_2[[#This Row],[Месяц окончания]]=Таблицаx_2[[#This Row],[Месяц]],Таблицаx_2[[#This Row],[id]]=A82,EDATE(Таблицаx_2[[#This Row],[Месяц]],1)=D82),F82,0)</f>
        <v>0</v>
      </c>
      <c r="K81" s="8">
        <f>IF(AND(Таблицаx_2[[#This Row],[Месяц окончания]]=Таблицаx_2[[#This Row],[Месяц]],Таблицаx_2[[#This Row],[id]]=A82,EDATE(Таблицаx_2[[#This Row],[Месяц]],2)=D82),F82,0)</f>
        <v>0</v>
      </c>
    </row>
    <row r="82" spans="1:11" hidden="1" x14ac:dyDescent="0.2">
      <c r="A82" s="8">
        <v>193</v>
      </c>
      <c r="B82" s="8" t="s">
        <v>45</v>
      </c>
      <c r="C82" s="8" t="s">
        <v>7</v>
      </c>
      <c r="D82" s="12">
        <v>44896</v>
      </c>
      <c r="E82" s="8">
        <v>190280</v>
      </c>
      <c r="F82" s="10">
        <f>IF(ISTEXT(Таблицаx_2[[#This Row],[Значение]]), 0, Таблицаx_2[[#This Row],[Значение]])</f>
        <v>190280</v>
      </c>
      <c r="G82" s="12">
        <v>44896</v>
      </c>
      <c r="H82" s="10" t="str">
        <f>IFERROR(VLOOKUP(Таблицаx_2[[#This Row],[id]],prolongations!A:C,2,)," ")</f>
        <v>декабрь 2022</v>
      </c>
      <c r="I82" s="10">
        <f>IF(Таблицаx_2[[#This Row],[Месяц окончания]]=Таблицаx_2[[#This Row],[Месяц]],Таблицаx_2[[#This Row],[Значения числа]],0)</f>
        <v>190280</v>
      </c>
      <c r="J82" s="8">
        <f>IF(AND(Таблицаx_2[[#This Row],[Месяц окончания]]=Таблицаx_2[[#This Row],[Месяц]],Таблицаx_2[[#This Row],[id]]=A83,EDATE(Таблицаx_2[[#This Row],[Месяц]],1)=D83),F83,0)</f>
        <v>0</v>
      </c>
      <c r="K82" s="8">
        <f>IF(AND(Таблицаx_2[[#This Row],[Месяц окончания]]=Таблицаx_2[[#This Row],[Месяц]],Таблицаx_2[[#This Row],[id]]=A83,EDATE(Таблицаx_2[[#This Row],[Месяц]],2)=D83),F83,0)</f>
        <v>0</v>
      </c>
    </row>
    <row r="83" spans="1:11" ht="12.75" hidden="1" customHeight="1" x14ac:dyDescent="0.2">
      <c r="A83" s="8">
        <v>390</v>
      </c>
      <c r="B83" s="8"/>
      <c r="C83" s="8" t="s">
        <v>7</v>
      </c>
      <c r="D83" s="12">
        <v>44866</v>
      </c>
      <c r="E83" s="8">
        <v>221830</v>
      </c>
      <c r="F83" s="10">
        <f>IF(ISTEXT(Таблицаx_2[[#This Row],[Значение]]), 0, Таблицаx_2[[#This Row],[Значение]])</f>
        <v>221830</v>
      </c>
      <c r="G83" s="12">
        <v>44896</v>
      </c>
      <c r="H83" s="10" t="str">
        <f>IFERROR(VLOOKUP(Таблицаx_2[[#This Row],[id]],prolongations!A:C,2,)," ")</f>
        <v>декабрь 2022</v>
      </c>
      <c r="I83" s="10">
        <f>IF(Таблицаx_2[[#This Row],[Месяц окончания]]=Таблицаx_2[[#This Row],[Месяц]],Таблицаx_2[[#This Row],[Значения числа]],0)</f>
        <v>0</v>
      </c>
      <c r="J83" s="8">
        <f>IF(AND(Таблицаx_2[[#This Row],[Месяц окончания]]=Таблицаx_2[[#This Row],[Месяц]],Таблицаx_2[[#This Row],[id]]=A84,EDATE(Таблицаx_2[[#This Row],[Месяц]],1)=D84),F84,0)</f>
        <v>0</v>
      </c>
      <c r="K83" s="8">
        <f>IF(AND(Таблицаx_2[[#This Row],[Месяц окончания]]=Таблицаx_2[[#This Row],[Месяц]],Таблицаx_2[[#This Row],[id]]=A84,EDATE(Таблицаx_2[[#This Row],[Месяц]],2)=D84),F84,0)</f>
        <v>0</v>
      </c>
    </row>
    <row r="84" spans="1:11" hidden="1" x14ac:dyDescent="0.2">
      <c r="A84" s="8">
        <v>390</v>
      </c>
      <c r="B84" s="8"/>
      <c r="C84" s="8" t="s">
        <v>7</v>
      </c>
      <c r="D84" s="12">
        <v>44896</v>
      </c>
      <c r="E84" s="8">
        <v>220830</v>
      </c>
      <c r="F84" s="10">
        <f>IF(ISTEXT(Таблицаx_2[[#This Row],[Значение]]), 0, Таблицаx_2[[#This Row],[Значение]])</f>
        <v>220830</v>
      </c>
      <c r="G84" s="12">
        <v>44896</v>
      </c>
      <c r="H84" s="10" t="str">
        <f>IFERROR(VLOOKUP(Таблицаx_2[[#This Row],[id]],prolongations!A:C,2,)," ")</f>
        <v>декабрь 2022</v>
      </c>
      <c r="I84" s="10">
        <f>IF(Таблицаx_2[[#This Row],[Месяц окончания]]=Таблицаx_2[[#This Row],[Месяц]],Таблицаx_2[[#This Row],[Значения числа]],0)</f>
        <v>220830</v>
      </c>
      <c r="J84" s="8">
        <f>IF(AND(Таблицаx_2[[#This Row],[Месяц окончания]]=Таблицаx_2[[#This Row],[Месяц]],Таблицаx_2[[#This Row],[id]]=A85,EDATE(Таблицаx_2[[#This Row],[Месяц]],1)=D85),F85,0)</f>
        <v>0</v>
      </c>
      <c r="K84" s="8">
        <f>IF(AND(Таблицаx_2[[#This Row],[Месяц окончания]]=Таблицаx_2[[#This Row],[Месяц]],Таблицаx_2[[#This Row],[id]]=A85,EDATE(Таблицаx_2[[#This Row],[Месяц]],2)=D85),F85,0)</f>
        <v>0</v>
      </c>
    </row>
    <row r="85" spans="1:11" ht="12.75" hidden="1" customHeight="1" x14ac:dyDescent="0.2">
      <c r="A85" s="8">
        <v>477</v>
      </c>
      <c r="B85" s="8"/>
      <c r="C85" s="8" t="s">
        <v>7</v>
      </c>
      <c r="D85" s="12">
        <v>44866</v>
      </c>
      <c r="E85" s="8">
        <v>7000</v>
      </c>
      <c r="F85" s="10">
        <f>IF(ISTEXT(Таблицаx_2[[#This Row],[Значение]]), 0, Таблицаx_2[[#This Row],[Значение]])</f>
        <v>7000</v>
      </c>
      <c r="G85" s="12">
        <v>44896</v>
      </c>
      <c r="H85" s="10" t="str">
        <f>IFERROR(VLOOKUP(Таблицаx_2[[#This Row],[id]],prolongations!A:C,2,)," ")</f>
        <v>декабрь 2022</v>
      </c>
      <c r="I85" s="10">
        <f>IF(Таблицаx_2[[#This Row],[Месяц окончания]]=Таблицаx_2[[#This Row],[Месяц]],Таблицаx_2[[#This Row],[Значения числа]],0)</f>
        <v>0</v>
      </c>
      <c r="J85" s="8">
        <f>IF(AND(Таблицаx_2[[#This Row],[Месяц окончания]]=Таблицаx_2[[#This Row],[Месяц]],Таблицаx_2[[#This Row],[id]]=A86,EDATE(Таблицаx_2[[#This Row],[Месяц]],1)=D86),F86,0)</f>
        <v>0</v>
      </c>
      <c r="K85" s="8">
        <f>IF(AND(Таблицаx_2[[#This Row],[Месяц окончания]]=Таблицаx_2[[#This Row],[Месяц]],Таблицаx_2[[#This Row],[id]]=A86,EDATE(Таблицаx_2[[#This Row],[Месяц]],2)=D86),F86,0)</f>
        <v>0</v>
      </c>
    </row>
    <row r="86" spans="1:11" hidden="1" x14ac:dyDescent="0.2">
      <c r="A86" s="8">
        <v>477</v>
      </c>
      <c r="B86" s="8"/>
      <c r="C86" s="8" t="s">
        <v>7</v>
      </c>
      <c r="D86" s="12">
        <v>44896</v>
      </c>
      <c r="E86" s="8" t="s">
        <v>46</v>
      </c>
      <c r="F86" s="10">
        <f>IF(ISTEXT(Таблицаx_2[[#This Row],[Значение]]), 0, Таблицаx_2[[#This Row],[Значение]])</f>
        <v>0</v>
      </c>
      <c r="G86" s="12">
        <v>44896</v>
      </c>
      <c r="H86" s="10" t="str">
        <f>IFERROR(VLOOKUP(Таблицаx_2[[#This Row],[id]],prolongations!A:C,2,)," ")</f>
        <v>декабрь 2022</v>
      </c>
      <c r="I86" s="10">
        <f>IF(Таблицаx_2[[#This Row],[Месяц окончания]]=Таблицаx_2[[#This Row],[Месяц]],Таблицаx_2[[#This Row],[Значения числа]],0)</f>
        <v>0</v>
      </c>
      <c r="J86" s="8">
        <f>IF(AND(Таблицаx_2[[#This Row],[Месяц окончания]]=Таблицаx_2[[#This Row],[Месяц]],Таблицаx_2[[#This Row],[id]]=A87,EDATE(Таблицаx_2[[#This Row],[Месяц]],1)=D87),F87,0)</f>
        <v>0</v>
      </c>
      <c r="K86" s="8">
        <f>IF(AND(Таблицаx_2[[#This Row],[Месяц окончания]]=Таблицаx_2[[#This Row],[Месяц]],Таблицаx_2[[#This Row],[id]]=A87,EDATE(Таблицаx_2[[#This Row],[Месяц]],2)=D87),F87,0)</f>
        <v>0</v>
      </c>
    </row>
    <row r="87" spans="1:11" ht="12.75" hidden="1" customHeight="1" x14ac:dyDescent="0.2">
      <c r="A87" s="8">
        <v>478</v>
      </c>
      <c r="B87" s="8"/>
      <c r="C87" s="8" t="s">
        <v>7</v>
      </c>
      <c r="D87" s="12">
        <v>44866</v>
      </c>
      <c r="E87" s="8">
        <v>76760</v>
      </c>
      <c r="F87" s="10">
        <f>IF(ISTEXT(Таблицаx_2[[#This Row],[Значение]]), 0, Таблицаx_2[[#This Row],[Значение]])</f>
        <v>76760</v>
      </c>
      <c r="G87" s="12">
        <v>44896</v>
      </c>
      <c r="H87" s="10" t="str">
        <f>IFERROR(VLOOKUP(Таблицаx_2[[#This Row],[id]],prolongations!A:C,2,)," ")</f>
        <v>декабрь 2022</v>
      </c>
      <c r="I87" s="10">
        <f>IF(Таблицаx_2[[#This Row],[Месяц окончания]]=Таблицаx_2[[#This Row],[Месяц]],Таблицаx_2[[#This Row],[Значения числа]],0)</f>
        <v>0</v>
      </c>
      <c r="J87" s="8">
        <f>IF(AND(Таблицаx_2[[#This Row],[Месяц окончания]]=Таблицаx_2[[#This Row],[Месяц]],Таблицаx_2[[#This Row],[id]]=A88,EDATE(Таблицаx_2[[#This Row],[Месяц]],1)=D88),F88,0)</f>
        <v>0</v>
      </c>
      <c r="K87" s="8">
        <f>IF(AND(Таблицаx_2[[#This Row],[Месяц окончания]]=Таблицаx_2[[#This Row],[Месяц]],Таблицаx_2[[#This Row],[id]]=A88,EDATE(Таблицаx_2[[#This Row],[Месяц]],2)=D88),F88,0)</f>
        <v>0</v>
      </c>
    </row>
    <row r="88" spans="1:11" hidden="1" x14ac:dyDescent="0.2">
      <c r="A88" s="8">
        <v>478</v>
      </c>
      <c r="B88" s="8"/>
      <c r="C88" s="8" t="s">
        <v>7</v>
      </c>
      <c r="D88" s="12">
        <v>44896</v>
      </c>
      <c r="E88" s="8">
        <v>90935</v>
      </c>
      <c r="F88" s="10">
        <f>IF(ISTEXT(Таблицаx_2[[#This Row],[Значение]]), 0, Таблицаx_2[[#This Row],[Значение]])</f>
        <v>90935</v>
      </c>
      <c r="G88" s="12">
        <v>44896</v>
      </c>
      <c r="H88" s="10" t="str">
        <f>IFERROR(VLOOKUP(Таблицаx_2[[#This Row],[id]],prolongations!A:C,2,)," ")</f>
        <v>декабрь 2022</v>
      </c>
      <c r="I88" s="10">
        <f>IF(Таблицаx_2[[#This Row],[Месяц окончания]]=Таблицаx_2[[#This Row],[Месяц]],Таблицаx_2[[#This Row],[Значения числа]],0)</f>
        <v>90935</v>
      </c>
      <c r="J88" s="8">
        <f>IF(AND(Таблицаx_2[[#This Row],[Месяц окончания]]=Таблицаx_2[[#This Row],[Месяц]],Таблицаx_2[[#This Row],[id]]=A89,EDATE(Таблицаx_2[[#This Row],[Месяц]],1)=D89),F89,0)</f>
        <v>0</v>
      </c>
      <c r="K88" s="8">
        <f>IF(AND(Таблицаx_2[[#This Row],[Месяц окончания]]=Таблицаx_2[[#This Row],[Месяц]],Таблицаx_2[[#This Row],[id]]=A89,EDATE(Таблицаx_2[[#This Row],[Месяц]],2)=D89),F89,0)</f>
        <v>0</v>
      </c>
    </row>
    <row r="89" spans="1:11" ht="12.75" hidden="1" customHeight="1" x14ac:dyDescent="0.2">
      <c r="A89" s="8">
        <v>535</v>
      </c>
      <c r="B89" s="8" t="s">
        <v>45</v>
      </c>
      <c r="C89" s="8" t="s">
        <v>7</v>
      </c>
      <c r="D89" s="12">
        <v>44866</v>
      </c>
      <c r="E89" s="8">
        <v>44570</v>
      </c>
      <c r="F89" s="10">
        <f>IF(ISTEXT(Таблицаx_2[[#This Row],[Значение]]), 0, Таблицаx_2[[#This Row],[Значение]])</f>
        <v>44570</v>
      </c>
      <c r="G89" s="12">
        <v>44896</v>
      </c>
      <c r="H89" s="10" t="str">
        <f>IFERROR(VLOOKUP(Таблицаx_2[[#This Row],[id]],prolongations!A:C,2,)," ")</f>
        <v>декабрь 2022</v>
      </c>
      <c r="I89" s="10">
        <f>IF(Таблицаx_2[[#This Row],[Месяц окончания]]=Таблицаx_2[[#This Row],[Месяц]],Таблицаx_2[[#This Row],[Значения числа]],0)</f>
        <v>0</v>
      </c>
      <c r="J89" s="8">
        <f>IF(AND(Таблицаx_2[[#This Row],[Месяц окончания]]=Таблицаx_2[[#This Row],[Месяц]],Таблицаx_2[[#This Row],[id]]=A90,EDATE(Таблицаx_2[[#This Row],[Месяц]],1)=D90),F90,0)</f>
        <v>0</v>
      </c>
      <c r="K89" s="8">
        <f>IF(AND(Таблицаx_2[[#This Row],[Месяц окончания]]=Таблицаx_2[[#This Row],[Месяц]],Таблицаx_2[[#This Row],[id]]=A90,EDATE(Таблицаx_2[[#This Row],[Месяц]],2)=D90),F90,0)</f>
        <v>0</v>
      </c>
    </row>
    <row r="90" spans="1:11" hidden="1" x14ac:dyDescent="0.2">
      <c r="A90" s="8">
        <v>535</v>
      </c>
      <c r="B90" s="8" t="s">
        <v>45</v>
      </c>
      <c r="C90" s="8" t="s">
        <v>7</v>
      </c>
      <c r="D90" s="12">
        <v>44896</v>
      </c>
      <c r="E90" s="8">
        <v>44570</v>
      </c>
      <c r="F90" s="10">
        <f>IF(ISTEXT(Таблицаx_2[[#This Row],[Значение]]), 0, Таблицаx_2[[#This Row],[Значение]])</f>
        <v>44570</v>
      </c>
      <c r="G90" s="12">
        <v>44896</v>
      </c>
      <c r="H90" s="10" t="str">
        <f>IFERROR(VLOOKUP(Таблицаx_2[[#This Row],[id]],prolongations!A:C,2,)," ")</f>
        <v>декабрь 2022</v>
      </c>
      <c r="I90" s="10">
        <f>IF(Таблицаx_2[[#This Row],[Месяц окончания]]=Таблицаx_2[[#This Row],[Месяц]],Таблицаx_2[[#This Row],[Значения числа]],0)</f>
        <v>44570</v>
      </c>
      <c r="J90" s="8">
        <f>IF(AND(Таблицаx_2[[#This Row],[Месяц окончания]]=Таблицаx_2[[#This Row],[Месяц]],Таблицаx_2[[#This Row],[id]]=A91,EDATE(Таблицаx_2[[#This Row],[Месяц]],1)=D91),F91,0)</f>
        <v>0</v>
      </c>
      <c r="K90" s="8">
        <f>IF(AND(Таблицаx_2[[#This Row],[Месяц окончания]]=Таблицаx_2[[#This Row],[Месяц]],Таблицаx_2[[#This Row],[id]]=A91,EDATE(Таблицаx_2[[#This Row],[Месяц]],2)=D91),F91,0)</f>
        <v>0</v>
      </c>
    </row>
    <row r="91" spans="1:11" ht="12.75" hidden="1" customHeight="1" x14ac:dyDescent="0.2">
      <c r="A91" s="8">
        <v>535</v>
      </c>
      <c r="B91" s="8" t="s">
        <v>47</v>
      </c>
      <c r="C91" s="8" t="s">
        <v>7</v>
      </c>
      <c r="D91" s="12">
        <v>44866</v>
      </c>
      <c r="E91" s="8">
        <v>29685</v>
      </c>
      <c r="F91" s="10">
        <f>IF(ISTEXT(Таблицаx_2[[#This Row],[Значение]]), 0, Таблицаx_2[[#This Row],[Значение]])</f>
        <v>29685</v>
      </c>
      <c r="G91" s="12">
        <v>44896</v>
      </c>
      <c r="H91" s="10" t="str">
        <f>IFERROR(VLOOKUP(Таблицаx_2[[#This Row],[id]],prolongations!A:C,2,)," ")</f>
        <v>декабрь 2022</v>
      </c>
      <c r="I91" s="10">
        <f>IF(Таблицаx_2[[#This Row],[Месяц окончания]]=Таблицаx_2[[#This Row],[Месяц]],Таблицаx_2[[#This Row],[Значения числа]],0)</f>
        <v>0</v>
      </c>
      <c r="J91" s="8">
        <f>IF(AND(Таблицаx_2[[#This Row],[Месяц окончания]]=Таблицаx_2[[#This Row],[Месяц]],Таблицаx_2[[#This Row],[id]]=A92,EDATE(Таблицаx_2[[#This Row],[Месяц]],1)=D92),F92,0)</f>
        <v>0</v>
      </c>
      <c r="K91" s="8">
        <f>IF(AND(Таблицаx_2[[#This Row],[Месяц окончания]]=Таблицаx_2[[#This Row],[Месяц]],Таблицаx_2[[#This Row],[id]]=A92,EDATE(Таблицаx_2[[#This Row],[Месяц]],2)=D92),F92,0)</f>
        <v>0</v>
      </c>
    </row>
    <row r="92" spans="1:11" hidden="1" x14ac:dyDescent="0.2">
      <c r="A92" s="8">
        <v>535</v>
      </c>
      <c r="B92" s="8" t="s">
        <v>47</v>
      </c>
      <c r="C92" s="8" t="s">
        <v>7</v>
      </c>
      <c r="D92" s="12">
        <v>44896</v>
      </c>
      <c r="E92" s="8">
        <v>65020</v>
      </c>
      <c r="F92" s="10">
        <f>IF(ISTEXT(Таблицаx_2[[#This Row],[Значение]]), 0, Таблицаx_2[[#This Row],[Значение]])</f>
        <v>65020</v>
      </c>
      <c r="G92" s="12">
        <v>44896</v>
      </c>
      <c r="H92" s="10" t="str">
        <f>IFERROR(VLOOKUP(Таблицаx_2[[#This Row],[id]],prolongations!A:C,2,)," ")</f>
        <v>декабрь 2022</v>
      </c>
      <c r="I92" s="10">
        <f>IF(Таблицаx_2[[#This Row],[Месяц окончания]]=Таблицаx_2[[#This Row],[Месяц]],Таблицаx_2[[#This Row],[Значения числа]],0)</f>
        <v>65020</v>
      </c>
      <c r="J92" s="8">
        <f>IF(AND(Таблицаx_2[[#This Row],[Месяц окончания]]=Таблицаx_2[[#This Row],[Месяц]],Таблицаx_2[[#This Row],[id]]=A93,EDATE(Таблицаx_2[[#This Row],[Месяц]],1)=D93),F93,0)</f>
        <v>0</v>
      </c>
      <c r="K92" s="8">
        <f>IF(AND(Таблицаx_2[[#This Row],[Месяц окончания]]=Таблицаx_2[[#This Row],[Месяц]],Таблицаx_2[[#This Row],[id]]=A93,EDATE(Таблицаx_2[[#This Row],[Месяц]],2)=D93),F93,0)</f>
        <v>0</v>
      </c>
    </row>
    <row r="93" spans="1:11" ht="12.75" hidden="1" customHeight="1" x14ac:dyDescent="0.2">
      <c r="A93" s="8">
        <v>709</v>
      </c>
      <c r="B93" s="8"/>
      <c r="C93" s="8" t="s">
        <v>7</v>
      </c>
      <c r="D93" s="12">
        <v>44866</v>
      </c>
      <c r="E93" s="8">
        <v>13885</v>
      </c>
      <c r="F93" s="10">
        <f>IF(ISTEXT(Таблицаx_2[[#This Row],[Значение]]), 0, Таблицаx_2[[#This Row],[Значение]])</f>
        <v>13885</v>
      </c>
      <c r="G93" s="12">
        <v>44896</v>
      </c>
      <c r="H93" s="10" t="str">
        <f>IFERROR(VLOOKUP(Таблицаx_2[[#This Row],[id]],prolongations!A:C,2,)," ")</f>
        <v>декабрь 2022</v>
      </c>
      <c r="I93" s="10">
        <f>IF(Таблицаx_2[[#This Row],[Месяц окончания]]=Таблицаx_2[[#This Row],[Месяц]],Таблицаx_2[[#This Row],[Значения числа]],0)</f>
        <v>0</v>
      </c>
      <c r="J93" s="8">
        <f>IF(AND(Таблицаx_2[[#This Row],[Месяц окончания]]=Таблицаx_2[[#This Row],[Месяц]],Таблицаx_2[[#This Row],[id]]=A94,EDATE(Таблицаx_2[[#This Row],[Месяц]],1)=D94),F94,0)</f>
        <v>0</v>
      </c>
      <c r="K93" s="8">
        <f>IF(AND(Таблицаx_2[[#This Row],[Месяц окончания]]=Таблицаx_2[[#This Row],[Месяц]],Таблицаx_2[[#This Row],[id]]=A94,EDATE(Таблицаx_2[[#This Row],[Месяц]],2)=D94),F94,0)</f>
        <v>0</v>
      </c>
    </row>
    <row r="94" spans="1:11" hidden="1" x14ac:dyDescent="0.2">
      <c r="A94" s="8">
        <v>709</v>
      </c>
      <c r="B94" s="8"/>
      <c r="C94" s="8" t="s">
        <v>7</v>
      </c>
      <c r="D94" s="12">
        <v>44896</v>
      </c>
      <c r="E94" s="8">
        <v>20450</v>
      </c>
      <c r="F94" s="10">
        <f>IF(ISTEXT(Таблицаx_2[[#This Row],[Значение]]), 0, Таблицаx_2[[#This Row],[Значение]])</f>
        <v>20450</v>
      </c>
      <c r="G94" s="12">
        <v>44896</v>
      </c>
      <c r="H94" s="10" t="str">
        <f>IFERROR(VLOOKUP(Таблицаx_2[[#This Row],[id]],prolongations!A:C,2,)," ")</f>
        <v>декабрь 2022</v>
      </c>
      <c r="I94" s="10">
        <f>IF(Таблицаx_2[[#This Row],[Месяц окончания]]=Таблицаx_2[[#This Row],[Месяц]],Таблицаx_2[[#This Row],[Значения числа]],0)</f>
        <v>20450</v>
      </c>
      <c r="J94" s="8">
        <f>IF(AND(Таблицаx_2[[#This Row],[Месяц окончания]]=Таблицаx_2[[#This Row],[Месяц]],Таблицаx_2[[#This Row],[id]]=A95,EDATE(Таблицаx_2[[#This Row],[Месяц]],1)=D95),F95,0)</f>
        <v>0</v>
      </c>
      <c r="K94" s="8">
        <f>IF(AND(Таблицаx_2[[#This Row],[Месяц окончания]]=Таблицаx_2[[#This Row],[Месяц]],Таблицаx_2[[#This Row],[id]]=A95,EDATE(Таблицаx_2[[#This Row],[Месяц]],2)=D95),F95,0)</f>
        <v>0</v>
      </c>
    </row>
    <row r="95" spans="1:11" ht="12.75" hidden="1" customHeight="1" x14ac:dyDescent="0.2">
      <c r="A95" s="8">
        <v>581</v>
      </c>
      <c r="B95" s="8" t="s">
        <v>45</v>
      </c>
      <c r="C95" s="8" t="s">
        <v>7</v>
      </c>
      <c r="D95" s="12">
        <v>44866</v>
      </c>
      <c r="E95" s="8">
        <v>66280</v>
      </c>
      <c r="F95" s="10">
        <f>IF(ISTEXT(Таблицаx_2[[#This Row],[Значение]]), 0, Таблицаx_2[[#This Row],[Значение]])</f>
        <v>66280</v>
      </c>
      <c r="G95" s="12">
        <v>44896</v>
      </c>
      <c r="H95" s="10" t="str">
        <f>IFERROR(VLOOKUP(Таблицаx_2[[#This Row],[id]],prolongations!A:C,2,)," ")</f>
        <v>декабрь 2022</v>
      </c>
      <c r="I95" s="10">
        <f>IF(Таблицаx_2[[#This Row],[Месяц окончания]]=Таблицаx_2[[#This Row],[Месяц]],Таблицаx_2[[#This Row],[Значения числа]],0)</f>
        <v>0</v>
      </c>
      <c r="J95" s="8">
        <f>IF(AND(Таблицаx_2[[#This Row],[Месяц окончания]]=Таблицаx_2[[#This Row],[Месяц]],Таблицаx_2[[#This Row],[id]]=A96,EDATE(Таблицаx_2[[#This Row],[Месяц]],1)=D96),F96,0)</f>
        <v>0</v>
      </c>
      <c r="K95" s="8">
        <f>IF(AND(Таблицаx_2[[#This Row],[Месяц окончания]]=Таблицаx_2[[#This Row],[Месяц]],Таблицаx_2[[#This Row],[id]]=A96,EDATE(Таблицаx_2[[#This Row],[Месяц]],2)=D96),F96,0)</f>
        <v>0</v>
      </c>
    </row>
    <row r="96" spans="1:11" hidden="1" x14ac:dyDescent="0.2">
      <c r="A96" s="8">
        <v>581</v>
      </c>
      <c r="B96" s="8" t="s">
        <v>45</v>
      </c>
      <c r="C96" s="8" t="s">
        <v>7</v>
      </c>
      <c r="D96" s="12">
        <v>44896</v>
      </c>
      <c r="E96" s="8">
        <v>66280</v>
      </c>
      <c r="F96" s="10">
        <f>IF(ISTEXT(Таблицаx_2[[#This Row],[Значение]]), 0, Таблицаx_2[[#This Row],[Значение]])</f>
        <v>66280</v>
      </c>
      <c r="G96" s="12">
        <v>44896</v>
      </c>
      <c r="H96" s="10" t="str">
        <f>IFERROR(VLOOKUP(Таблицаx_2[[#This Row],[id]],prolongations!A:C,2,)," ")</f>
        <v>декабрь 2022</v>
      </c>
      <c r="I96" s="10">
        <f>IF(Таблицаx_2[[#This Row],[Месяц окончания]]=Таблицаx_2[[#This Row],[Месяц]],Таблицаx_2[[#This Row],[Значения числа]],0)</f>
        <v>66280</v>
      </c>
      <c r="J96" s="8">
        <f>IF(AND(Таблицаx_2[[#This Row],[Месяц окончания]]=Таблицаx_2[[#This Row],[Месяц]],Таблицаx_2[[#This Row],[id]]=A97,EDATE(Таблицаx_2[[#This Row],[Месяц]],1)=D97),F97,0)</f>
        <v>0</v>
      </c>
      <c r="K96" s="8">
        <f>IF(AND(Таблицаx_2[[#This Row],[Месяц окончания]]=Таблицаx_2[[#This Row],[Месяц]],Таблицаx_2[[#This Row],[id]]=A97,EDATE(Таблицаx_2[[#This Row],[Месяц]],2)=D97),F97,0)</f>
        <v>0</v>
      </c>
    </row>
    <row r="97" spans="1:11" ht="12.75" hidden="1" customHeight="1" x14ac:dyDescent="0.2">
      <c r="A97" s="8">
        <v>581</v>
      </c>
      <c r="B97" s="8" t="s">
        <v>47</v>
      </c>
      <c r="C97" s="8" t="s">
        <v>7</v>
      </c>
      <c r="D97" s="12">
        <v>44866</v>
      </c>
      <c r="E97" s="8">
        <v>85000</v>
      </c>
      <c r="F97" s="10">
        <f>IF(ISTEXT(Таблицаx_2[[#This Row],[Значение]]), 0, Таблицаx_2[[#This Row],[Значение]])</f>
        <v>85000</v>
      </c>
      <c r="G97" s="12">
        <v>44896</v>
      </c>
      <c r="H97" s="10" t="str">
        <f>IFERROR(VLOOKUP(Таблицаx_2[[#This Row],[id]],prolongations!A:C,2,)," ")</f>
        <v>декабрь 2022</v>
      </c>
      <c r="I97" s="10">
        <f>IF(Таблицаx_2[[#This Row],[Месяц окончания]]=Таблицаx_2[[#This Row],[Месяц]],Таблицаx_2[[#This Row],[Значения числа]],0)</f>
        <v>0</v>
      </c>
      <c r="J97" s="8">
        <f>IF(AND(Таблицаx_2[[#This Row],[Месяц окончания]]=Таблицаx_2[[#This Row],[Месяц]],Таблицаx_2[[#This Row],[id]]=A98,EDATE(Таблицаx_2[[#This Row],[Месяц]],1)=D98),F98,0)</f>
        <v>0</v>
      </c>
      <c r="K97" s="8">
        <f>IF(AND(Таблицаx_2[[#This Row],[Месяц окончания]]=Таблицаx_2[[#This Row],[Месяц]],Таблицаx_2[[#This Row],[id]]=A98,EDATE(Таблицаx_2[[#This Row],[Месяц]],2)=D98),F98,0)</f>
        <v>0</v>
      </c>
    </row>
    <row r="98" spans="1:11" hidden="1" x14ac:dyDescent="0.2">
      <c r="A98" s="8">
        <v>581</v>
      </c>
      <c r="B98" s="8" t="s">
        <v>47</v>
      </c>
      <c r="C98" s="8" t="s">
        <v>7</v>
      </c>
      <c r="D98" s="12">
        <v>44896</v>
      </c>
      <c r="E98" s="8">
        <v>85000</v>
      </c>
      <c r="F98" s="10">
        <f>IF(ISTEXT(Таблицаx_2[[#This Row],[Значение]]), 0, Таблицаx_2[[#This Row],[Значение]])</f>
        <v>85000</v>
      </c>
      <c r="G98" s="12">
        <v>44896</v>
      </c>
      <c r="H98" s="10" t="str">
        <f>IFERROR(VLOOKUP(Таблицаx_2[[#This Row],[id]],prolongations!A:C,2,)," ")</f>
        <v>декабрь 2022</v>
      </c>
      <c r="I98" s="10">
        <f>IF(Таблицаx_2[[#This Row],[Месяц окончания]]=Таблицаx_2[[#This Row],[Месяц]],Таблицаx_2[[#This Row],[Значения числа]],0)</f>
        <v>85000</v>
      </c>
      <c r="J98" s="8">
        <f>IF(AND(Таблицаx_2[[#This Row],[Месяц окончания]]=Таблицаx_2[[#This Row],[Месяц]],Таблицаx_2[[#This Row],[id]]=A99,EDATE(Таблицаx_2[[#This Row],[Месяц]],1)=D99),F99,0)</f>
        <v>0</v>
      </c>
      <c r="K98" s="8">
        <f>IF(AND(Таблицаx_2[[#This Row],[Месяц окончания]]=Таблицаx_2[[#This Row],[Месяц]],Таблицаx_2[[#This Row],[id]]=A99,EDATE(Таблицаx_2[[#This Row],[Месяц]],2)=D99),F99,0)</f>
        <v>0</v>
      </c>
    </row>
    <row r="99" spans="1:11" ht="12.75" hidden="1" customHeight="1" x14ac:dyDescent="0.2">
      <c r="A99" s="8">
        <v>623</v>
      </c>
      <c r="B99" s="8"/>
      <c r="C99" s="8" t="s">
        <v>7</v>
      </c>
      <c r="D99" s="12">
        <v>44866</v>
      </c>
      <c r="E99" s="8">
        <v>152155</v>
      </c>
      <c r="F99" s="10">
        <f>IF(ISTEXT(Таблицаx_2[[#This Row],[Значение]]), 0, Таблицаx_2[[#This Row],[Значение]])</f>
        <v>152155</v>
      </c>
      <c r="G99" s="12">
        <v>44896</v>
      </c>
      <c r="H99" s="10" t="str">
        <f>IFERROR(VLOOKUP(Таблицаx_2[[#This Row],[id]],prolongations!A:C,2,)," ")</f>
        <v>декабрь 2022</v>
      </c>
      <c r="I99" s="10">
        <f>IF(Таблицаx_2[[#This Row],[Месяц окончания]]=Таблицаx_2[[#This Row],[Месяц]],Таблицаx_2[[#This Row],[Значения числа]],0)</f>
        <v>0</v>
      </c>
      <c r="J99" s="8">
        <f>IF(AND(Таблицаx_2[[#This Row],[Месяц окончания]]=Таблицаx_2[[#This Row],[Месяц]],Таблицаx_2[[#This Row],[id]]=A100,EDATE(Таблицаx_2[[#This Row],[Месяц]],1)=D100),F100,0)</f>
        <v>0</v>
      </c>
      <c r="K99" s="8">
        <f>IF(AND(Таблицаx_2[[#This Row],[Месяц окончания]]=Таблицаx_2[[#This Row],[Месяц]],Таблицаx_2[[#This Row],[id]]=A100,EDATE(Таблицаx_2[[#This Row],[Месяц]],2)=D100),F100,0)</f>
        <v>0</v>
      </c>
    </row>
    <row r="100" spans="1:11" hidden="1" x14ac:dyDescent="0.2">
      <c r="A100" s="8">
        <v>623</v>
      </c>
      <c r="B100" s="8"/>
      <c r="C100" s="8" t="s">
        <v>7</v>
      </c>
      <c r="D100" s="12">
        <v>44896</v>
      </c>
      <c r="E100" s="8">
        <v>149765</v>
      </c>
      <c r="F100" s="10">
        <f>IF(ISTEXT(Таблицаx_2[[#This Row],[Значение]]), 0, Таблицаx_2[[#This Row],[Значение]])</f>
        <v>149765</v>
      </c>
      <c r="G100" s="12">
        <v>44896</v>
      </c>
      <c r="H100" s="10" t="str">
        <f>IFERROR(VLOOKUP(Таблицаx_2[[#This Row],[id]],prolongations!A:C,2,)," ")</f>
        <v>декабрь 2022</v>
      </c>
      <c r="I100" s="10">
        <f>IF(Таблицаx_2[[#This Row],[Месяц окончания]]=Таблицаx_2[[#This Row],[Месяц]],Таблицаx_2[[#This Row],[Значения числа]],0)</f>
        <v>149765</v>
      </c>
      <c r="J100" s="8">
        <f>IF(AND(Таблицаx_2[[#This Row],[Месяц окончания]]=Таблицаx_2[[#This Row],[Месяц]],Таблицаx_2[[#This Row],[id]]=A101,EDATE(Таблицаx_2[[#This Row],[Месяц]],1)=D101),F101,0)</f>
        <v>0</v>
      </c>
      <c r="K100" s="8">
        <f>IF(AND(Таблицаx_2[[#This Row],[Месяц окончания]]=Таблицаx_2[[#This Row],[Месяц]],Таблицаx_2[[#This Row],[id]]=A101,EDATE(Таблицаx_2[[#This Row],[Месяц]],2)=D101),F101,0)</f>
        <v>0</v>
      </c>
    </row>
    <row r="101" spans="1:11" ht="12.75" hidden="1" customHeight="1" x14ac:dyDescent="0.2">
      <c r="A101" s="8">
        <v>705</v>
      </c>
      <c r="B101" s="8" t="s">
        <v>45</v>
      </c>
      <c r="C101" s="8" t="s">
        <v>10</v>
      </c>
      <c r="D101" s="12">
        <v>44866</v>
      </c>
      <c r="E101" s="8">
        <v>33960</v>
      </c>
      <c r="F101" s="10">
        <f>IF(ISTEXT(Таблицаx_2[[#This Row],[Значение]]), 0, Таблицаx_2[[#This Row],[Значение]])</f>
        <v>33960</v>
      </c>
      <c r="G101" s="12">
        <v>44896</v>
      </c>
      <c r="H101" s="10" t="str">
        <f>IFERROR(VLOOKUP(Таблицаx_2[[#This Row],[id]],prolongations!A:C,2,)," ")</f>
        <v>декабрь 2022</v>
      </c>
      <c r="I101" s="10">
        <f>IF(Таблицаx_2[[#This Row],[Месяц окончания]]=Таблицаx_2[[#This Row],[Месяц]],Таблицаx_2[[#This Row],[Значения числа]],0)</f>
        <v>0</v>
      </c>
      <c r="J101" s="8">
        <f>IF(AND(Таблицаx_2[[#This Row],[Месяц окончания]]=Таблицаx_2[[#This Row],[Месяц]],Таблицаx_2[[#This Row],[id]]=A102,EDATE(Таблицаx_2[[#This Row],[Месяц]],1)=D102),F102,0)</f>
        <v>0</v>
      </c>
      <c r="K101" s="8">
        <f>IF(AND(Таблицаx_2[[#This Row],[Месяц окончания]]=Таблицаx_2[[#This Row],[Месяц]],Таблицаx_2[[#This Row],[id]]=A102,EDATE(Таблицаx_2[[#This Row],[Месяц]],2)=D102),F102,0)</f>
        <v>0</v>
      </c>
    </row>
    <row r="102" spans="1:11" hidden="1" x14ac:dyDescent="0.2">
      <c r="A102" s="8">
        <v>705</v>
      </c>
      <c r="B102" s="8" t="s">
        <v>45</v>
      </c>
      <c r="C102" s="8" t="s">
        <v>10</v>
      </c>
      <c r="D102" s="12">
        <v>44896</v>
      </c>
      <c r="E102" s="8">
        <v>31965</v>
      </c>
      <c r="F102" s="10">
        <f>IF(ISTEXT(Таблицаx_2[[#This Row],[Значение]]), 0, Таблицаx_2[[#This Row],[Значение]])</f>
        <v>31965</v>
      </c>
      <c r="G102" s="12">
        <v>44896</v>
      </c>
      <c r="H102" s="10" t="str">
        <f>IFERROR(VLOOKUP(Таблицаx_2[[#This Row],[id]],prolongations!A:C,2,)," ")</f>
        <v>декабрь 2022</v>
      </c>
      <c r="I102" s="10">
        <f>IF(Таблицаx_2[[#This Row],[Месяц окончания]]=Таблицаx_2[[#This Row],[Месяц]],Таблицаx_2[[#This Row],[Значения числа]],0)</f>
        <v>31965</v>
      </c>
      <c r="J102" s="8">
        <f>IF(AND(Таблицаx_2[[#This Row],[Месяц окончания]]=Таблицаx_2[[#This Row],[Месяц]],Таблицаx_2[[#This Row],[id]]=A103,EDATE(Таблицаx_2[[#This Row],[Месяц]],1)=D103),F103,0)</f>
        <v>0</v>
      </c>
      <c r="K102" s="8">
        <f>IF(AND(Таблицаx_2[[#This Row],[Месяц окончания]]=Таблицаx_2[[#This Row],[Месяц]],Таблицаx_2[[#This Row],[id]]=A103,EDATE(Таблицаx_2[[#This Row],[Месяц]],2)=D103),F103,0)</f>
        <v>0</v>
      </c>
    </row>
    <row r="103" spans="1:11" hidden="1" x14ac:dyDescent="0.2">
      <c r="A103" s="8">
        <v>705</v>
      </c>
      <c r="B103" s="8" t="s">
        <v>47</v>
      </c>
      <c r="C103" s="8" t="s">
        <v>10</v>
      </c>
      <c r="D103" s="12">
        <v>44896</v>
      </c>
      <c r="E103" s="8">
        <v>2110</v>
      </c>
      <c r="F103" s="10">
        <f>IF(ISTEXT(Таблицаx_2[[#This Row],[Значение]]), 0, Таблицаx_2[[#This Row],[Значение]])</f>
        <v>2110</v>
      </c>
      <c r="G103" s="12">
        <v>44896</v>
      </c>
      <c r="H103" s="10" t="str">
        <f>IFERROR(VLOOKUP(Таблицаx_2[[#This Row],[id]],prolongations!A:C,2,)," ")</f>
        <v>декабрь 2022</v>
      </c>
      <c r="I103" s="10">
        <f>IF(Таблицаx_2[[#This Row],[Месяц окончания]]=Таблицаx_2[[#This Row],[Месяц]],Таблицаx_2[[#This Row],[Значения числа]],0)</f>
        <v>2110</v>
      </c>
      <c r="J103" s="8">
        <f>IF(AND(Таблицаx_2[[#This Row],[Месяц окончания]]=Таблицаx_2[[#This Row],[Месяц]],Таблицаx_2[[#This Row],[id]]=A104,EDATE(Таблицаx_2[[#This Row],[Месяц]],1)=D104),F104,0)</f>
        <v>0</v>
      </c>
      <c r="K103" s="8">
        <f>IF(AND(Таблицаx_2[[#This Row],[Месяц окончания]]=Таблицаx_2[[#This Row],[Месяц]],Таблицаx_2[[#This Row],[id]]=A104,EDATE(Таблицаx_2[[#This Row],[Месяц]],2)=D104),F104,0)</f>
        <v>0</v>
      </c>
    </row>
    <row r="104" spans="1:11" ht="12.75" hidden="1" customHeight="1" x14ac:dyDescent="0.2">
      <c r="A104" s="8">
        <v>705</v>
      </c>
      <c r="B104" s="8" t="s">
        <v>47</v>
      </c>
      <c r="C104" s="8" t="s">
        <v>10</v>
      </c>
      <c r="D104" s="12">
        <v>44866</v>
      </c>
      <c r="E104" s="8" t="s">
        <v>48</v>
      </c>
      <c r="F104" s="10">
        <f>IF(ISTEXT(Таблицаx_2[[#This Row],[Значение]]), 0, Таблицаx_2[[#This Row],[Значение]])</f>
        <v>0</v>
      </c>
      <c r="G104" s="12">
        <v>44896</v>
      </c>
      <c r="H104" s="10" t="str">
        <f>IFERROR(VLOOKUP(Таблицаx_2[[#This Row],[id]],prolongations!A:C,2,)," ")</f>
        <v>декабрь 2022</v>
      </c>
      <c r="I104" s="10">
        <f>IF(Таблицаx_2[[#This Row],[Месяц окончания]]=Таблицаx_2[[#This Row],[Месяц]],Таблицаx_2[[#This Row],[Значения числа]],0)</f>
        <v>0</v>
      </c>
      <c r="J104" s="8">
        <f>IF(AND(Таблицаx_2[[#This Row],[Месяц окончания]]=Таблицаx_2[[#This Row],[Месяц]],Таблицаx_2[[#This Row],[id]]=A105,EDATE(Таблицаx_2[[#This Row],[Месяц]],1)=D105),F105,0)</f>
        <v>0</v>
      </c>
      <c r="K104" s="8">
        <f>IF(AND(Таблицаx_2[[#This Row],[Месяц окончания]]=Таблицаx_2[[#This Row],[Месяц]],Таблицаx_2[[#This Row],[id]]=A105,EDATE(Таблицаx_2[[#This Row],[Месяц]],2)=D105),F105,0)</f>
        <v>0</v>
      </c>
    </row>
    <row r="105" spans="1:11" hidden="1" x14ac:dyDescent="0.2">
      <c r="A105" s="8">
        <v>705</v>
      </c>
      <c r="B105" s="8" t="s">
        <v>47</v>
      </c>
      <c r="C105" s="8" t="s">
        <v>10</v>
      </c>
      <c r="D105" s="12">
        <v>44896</v>
      </c>
      <c r="E105" s="8">
        <v>4220</v>
      </c>
      <c r="F105" s="10">
        <f>IF(ISTEXT(Таблицаx_2[[#This Row],[Значение]]), 0, Таблицаx_2[[#This Row],[Значение]])</f>
        <v>4220</v>
      </c>
      <c r="G105" s="12">
        <v>44896</v>
      </c>
      <c r="H105" s="10" t="str">
        <f>IFERROR(VLOOKUP(Таблицаx_2[[#This Row],[id]],prolongations!A:C,2,)," ")</f>
        <v>декабрь 2022</v>
      </c>
      <c r="I105" s="10">
        <f>IF(Таблицаx_2[[#This Row],[Месяц окончания]]=Таблицаx_2[[#This Row],[Месяц]],Таблицаx_2[[#This Row],[Значения числа]],0)</f>
        <v>4220</v>
      </c>
      <c r="J105" s="8">
        <f>IF(AND(Таблицаx_2[[#This Row],[Месяц окончания]]=Таблицаx_2[[#This Row],[Месяц]],Таблицаx_2[[#This Row],[id]]=A106,EDATE(Таблицаx_2[[#This Row],[Месяц]],1)=D106),F106,0)</f>
        <v>0</v>
      </c>
      <c r="K105" s="8">
        <f>IF(AND(Таблицаx_2[[#This Row],[Месяц окончания]]=Таблицаx_2[[#This Row],[Месяц]],Таблицаx_2[[#This Row],[id]]=A106,EDATE(Таблицаx_2[[#This Row],[Месяц]],2)=D106),F106,0)</f>
        <v>0</v>
      </c>
    </row>
    <row r="106" spans="1:11" hidden="1" x14ac:dyDescent="0.2">
      <c r="A106" s="8">
        <v>720</v>
      </c>
      <c r="B106" s="8" t="s">
        <v>45</v>
      </c>
      <c r="C106" s="8" t="s">
        <v>4</v>
      </c>
      <c r="D106" s="12">
        <v>44896</v>
      </c>
      <c r="E106" s="8">
        <v>29127.5</v>
      </c>
      <c r="F106" s="10">
        <f>IF(ISTEXT(Таблицаx_2[[#This Row],[Значение]]), 0, Таблицаx_2[[#This Row],[Значение]])</f>
        <v>29127.5</v>
      </c>
      <c r="G106" s="12">
        <v>44896</v>
      </c>
      <c r="H106" s="10" t="str">
        <f>IFERROR(VLOOKUP(Таблицаx_2[[#This Row],[id]],prolongations!A:C,2,)," ")</f>
        <v>декабрь 2022</v>
      </c>
      <c r="I106" s="10">
        <f>IF(Таблицаx_2[[#This Row],[Месяц окончания]]=Таблицаx_2[[#This Row],[Месяц]],Таблицаx_2[[#This Row],[Значения числа]],0)</f>
        <v>29127.5</v>
      </c>
      <c r="J106" s="8">
        <f>IF(AND(Таблицаx_2[[#This Row],[Месяц окончания]]=Таблицаx_2[[#This Row],[Месяц]],Таблицаx_2[[#This Row],[id]]=A107,EDATE(Таблицаx_2[[#This Row],[Месяц]],1)=D107),F107,0)</f>
        <v>0</v>
      </c>
      <c r="K106" s="8">
        <f>IF(AND(Таблицаx_2[[#This Row],[Месяц окончания]]=Таблицаx_2[[#This Row],[Месяц]],Таблицаx_2[[#This Row],[id]]=A107,EDATE(Таблицаx_2[[#This Row],[Месяц]],2)=D107),F107,0)</f>
        <v>0</v>
      </c>
    </row>
    <row r="107" spans="1:11" hidden="1" x14ac:dyDescent="0.2">
      <c r="A107" s="8">
        <v>720</v>
      </c>
      <c r="B107" s="8" t="s">
        <v>47</v>
      </c>
      <c r="C107" s="8" t="s">
        <v>4</v>
      </c>
      <c r="D107" s="12">
        <v>44896</v>
      </c>
      <c r="E107" s="8">
        <v>29127.5</v>
      </c>
      <c r="F107" s="10">
        <f>IF(ISTEXT(Таблицаx_2[[#This Row],[Значение]]), 0, Таблицаx_2[[#This Row],[Значение]])</f>
        <v>29127.5</v>
      </c>
      <c r="G107" s="12">
        <v>44896</v>
      </c>
      <c r="H107" s="10" t="str">
        <f>IFERROR(VLOOKUP(Таблицаx_2[[#This Row],[id]],prolongations!A:C,2,)," ")</f>
        <v>декабрь 2022</v>
      </c>
      <c r="I107" s="10">
        <f>IF(Таблицаx_2[[#This Row],[Месяц окончания]]=Таблицаx_2[[#This Row],[Месяц]],Таблицаx_2[[#This Row],[Значения числа]],0)</f>
        <v>29127.5</v>
      </c>
      <c r="J107" s="8">
        <f>IF(AND(Таблицаx_2[[#This Row],[Месяц окончания]]=Таблицаx_2[[#This Row],[Месяц]],Таблицаx_2[[#This Row],[id]]=A108,EDATE(Таблицаx_2[[#This Row],[Месяц]],1)=D108),F108,0)</f>
        <v>0</v>
      </c>
      <c r="K107" s="8">
        <f>IF(AND(Таблицаx_2[[#This Row],[Месяц окончания]]=Таблицаx_2[[#This Row],[Месяц]],Таблицаx_2[[#This Row],[id]]=A108,EDATE(Таблицаx_2[[#This Row],[Месяц]],2)=D108),F108,0)</f>
        <v>0</v>
      </c>
    </row>
    <row r="108" spans="1:11" ht="12.75" hidden="1" customHeight="1" x14ac:dyDescent="0.2">
      <c r="A108" s="8">
        <v>242</v>
      </c>
      <c r="B108" s="8"/>
      <c r="C108" s="8" t="s">
        <v>6</v>
      </c>
      <c r="D108" s="12">
        <v>44866</v>
      </c>
      <c r="E108" s="8">
        <v>96400</v>
      </c>
      <c r="F108" s="10">
        <f>IF(ISTEXT(Таблицаx_2[[#This Row],[Значение]]), 0, Таблицаx_2[[#This Row],[Значение]])</f>
        <v>96400</v>
      </c>
      <c r="G108" s="12">
        <v>44896</v>
      </c>
      <c r="H108" s="10" t="str">
        <f>IFERROR(VLOOKUP(Таблицаx_2[[#This Row],[id]],prolongations!A:C,2,)," ")</f>
        <v>декабрь 2022</v>
      </c>
      <c r="I108" s="10">
        <f>IF(Таблицаx_2[[#This Row],[Месяц окончания]]=Таблицаx_2[[#This Row],[Месяц]],Таблицаx_2[[#This Row],[Значения числа]],0)</f>
        <v>0</v>
      </c>
      <c r="J108" s="8">
        <f>IF(AND(Таблицаx_2[[#This Row],[Месяц окончания]]=Таблицаx_2[[#This Row],[Месяц]],Таблицаx_2[[#This Row],[id]]=A109,EDATE(Таблицаx_2[[#This Row],[Месяц]],1)=D109),F109,0)</f>
        <v>0</v>
      </c>
      <c r="K108" s="8">
        <f>IF(AND(Таблицаx_2[[#This Row],[Месяц окончания]]=Таблицаx_2[[#This Row],[Месяц]],Таблицаx_2[[#This Row],[id]]=A109,EDATE(Таблицаx_2[[#This Row],[Месяц]],2)=D109),F109,0)</f>
        <v>0</v>
      </c>
    </row>
    <row r="109" spans="1:11" hidden="1" x14ac:dyDescent="0.2">
      <c r="A109" s="8">
        <v>242</v>
      </c>
      <c r="B109" s="8"/>
      <c r="C109" s="8" t="s">
        <v>6</v>
      </c>
      <c r="D109" s="12">
        <v>44896</v>
      </c>
      <c r="E109" s="8">
        <v>88850</v>
      </c>
      <c r="F109" s="10">
        <f>IF(ISTEXT(Таблицаx_2[[#This Row],[Значение]]), 0, Таблицаx_2[[#This Row],[Значение]])</f>
        <v>88850</v>
      </c>
      <c r="G109" s="12">
        <v>44896</v>
      </c>
      <c r="H109" s="10" t="str">
        <f>IFERROR(VLOOKUP(Таблицаx_2[[#This Row],[id]],prolongations!A:C,2,)," ")</f>
        <v>декабрь 2022</v>
      </c>
      <c r="I109" s="10">
        <f>IF(Таблицаx_2[[#This Row],[Месяц окончания]]=Таблицаx_2[[#This Row],[Месяц]],Таблицаx_2[[#This Row],[Значения числа]],0)</f>
        <v>88850</v>
      </c>
      <c r="J109" s="8">
        <f>IF(AND(Таблицаx_2[[#This Row],[Месяц окончания]]=Таблицаx_2[[#This Row],[Месяц]],Таблицаx_2[[#This Row],[id]]=A110,EDATE(Таблицаx_2[[#This Row],[Месяц]],1)=D110),F110,0)</f>
        <v>83880</v>
      </c>
      <c r="K109" s="8">
        <f>IF(AND(Таблицаx_2[[#This Row],[Месяц окончания]]=Таблицаx_2[[#This Row],[Месяц]],Таблицаx_2[[#This Row],[id]]=A110,EDATE(Таблицаx_2[[#This Row],[Месяц]],2)=D110),F110,0)</f>
        <v>0</v>
      </c>
    </row>
    <row r="110" spans="1:11" ht="12.75" hidden="1" customHeight="1" x14ac:dyDescent="0.2">
      <c r="A110" s="8">
        <v>242</v>
      </c>
      <c r="B110" s="8"/>
      <c r="C110" s="8" t="s">
        <v>6</v>
      </c>
      <c r="D110" s="12">
        <v>44927</v>
      </c>
      <c r="E110" s="8">
        <v>83880</v>
      </c>
      <c r="F110" s="10">
        <f>IF(ISTEXT(Таблицаx_2[[#This Row],[Значение]]), 0, Таблицаx_2[[#This Row],[Значение]])</f>
        <v>83880</v>
      </c>
      <c r="G110" s="12">
        <v>44896</v>
      </c>
      <c r="H110" s="10" t="str">
        <f>IFERROR(VLOOKUP(Таблицаx_2[[#This Row],[id]],prolongations!A:C,2,)," ")</f>
        <v>декабрь 2022</v>
      </c>
      <c r="I110" s="10">
        <f>IF(Таблицаx_2[[#This Row],[Месяц окончания]]=Таблицаx_2[[#This Row],[Месяц]],Таблицаx_2[[#This Row],[Значения числа]],0)</f>
        <v>0</v>
      </c>
      <c r="J110" s="8">
        <f>IF(AND(Таблицаx_2[[#This Row],[Месяц окончания]]=Таблицаx_2[[#This Row],[Месяц]],Таблицаx_2[[#This Row],[id]]=A111,EDATE(Таблицаx_2[[#This Row],[Месяц]],1)=D111),F111,0)</f>
        <v>0</v>
      </c>
      <c r="K110" s="8">
        <f>IF(AND(Таблицаx_2[[#This Row],[Месяц окончания]]=Таблицаx_2[[#This Row],[Месяц]],Таблицаx_2[[#This Row],[id]]=A111,EDATE(Таблицаx_2[[#This Row],[Месяц]],2)=D111),F111,0)</f>
        <v>0</v>
      </c>
    </row>
    <row r="111" spans="1:11" ht="12.75" hidden="1" customHeight="1" x14ac:dyDescent="0.2">
      <c r="A111" s="8">
        <v>242</v>
      </c>
      <c r="B111" s="8"/>
      <c r="C111" s="8" t="s">
        <v>6</v>
      </c>
      <c r="D111" s="12">
        <v>44958</v>
      </c>
      <c r="E111" s="8">
        <v>90965</v>
      </c>
      <c r="F111" s="10">
        <f>IF(ISTEXT(Таблицаx_2[[#This Row],[Значение]]), 0, Таблицаx_2[[#This Row],[Значение]])</f>
        <v>90965</v>
      </c>
      <c r="G111" s="12">
        <v>44896</v>
      </c>
      <c r="H111" s="10" t="str">
        <f>IFERROR(VLOOKUP(Таблицаx_2[[#This Row],[id]],prolongations!A:C,2,)," ")</f>
        <v>декабрь 2022</v>
      </c>
      <c r="I111" s="10">
        <f>IF(Таблицаx_2[[#This Row],[Месяц окончания]]=Таблицаx_2[[#This Row],[Месяц]],Таблицаx_2[[#This Row],[Значения числа]],0)</f>
        <v>0</v>
      </c>
      <c r="J111" s="8">
        <f>IF(AND(Таблицаx_2[[#This Row],[Месяц окончания]]=Таблицаx_2[[#This Row],[Месяц]],Таблицаx_2[[#This Row],[id]]=A112,EDATE(Таблицаx_2[[#This Row],[Месяц]],1)=D112),F112,0)</f>
        <v>0</v>
      </c>
      <c r="K111" s="8">
        <f>IF(AND(Таблицаx_2[[#This Row],[Месяц окончания]]=Таблицаx_2[[#This Row],[Месяц]],Таблицаx_2[[#This Row],[id]]=A112,EDATE(Таблицаx_2[[#This Row],[Месяц]],2)=D112),F112,0)</f>
        <v>0</v>
      </c>
    </row>
    <row r="112" spans="1:11" ht="12.75" hidden="1" customHeight="1" x14ac:dyDescent="0.2">
      <c r="A112" s="8">
        <v>242</v>
      </c>
      <c r="B112" s="8"/>
      <c r="C112" s="8" t="s">
        <v>6</v>
      </c>
      <c r="D112" s="12">
        <v>44986</v>
      </c>
      <c r="E112" s="8">
        <v>86975</v>
      </c>
      <c r="F112" s="10">
        <f>IF(ISTEXT(Таблицаx_2[[#This Row],[Значение]]), 0, Таблицаx_2[[#This Row],[Значение]])</f>
        <v>86975</v>
      </c>
      <c r="G112" s="12">
        <v>44896</v>
      </c>
      <c r="H112" s="10" t="str">
        <f>IFERROR(VLOOKUP(Таблицаx_2[[#This Row],[id]],prolongations!A:C,2,)," ")</f>
        <v>декабрь 2022</v>
      </c>
      <c r="I112" s="10">
        <f>IF(Таблицаx_2[[#This Row],[Месяц окончания]]=Таблицаx_2[[#This Row],[Месяц]],Таблицаx_2[[#This Row],[Значения числа]],0)</f>
        <v>0</v>
      </c>
      <c r="J112" s="8">
        <f>IF(AND(Таблицаx_2[[#This Row],[Месяц окончания]]=Таблицаx_2[[#This Row],[Месяц]],Таблицаx_2[[#This Row],[id]]=A113,EDATE(Таблицаx_2[[#This Row],[Месяц]],1)=D113),F113,0)</f>
        <v>0</v>
      </c>
      <c r="K112" s="8">
        <f>IF(AND(Таблицаx_2[[#This Row],[Месяц окончания]]=Таблицаx_2[[#This Row],[Месяц]],Таблицаx_2[[#This Row],[id]]=A113,EDATE(Таблицаx_2[[#This Row],[Месяц]],2)=D113),F113,0)</f>
        <v>0</v>
      </c>
    </row>
    <row r="113" spans="1:11" ht="12.75" hidden="1" customHeight="1" x14ac:dyDescent="0.2">
      <c r="A113" s="8">
        <v>242</v>
      </c>
      <c r="B113" s="8"/>
      <c r="C113" s="8" t="s">
        <v>6</v>
      </c>
      <c r="D113" s="12">
        <v>45017</v>
      </c>
      <c r="E113" s="8">
        <v>84160</v>
      </c>
      <c r="F113" s="10">
        <f>IF(ISTEXT(Таблицаx_2[[#This Row],[Значение]]), 0, Таблицаx_2[[#This Row],[Значение]])</f>
        <v>84160</v>
      </c>
      <c r="G113" s="12">
        <v>44896</v>
      </c>
      <c r="H113" s="10" t="str">
        <f>IFERROR(VLOOKUP(Таблицаx_2[[#This Row],[id]],prolongations!A:C,2,)," ")</f>
        <v>декабрь 2022</v>
      </c>
      <c r="I113" s="10">
        <f>IF(Таблицаx_2[[#This Row],[Месяц окончания]]=Таблицаx_2[[#This Row],[Месяц]],Таблицаx_2[[#This Row],[Значения числа]],0)</f>
        <v>0</v>
      </c>
      <c r="J113" s="8">
        <f>IF(AND(Таблицаx_2[[#This Row],[Месяц окончания]]=Таблицаx_2[[#This Row],[Месяц]],Таблицаx_2[[#This Row],[id]]=A114,EDATE(Таблицаx_2[[#This Row],[Месяц]],1)=D114),F114,0)</f>
        <v>0</v>
      </c>
      <c r="K113" s="8">
        <f>IF(AND(Таблицаx_2[[#This Row],[Месяц окончания]]=Таблицаx_2[[#This Row],[Месяц]],Таблицаx_2[[#This Row],[id]]=A114,EDATE(Таблицаx_2[[#This Row],[Месяц]],2)=D114),F114,0)</f>
        <v>0</v>
      </c>
    </row>
    <row r="114" spans="1:11" ht="12.75" hidden="1" customHeight="1" x14ac:dyDescent="0.2">
      <c r="A114" s="8">
        <v>242</v>
      </c>
      <c r="B114" s="8"/>
      <c r="C114" s="8" t="s">
        <v>6</v>
      </c>
      <c r="D114" s="12">
        <v>45047</v>
      </c>
      <c r="E114" s="8">
        <v>75900</v>
      </c>
      <c r="F114" s="10">
        <f>IF(ISTEXT(Таблицаx_2[[#This Row],[Значение]]), 0, Таблицаx_2[[#This Row],[Значение]])</f>
        <v>75900</v>
      </c>
      <c r="G114" s="12">
        <v>44896</v>
      </c>
      <c r="H114" s="10" t="str">
        <f>IFERROR(VLOOKUP(Таблицаx_2[[#This Row],[id]],prolongations!A:C,2,)," ")</f>
        <v>декабрь 2022</v>
      </c>
      <c r="I114" s="10">
        <f>IF(Таблицаx_2[[#This Row],[Месяц окончания]]=Таблицаx_2[[#This Row],[Месяц]],Таблицаx_2[[#This Row],[Значения числа]],0)</f>
        <v>0</v>
      </c>
      <c r="J114" s="8">
        <f>IF(AND(Таблицаx_2[[#This Row],[Месяц окончания]]=Таблицаx_2[[#This Row],[Месяц]],Таблицаx_2[[#This Row],[id]]=A115,EDATE(Таблицаx_2[[#This Row],[Месяц]],1)=D115),F115,0)</f>
        <v>0</v>
      </c>
      <c r="K114" s="8">
        <f>IF(AND(Таблицаx_2[[#This Row],[Месяц окончания]]=Таблицаx_2[[#This Row],[Месяц]],Таблицаx_2[[#This Row],[id]]=A115,EDATE(Таблицаx_2[[#This Row],[Месяц]],2)=D115),F115,0)</f>
        <v>0</v>
      </c>
    </row>
    <row r="115" spans="1:11" ht="12.75" hidden="1" customHeight="1" x14ac:dyDescent="0.2">
      <c r="A115" s="8">
        <v>242</v>
      </c>
      <c r="B115" s="8"/>
      <c r="C115" s="8" t="s">
        <v>6</v>
      </c>
      <c r="D115" s="12">
        <v>45078</v>
      </c>
      <c r="E115" s="8">
        <v>95105</v>
      </c>
      <c r="F115" s="10">
        <f>IF(ISTEXT(Таблицаx_2[[#This Row],[Значение]]), 0, Таблицаx_2[[#This Row],[Значение]])</f>
        <v>95105</v>
      </c>
      <c r="G115" s="12">
        <v>44896</v>
      </c>
      <c r="H115" s="10" t="str">
        <f>IFERROR(VLOOKUP(Таблицаx_2[[#This Row],[id]],prolongations!A:C,2,)," ")</f>
        <v>декабрь 2022</v>
      </c>
      <c r="I115" s="10">
        <f>IF(Таблицаx_2[[#This Row],[Месяц окончания]]=Таблицаx_2[[#This Row],[Месяц]],Таблицаx_2[[#This Row],[Значения числа]],0)</f>
        <v>0</v>
      </c>
      <c r="J115" s="8">
        <f>IF(AND(Таблицаx_2[[#This Row],[Месяц окончания]]=Таблицаx_2[[#This Row],[Месяц]],Таблицаx_2[[#This Row],[id]]=A116,EDATE(Таблицаx_2[[#This Row],[Месяц]],1)=D116),F116,0)</f>
        <v>0</v>
      </c>
      <c r="K115" s="8">
        <f>IF(AND(Таблицаx_2[[#This Row],[Месяц окончания]]=Таблицаx_2[[#This Row],[Месяц]],Таблицаx_2[[#This Row],[id]]=A116,EDATE(Таблицаx_2[[#This Row],[Месяц]],2)=D116),F116,0)</f>
        <v>0</v>
      </c>
    </row>
    <row r="116" spans="1:11" ht="12.75" hidden="1" customHeight="1" x14ac:dyDescent="0.2">
      <c r="A116" s="8">
        <v>596</v>
      </c>
      <c r="B116" s="8"/>
      <c r="C116" s="8" t="s">
        <v>4</v>
      </c>
      <c r="D116" s="12">
        <v>44866</v>
      </c>
      <c r="E116" s="8">
        <v>41565</v>
      </c>
      <c r="F116" s="10">
        <f>IF(ISTEXT(Таблицаx_2[[#This Row],[Значение]]), 0, Таблицаx_2[[#This Row],[Значение]])</f>
        <v>41565</v>
      </c>
      <c r="G116" s="12">
        <v>44896</v>
      </c>
      <c r="H116" s="10" t="str">
        <f>IFERROR(VLOOKUP(Таблицаx_2[[#This Row],[id]],prolongations!A:C,2,)," ")</f>
        <v>декабрь 2022</v>
      </c>
      <c r="I116" s="10">
        <f>IF(Таблицаx_2[[#This Row],[Месяц окончания]]=Таблицаx_2[[#This Row],[Месяц]],Таблицаx_2[[#This Row],[Значения числа]],0)</f>
        <v>0</v>
      </c>
      <c r="J116" s="8">
        <f>IF(AND(Таблицаx_2[[#This Row],[Месяц окончания]]=Таблицаx_2[[#This Row],[Месяц]],Таблицаx_2[[#This Row],[id]]=A117,EDATE(Таблицаx_2[[#This Row],[Месяц]],1)=D117),F117,0)</f>
        <v>0</v>
      </c>
      <c r="K116" s="8">
        <f>IF(AND(Таблицаx_2[[#This Row],[Месяц окончания]]=Таблицаx_2[[#This Row],[Месяц]],Таблицаx_2[[#This Row],[id]]=A117,EDATE(Таблицаx_2[[#This Row],[Месяц]],2)=D117),F117,0)</f>
        <v>0</v>
      </c>
    </row>
    <row r="117" spans="1:11" hidden="1" x14ac:dyDescent="0.2">
      <c r="A117" s="8">
        <v>596</v>
      </c>
      <c r="B117" s="8"/>
      <c r="C117" s="8" t="s">
        <v>4</v>
      </c>
      <c r="D117" s="12">
        <v>44896</v>
      </c>
      <c r="E117" s="8">
        <v>29960</v>
      </c>
      <c r="F117" s="10">
        <f>IF(ISTEXT(Таблицаx_2[[#This Row],[Значение]]), 0, Таблицаx_2[[#This Row],[Значение]])</f>
        <v>29960</v>
      </c>
      <c r="G117" s="12">
        <v>44896</v>
      </c>
      <c r="H117" s="10" t="str">
        <f>IFERROR(VLOOKUP(Таблицаx_2[[#This Row],[id]],prolongations!A:C,2,)," ")</f>
        <v>декабрь 2022</v>
      </c>
      <c r="I117" s="10">
        <f>IF(Таблицаx_2[[#This Row],[Месяц окончания]]=Таблицаx_2[[#This Row],[Месяц]],Таблицаx_2[[#This Row],[Значения числа]],0)</f>
        <v>29960</v>
      </c>
      <c r="J117" s="8">
        <f>IF(AND(Таблицаx_2[[#This Row],[Месяц окончания]]=Таблицаx_2[[#This Row],[Месяц]],Таблицаx_2[[#This Row],[id]]=A118,EDATE(Таблицаx_2[[#This Row],[Месяц]],1)=D118),F118,0)</f>
        <v>0</v>
      </c>
      <c r="K117" s="8">
        <f>IF(AND(Таблицаx_2[[#This Row],[Месяц окончания]]=Таблицаx_2[[#This Row],[Месяц]],Таблицаx_2[[#This Row],[id]]=A118,EDATE(Таблицаx_2[[#This Row],[Месяц]],2)=D118),F118,0)</f>
        <v>0</v>
      </c>
    </row>
    <row r="118" spans="1:11" ht="12.75" hidden="1" customHeight="1" x14ac:dyDescent="0.2">
      <c r="A118" s="8">
        <v>266</v>
      </c>
      <c r="B118" s="8"/>
      <c r="C118" s="8" t="s">
        <v>6</v>
      </c>
      <c r="D118" s="12">
        <v>44866</v>
      </c>
      <c r="E118" s="8">
        <v>45950</v>
      </c>
      <c r="F118" s="10">
        <f>IF(ISTEXT(Таблицаx_2[[#This Row],[Значение]]), 0, Таблицаx_2[[#This Row],[Значение]])</f>
        <v>45950</v>
      </c>
      <c r="G118" s="12">
        <v>44896</v>
      </c>
      <c r="H118" s="10" t="str">
        <f>IFERROR(VLOOKUP(Таблицаx_2[[#This Row],[id]],prolongations!A:C,2,)," ")</f>
        <v>декабрь 2022</v>
      </c>
      <c r="I118" s="10">
        <f>IF(Таблицаx_2[[#This Row],[Месяц окончания]]=Таблицаx_2[[#This Row],[Месяц]],Таблицаx_2[[#This Row],[Значения числа]],0)</f>
        <v>0</v>
      </c>
      <c r="J118" s="8">
        <f>IF(AND(Таблицаx_2[[#This Row],[Месяц окончания]]=Таблицаx_2[[#This Row],[Месяц]],Таблицаx_2[[#This Row],[id]]=A119,EDATE(Таблицаx_2[[#This Row],[Месяц]],1)=D119),F119,0)</f>
        <v>0</v>
      </c>
      <c r="K118" s="8">
        <f>IF(AND(Таблицаx_2[[#This Row],[Месяц окончания]]=Таблицаx_2[[#This Row],[Месяц]],Таблицаx_2[[#This Row],[id]]=A119,EDATE(Таблицаx_2[[#This Row],[Месяц]],2)=D119),F119,0)</f>
        <v>0</v>
      </c>
    </row>
    <row r="119" spans="1:11" hidden="1" x14ac:dyDescent="0.2">
      <c r="A119" s="8">
        <v>266</v>
      </c>
      <c r="B119" s="8"/>
      <c r="C119" s="8" t="s">
        <v>6</v>
      </c>
      <c r="D119" s="12">
        <v>44896</v>
      </c>
      <c r="E119" s="8">
        <v>45950</v>
      </c>
      <c r="F119" s="10">
        <f>IF(ISTEXT(Таблицаx_2[[#This Row],[Значение]]), 0, Таблицаx_2[[#This Row],[Значение]])</f>
        <v>45950</v>
      </c>
      <c r="G119" s="12">
        <v>44896</v>
      </c>
      <c r="H119" s="10" t="str">
        <f>IFERROR(VLOOKUP(Таблицаx_2[[#This Row],[id]],prolongations!A:C,2,)," ")</f>
        <v>декабрь 2022</v>
      </c>
      <c r="I119" s="10">
        <f>IF(Таблицаx_2[[#This Row],[Месяц окончания]]=Таблицаx_2[[#This Row],[Месяц]],Таблицаx_2[[#This Row],[Значения числа]],0)</f>
        <v>45950</v>
      </c>
      <c r="J119" s="8">
        <f>IF(AND(Таблицаx_2[[#This Row],[Месяц окончания]]=Таблицаx_2[[#This Row],[Месяц]],Таблицаx_2[[#This Row],[id]]=A120,EDATE(Таблицаx_2[[#This Row],[Месяц]],1)=D120),F120,0)</f>
        <v>0</v>
      </c>
      <c r="K119" s="8">
        <f>IF(AND(Таблицаx_2[[#This Row],[Месяц окончания]]=Таблицаx_2[[#This Row],[Месяц]],Таблицаx_2[[#This Row],[id]]=A120,EDATE(Таблицаx_2[[#This Row],[Месяц]],2)=D120),F120,0)</f>
        <v>46995</v>
      </c>
    </row>
    <row r="120" spans="1:11" ht="12.75" hidden="1" customHeight="1" x14ac:dyDescent="0.2">
      <c r="A120" s="8">
        <v>266</v>
      </c>
      <c r="B120" s="8"/>
      <c r="C120" s="8" t="s">
        <v>6</v>
      </c>
      <c r="D120" s="12">
        <v>44958</v>
      </c>
      <c r="E120" s="8">
        <v>46995</v>
      </c>
      <c r="F120" s="10">
        <f>IF(ISTEXT(Таблицаx_2[[#This Row],[Значение]]), 0, Таблицаx_2[[#This Row],[Значение]])</f>
        <v>46995</v>
      </c>
      <c r="G120" s="12">
        <v>44896</v>
      </c>
      <c r="H120" s="10" t="str">
        <f>IFERROR(VLOOKUP(Таблицаx_2[[#This Row],[id]],prolongations!A:C,2,)," ")</f>
        <v>декабрь 2022</v>
      </c>
      <c r="I120" s="10">
        <f>IF(Таблицаx_2[[#This Row],[Месяц окончания]]=Таблицаx_2[[#This Row],[Месяц]],Таблицаx_2[[#This Row],[Значения числа]],0)</f>
        <v>0</v>
      </c>
      <c r="J120" s="8">
        <f>IF(AND(Таблицаx_2[[#This Row],[Месяц окончания]]=Таблицаx_2[[#This Row],[Месяц]],Таблицаx_2[[#This Row],[id]]=A121,EDATE(Таблицаx_2[[#This Row],[Месяц]],1)=D121),F121,0)</f>
        <v>0</v>
      </c>
      <c r="K120" s="8">
        <f>IF(AND(Таблицаx_2[[#This Row],[Месяц окончания]]=Таблицаx_2[[#This Row],[Месяц]],Таблицаx_2[[#This Row],[id]]=A121,EDATE(Таблицаx_2[[#This Row],[Месяц]],2)=D121),F121,0)</f>
        <v>0</v>
      </c>
    </row>
    <row r="121" spans="1:11" ht="12.75" hidden="1" customHeight="1" x14ac:dyDescent="0.2">
      <c r="A121" s="8">
        <v>266</v>
      </c>
      <c r="B121" s="8"/>
      <c r="C121" s="8" t="s">
        <v>6</v>
      </c>
      <c r="D121" s="12">
        <v>44986</v>
      </c>
      <c r="E121" s="8">
        <v>46995</v>
      </c>
      <c r="F121" s="10">
        <f>IF(ISTEXT(Таблицаx_2[[#This Row],[Значение]]), 0, Таблицаx_2[[#This Row],[Значение]])</f>
        <v>46995</v>
      </c>
      <c r="G121" s="12">
        <v>44896</v>
      </c>
      <c r="H121" s="10" t="str">
        <f>IFERROR(VLOOKUP(Таблицаx_2[[#This Row],[id]],prolongations!A:C,2,)," ")</f>
        <v>декабрь 2022</v>
      </c>
      <c r="I121" s="10">
        <f>IF(Таблицаx_2[[#This Row],[Месяц окончания]]=Таблицаx_2[[#This Row],[Месяц]],Таблицаx_2[[#This Row],[Значения числа]],0)</f>
        <v>0</v>
      </c>
      <c r="J121" s="8">
        <f>IF(AND(Таблицаx_2[[#This Row],[Месяц окончания]]=Таблицаx_2[[#This Row],[Месяц]],Таблицаx_2[[#This Row],[id]]=A122,EDATE(Таблицаx_2[[#This Row],[Месяц]],1)=D122),F122,0)</f>
        <v>0</v>
      </c>
      <c r="K121" s="8">
        <f>IF(AND(Таблицаx_2[[#This Row],[Месяц окончания]]=Таблицаx_2[[#This Row],[Месяц]],Таблицаx_2[[#This Row],[id]]=A122,EDATE(Таблицаx_2[[#This Row],[Месяц]],2)=D122),F122,0)</f>
        <v>0</v>
      </c>
    </row>
    <row r="122" spans="1:11" ht="12.75" hidden="1" customHeight="1" x14ac:dyDescent="0.2">
      <c r="A122" s="8">
        <v>266</v>
      </c>
      <c r="B122" s="8"/>
      <c r="C122" s="8" t="s">
        <v>6</v>
      </c>
      <c r="D122" s="12">
        <v>45017</v>
      </c>
      <c r="E122" s="8">
        <v>46995</v>
      </c>
      <c r="F122" s="10">
        <f>IF(ISTEXT(Таблицаx_2[[#This Row],[Значение]]), 0, Таблицаx_2[[#This Row],[Значение]])</f>
        <v>46995</v>
      </c>
      <c r="G122" s="12">
        <v>44896</v>
      </c>
      <c r="H122" s="10" t="str">
        <f>IFERROR(VLOOKUP(Таблицаx_2[[#This Row],[id]],prolongations!A:C,2,)," ")</f>
        <v>декабрь 2022</v>
      </c>
      <c r="I122" s="10">
        <f>IF(Таблицаx_2[[#This Row],[Месяц окончания]]=Таблицаx_2[[#This Row],[Месяц]],Таблицаx_2[[#This Row],[Значения числа]],0)</f>
        <v>0</v>
      </c>
      <c r="J122" s="8">
        <f>IF(AND(Таблицаx_2[[#This Row],[Месяц окончания]]=Таблицаx_2[[#This Row],[Месяц]],Таблицаx_2[[#This Row],[id]]=A123,EDATE(Таблицаx_2[[#This Row],[Месяц]],1)=D123),F123,0)</f>
        <v>0</v>
      </c>
      <c r="K122" s="8">
        <f>IF(AND(Таблицаx_2[[#This Row],[Месяц окончания]]=Таблицаx_2[[#This Row],[Месяц]],Таблицаx_2[[#This Row],[id]]=A123,EDATE(Таблицаx_2[[#This Row],[Месяц]],2)=D123),F123,0)</f>
        <v>0</v>
      </c>
    </row>
    <row r="123" spans="1:11" ht="12.75" hidden="1" customHeight="1" x14ac:dyDescent="0.2">
      <c r="A123" s="8">
        <v>266</v>
      </c>
      <c r="B123" s="8"/>
      <c r="C123" s="8" t="s">
        <v>6</v>
      </c>
      <c r="D123" s="12">
        <v>45047</v>
      </c>
      <c r="E123" s="8">
        <v>46995</v>
      </c>
      <c r="F123" s="10">
        <f>IF(ISTEXT(Таблицаx_2[[#This Row],[Значение]]), 0, Таблицаx_2[[#This Row],[Значение]])</f>
        <v>46995</v>
      </c>
      <c r="G123" s="12">
        <v>44896</v>
      </c>
      <c r="H123" s="10" t="str">
        <f>IFERROR(VLOOKUP(Таблицаx_2[[#This Row],[id]],prolongations!A:C,2,)," ")</f>
        <v>декабрь 2022</v>
      </c>
      <c r="I123" s="10">
        <f>IF(Таблицаx_2[[#This Row],[Месяц окончания]]=Таблицаx_2[[#This Row],[Месяц]],Таблицаx_2[[#This Row],[Значения числа]],0)</f>
        <v>0</v>
      </c>
      <c r="J123" s="8">
        <f>IF(AND(Таблицаx_2[[#This Row],[Месяц окончания]]=Таблицаx_2[[#This Row],[Месяц]],Таблицаx_2[[#This Row],[id]]=A124,EDATE(Таблицаx_2[[#This Row],[Месяц]],1)=D124),F124,0)</f>
        <v>0</v>
      </c>
      <c r="K123" s="8">
        <f>IF(AND(Таблицаx_2[[#This Row],[Месяц окончания]]=Таблицаx_2[[#This Row],[Месяц]],Таблицаx_2[[#This Row],[id]]=A124,EDATE(Таблицаx_2[[#This Row],[Месяц]],2)=D124),F124,0)</f>
        <v>0</v>
      </c>
    </row>
    <row r="124" spans="1:11" ht="12.75" hidden="1" customHeight="1" x14ac:dyDescent="0.2">
      <c r="A124" s="8">
        <v>266</v>
      </c>
      <c r="B124" s="8"/>
      <c r="C124" s="8" t="s">
        <v>6</v>
      </c>
      <c r="D124" s="12">
        <v>45078</v>
      </c>
      <c r="E124" s="8">
        <v>46995</v>
      </c>
      <c r="F124" s="10">
        <f>IF(ISTEXT(Таблицаx_2[[#This Row],[Значение]]), 0, Таблицаx_2[[#This Row],[Значение]])</f>
        <v>46995</v>
      </c>
      <c r="G124" s="12">
        <v>44896</v>
      </c>
      <c r="H124" s="10" t="str">
        <f>IFERROR(VLOOKUP(Таблицаx_2[[#This Row],[id]],prolongations!A:C,2,)," ")</f>
        <v>декабрь 2022</v>
      </c>
      <c r="I124" s="10">
        <f>IF(Таблицаx_2[[#This Row],[Месяц окончания]]=Таблицаx_2[[#This Row],[Месяц]],Таблицаx_2[[#This Row],[Значения числа]],0)</f>
        <v>0</v>
      </c>
      <c r="J124" s="8">
        <f>IF(AND(Таблицаx_2[[#This Row],[Месяц окончания]]=Таблицаx_2[[#This Row],[Месяц]],Таблицаx_2[[#This Row],[id]]=A125,EDATE(Таблицаx_2[[#This Row],[Месяц]],1)=D125),F125,0)</f>
        <v>0</v>
      </c>
      <c r="K124" s="8">
        <f>IF(AND(Таблицаx_2[[#This Row],[Месяц окончания]]=Таблицаx_2[[#This Row],[Месяц]],Таблицаx_2[[#This Row],[id]]=A125,EDATE(Таблицаx_2[[#This Row],[Месяц]],2)=D125),F125,0)</f>
        <v>0</v>
      </c>
    </row>
    <row r="125" spans="1:11" ht="12.75" hidden="1" customHeight="1" x14ac:dyDescent="0.2">
      <c r="A125" s="8">
        <v>266</v>
      </c>
      <c r="B125" s="8"/>
      <c r="C125" s="8" t="s">
        <v>6</v>
      </c>
      <c r="D125" s="12">
        <v>45108</v>
      </c>
      <c r="E125" s="8">
        <v>46995</v>
      </c>
      <c r="F125" s="10">
        <f>IF(ISTEXT(Таблицаx_2[[#This Row],[Значение]]), 0, Таблицаx_2[[#This Row],[Значение]])</f>
        <v>46995</v>
      </c>
      <c r="G125" s="12">
        <v>44896</v>
      </c>
      <c r="H125" s="10" t="str">
        <f>IFERROR(VLOOKUP(Таблицаx_2[[#This Row],[id]],prolongations!A:C,2,)," ")</f>
        <v>декабрь 2022</v>
      </c>
      <c r="I125" s="10">
        <f>IF(Таблицаx_2[[#This Row],[Месяц окончания]]=Таблицаx_2[[#This Row],[Месяц]],Таблицаx_2[[#This Row],[Значения числа]],0)</f>
        <v>0</v>
      </c>
      <c r="J125" s="8">
        <f>IF(AND(Таблицаx_2[[#This Row],[Месяц окончания]]=Таблицаx_2[[#This Row],[Месяц]],Таблицаx_2[[#This Row],[id]]=A126,EDATE(Таблицаx_2[[#This Row],[Месяц]],1)=D126),F126,0)</f>
        <v>0</v>
      </c>
      <c r="K125" s="8">
        <f>IF(AND(Таблицаx_2[[#This Row],[Месяц окончания]]=Таблицаx_2[[#This Row],[Месяц]],Таблицаx_2[[#This Row],[id]]=A126,EDATE(Таблицаx_2[[#This Row],[Месяц]],2)=D126),F126,0)</f>
        <v>0</v>
      </c>
    </row>
    <row r="126" spans="1:11" ht="12.75" hidden="1" customHeight="1" x14ac:dyDescent="0.2">
      <c r="A126" s="8">
        <v>266</v>
      </c>
      <c r="B126" s="8"/>
      <c r="C126" s="8" t="s">
        <v>6</v>
      </c>
      <c r="D126" s="12">
        <v>45139</v>
      </c>
      <c r="E126" s="8">
        <v>46995</v>
      </c>
      <c r="F126" s="10">
        <f>IF(ISTEXT(Таблицаx_2[[#This Row],[Значение]]), 0, Таблицаx_2[[#This Row],[Значение]])</f>
        <v>46995</v>
      </c>
      <c r="G126" s="12">
        <v>44896</v>
      </c>
      <c r="H126" s="10" t="str">
        <f>IFERROR(VLOOKUP(Таблицаx_2[[#This Row],[id]],prolongations!A:C,2,)," ")</f>
        <v>декабрь 2022</v>
      </c>
      <c r="I126" s="10">
        <f>IF(Таблицаx_2[[#This Row],[Месяц окончания]]=Таблицаx_2[[#This Row],[Месяц]],Таблицаx_2[[#This Row],[Значения числа]],0)</f>
        <v>0</v>
      </c>
      <c r="J126" s="8">
        <f>IF(AND(Таблицаx_2[[#This Row],[Месяц окончания]]=Таблицаx_2[[#This Row],[Месяц]],Таблицаx_2[[#This Row],[id]]=A127,EDATE(Таблицаx_2[[#This Row],[Месяц]],1)=D127),F127,0)</f>
        <v>0</v>
      </c>
      <c r="K126" s="8">
        <f>IF(AND(Таблицаx_2[[#This Row],[Месяц окончания]]=Таблицаx_2[[#This Row],[Месяц]],Таблицаx_2[[#This Row],[id]]=A127,EDATE(Таблицаx_2[[#This Row],[Месяц]],2)=D127),F127,0)</f>
        <v>0</v>
      </c>
    </row>
    <row r="127" spans="1:11" ht="12.75" hidden="1" customHeight="1" x14ac:dyDescent="0.2">
      <c r="A127" s="8">
        <v>266</v>
      </c>
      <c r="B127" s="8"/>
      <c r="C127" s="8" t="s">
        <v>6</v>
      </c>
      <c r="D127" s="12">
        <v>45170</v>
      </c>
      <c r="E127" s="8">
        <v>46995</v>
      </c>
      <c r="F127" s="10">
        <f>IF(ISTEXT(Таблицаx_2[[#This Row],[Значение]]), 0, Таблицаx_2[[#This Row],[Значение]])</f>
        <v>46995</v>
      </c>
      <c r="G127" s="12">
        <v>44896</v>
      </c>
      <c r="H127" s="10" t="str">
        <f>IFERROR(VLOOKUP(Таблицаx_2[[#This Row],[id]],prolongations!A:C,2,)," ")</f>
        <v>декабрь 2022</v>
      </c>
      <c r="I127" s="10">
        <f>IF(Таблицаx_2[[#This Row],[Месяц окончания]]=Таблицаx_2[[#This Row],[Месяц]],Таблицаx_2[[#This Row],[Значения числа]],0)</f>
        <v>0</v>
      </c>
      <c r="J127" s="8">
        <f>IF(AND(Таблицаx_2[[#This Row],[Месяц окончания]]=Таблицаx_2[[#This Row],[Месяц]],Таблицаx_2[[#This Row],[id]]=A128,EDATE(Таблицаx_2[[#This Row],[Месяц]],1)=D128),F128,0)</f>
        <v>0</v>
      </c>
      <c r="K127" s="8">
        <f>IF(AND(Таблицаx_2[[#This Row],[Месяц окончания]]=Таблицаx_2[[#This Row],[Месяц]],Таблицаx_2[[#This Row],[id]]=A128,EDATE(Таблицаx_2[[#This Row],[Месяц]],2)=D128),F128,0)</f>
        <v>0</v>
      </c>
    </row>
    <row r="128" spans="1:11" ht="12.75" hidden="1" customHeight="1" x14ac:dyDescent="0.2">
      <c r="A128" s="8">
        <v>266</v>
      </c>
      <c r="B128" s="8"/>
      <c r="C128" s="8" t="s">
        <v>6</v>
      </c>
      <c r="D128" s="12">
        <v>45200</v>
      </c>
      <c r="E128" s="8">
        <v>46995</v>
      </c>
      <c r="F128" s="10">
        <f>IF(ISTEXT(Таблицаx_2[[#This Row],[Значение]]), 0, Таблицаx_2[[#This Row],[Значение]])</f>
        <v>46995</v>
      </c>
      <c r="G128" s="12">
        <v>44896</v>
      </c>
      <c r="H128" s="10" t="str">
        <f>IFERROR(VLOOKUP(Таблицаx_2[[#This Row],[id]],prolongations!A:C,2,)," ")</f>
        <v>декабрь 2022</v>
      </c>
      <c r="I128" s="10">
        <f>IF(Таблицаx_2[[#This Row],[Месяц окончания]]=Таблицаx_2[[#This Row],[Месяц]],Таблицаx_2[[#This Row],[Значения числа]],0)</f>
        <v>0</v>
      </c>
      <c r="J128" s="8">
        <f>IF(AND(Таблицаx_2[[#This Row],[Месяц окончания]]=Таблицаx_2[[#This Row],[Месяц]],Таблицаx_2[[#This Row],[id]]=A129,EDATE(Таблицаx_2[[#This Row],[Месяц]],1)=D129),F129,0)</f>
        <v>0</v>
      </c>
      <c r="K128" s="8">
        <f>IF(AND(Таблицаx_2[[#This Row],[Месяц окончания]]=Таблицаx_2[[#This Row],[Месяц]],Таблицаx_2[[#This Row],[id]]=A129,EDATE(Таблицаx_2[[#This Row],[Месяц]],2)=D129),F129,0)</f>
        <v>0</v>
      </c>
    </row>
    <row r="129" spans="1:11" ht="12.75" hidden="1" customHeight="1" x14ac:dyDescent="0.2">
      <c r="A129" s="8">
        <v>266</v>
      </c>
      <c r="B129" s="8"/>
      <c r="C129" s="8" t="s">
        <v>6</v>
      </c>
      <c r="D129" s="12">
        <v>45231</v>
      </c>
      <c r="E129" s="8">
        <v>46995</v>
      </c>
      <c r="F129" s="10">
        <f>IF(ISTEXT(Таблицаx_2[[#This Row],[Значение]]), 0, Таблицаx_2[[#This Row],[Значение]])</f>
        <v>46995</v>
      </c>
      <c r="G129" s="12">
        <v>44896</v>
      </c>
      <c r="H129" s="10" t="str">
        <f>IFERROR(VLOOKUP(Таблицаx_2[[#This Row],[id]],prolongations!A:C,2,)," ")</f>
        <v>декабрь 2022</v>
      </c>
      <c r="I129" s="10">
        <f>IF(Таблицаx_2[[#This Row],[Месяц окончания]]=Таблицаx_2[[#This Row],[Месяц]],Таблицаx_2[[#This Row],[Значения числа]],0)</f>
        <v>0</v>
      </c>
      <c r="J129" s="8">
        <f>IF(AND(Таблицаx_2[[#This Row],[Месяц окончания]]=Таблицаx_2[[#This Row],[Месяц]],Таблицаx_2[[#This Row],[id]]=A130,EDATE(Таблицаx_2[[#This Row],[Месяц]],1)=D130),F130,0)</f>
        <v>0</v>
      </c>
      <c r="K129" s="8">
        <f>IF(AND(Таблицаx_2[[#This Row],[Месяц окончания]]=Таблицаx_2[[#This Row],[Месяц]],Таблицаx_2[[#This Row],[id]]=A130,EDATE(Таблицаx_2[[#This Row],[Месяц]],2)=D130),F130,0)</f>
        <v>0</v>
      </c>
    </row>
    <row r="130" spans="1:11" ht="12.75" hidden="1" customHeight="1" x14ac:dyDescent="0.2">
      <c r="A130" s="8">
        <v>266</v>
      </c>
      <c r="B130" s="8"/>
      <c r="C130" s="8" t="s">
        <v>6</v>
      </c>
      <c r="D130" s="12">
        <v>45261</v>
      </c>
      <c r="E130" s="8">
        <v>46995</v>
      </c>
      <c r="F130" s="10">
        <f>IF(ISTEXT(Таблицаx_2[[#This Row],[Значение]]), 0, Таблицаx_2[[#This Row],[Значение]])</f>
        <v>46995</v>
      </c>
      <c r="G130" s="12">
        <v>44896</v>
      </c>
      <c r="H130" s="10" t="str">
        <f>IFERROR(VLOOKUP(Таблицаx_2[[#This Row],[id]],prolongations!A:C,2,)," ")</f>
        <v>декабрь 2022</v>
      </c>
      <c r="I130" s="10">
        <f>IF(Таблицаx_2[[#This Row],[Месяц окончания]]=Таблицаx_2[[#This Row],[Месяц]],Таблицаx_2[[#This Row],[Значения числа]],0)</f>
        <v>0</v>
      </c>
      <c r="J130" s="8">
        <f>IF(AND(Таблицаx_2[[#This Row],[Месяц окончания]]=Таблицаx_2[[#This Row],[Месяц]],Таблицаx_2[[#This Row],[id]]=A131,EDATE(Таблицаx_2[[#This Row],[Месяц]],1)=D131),F131,0)</f>
        <v>0</v>
      </c>
      <c r="K130" s="8">
        <f>IF(AND(Таблицаx_2[[#This Row],[Месяц окончания]]=Таблицаx_2[[#This Row],[Месяц]],Таблицаx_2[[#This Row],[id]]=A131,EDATE(Таблицаx_2[[#This Row],[Месяц]],2)=D131),F131,0)</f>
        <v>0</v>
      </c>
    </row>
    <row r="131" spans="1:11" ht="12.75" hidden="1" customHeight="1" x14ac:dyDescent="0.2">
      <c r="A131" s="8">
        <v>266</v>
      </c>
      <c r="B131" s="8"/>
      <c r="C131" s="8" t="s">
        <v>6</v>
      </c>
      <c r="D131" s="12">
        <v>45292</v>
      </c>
      <c r="E131" s="8">
        <v>46995</v>
      </c>
      <c r="F131" s="10">
        <f>IF(ISTEXT(Таблицаx_2[[#This Row],[Значение]]), 0, Таблицаx_2[[#This Row],[Значение]])</f>
        <v>46995</v>
      </c>
      <c r="G131" s="12">
        <v>44896</v>
      </c>
      <c r="H131" s="10" t="str">
        <f>IFERROR(VLOOKUP(Таблицаx_2[[#This Row],[id]],prolongations!A:C,2,)," ")</f>
        <v>декабрь 2022</v>
      </c>
      <c r="I131" s="10">
        <f>IF(Таблицаx_2[[#This Row],[Месяц окончания]]=Таблицаx_2[[#This Row],[Месяц]],Таблицаx_2[[#This Row],[Значения числа]],0)</f>
        <v>0</v>
      </c>
      <c r="J131" s="8">
        <f>IF(AND(Таблицаx_2[[#This Row],[Месяц окончания]]=Таблицаx_2[[#This Row],[Месяц]],Таблицаx_2[[#This Row],[id]]=A132,EDATE(Таблицаx_2[[#This Row],[Месяц]],1)=D132),F132,0)</f>
        <v>0</v>
      </c>
      <c r="K131" s="8">
        <f>IF(AND(Таблицаx_2[[#This Row],[Месяц окончания]]=Таблицаx_2[[#This Row],[Месяц]],Таблицаx_2[[#This Row],[id]]=A132,EDATE(Таблицаx_2[[#This Row],[Месяц]],2)=D132),F132,0)</f>
        <v>0</v>
      </c>
    </row>
    <row r="132" spans="1:11" ht="12.75" hidden="1" customHeight="1" x14ac:dyDescent="0.2">
      <c r="A132" s="8">
        <v>498</v>
      </c>
      <c r="B132" s="8"/>
      <c r="C132" s="8" t="s">
        <v>4</v>
      </c>
      <c r="D132" s="12">
        <v>44866</v>
      </c>
      <c r="E132" s="8">
        <v>70650</v>
      </c>
      <c r="F132" s="10">
        <f>IF(ISTEXT(Таблицаx_2[[#This Row],[Значение]]), 0, Таблицаx_2[[#This Row],[Значение]])</f>
        <v>70650</v>
      </c>
      <c r="G132" s="12">
        <v>44896</v>
      </c>
      <c r="H132" s="10" t="str">
        <f>IFERROR(VLOOKUP(Таблицаx_2[[#This Row],[id]],prolongations!A:C,2,)," ")</f>
        <v>декабрь 2022</v>
      </c>
      <c r="I132" s="10">
        <f>IF(Таблицаx_2[[#This Row],[Месяц окончания]]=Таблицаx_2[[#This Row],[Месяц]],Таблицаx_2[[#This Row],[Значения числа]],0)</f>
        <v>0</v>
      </c>
      <c r="J132" s="8">
        <f>IF(AND(Таблицаx_2[[#This Row],[Месяц окончания]]=Таблицаx_2[[#This Row],[Месяц]],Таблицаx_2[[#This Row],[id]]=A133,EDATE(Таблицаx_2[[#This Row],[Месяц]],1)=D133),F133,0)</f>
        <v>0</v>
      </c>
      <c r="K132" s="8">
        <f>IF(AND(Таблицаx_2[[#This Row],[Месяц окончания]]=Таблицаx_2[[#This Row],[Месяц]],Таблицаx_2[[#This Row],[id]]=A133,EDATE(Таблицаx_2[[#This Row],[Месяц]],2)=D133),F133,0)</f>
        <v>0</v>
      </c>
    </row>
    <row r="133" spans="1:11" hidden="1" x14ac:dyDescent="0.2">
      <c r="A133" s="8">
        <v>498</v>
      </c>
      <c r="B133" s="8"/>
      <c r="C133" s="8" t="s">
        <v>4</v>
      </c>
      <c r="D133" s="12">
        <v>44896</v>
      </c>
      <c r="E133" s="8">
        <v>74650</v>
      </c>
      <c r="F133" s="10">
        <f>IF(ISTEXT(Таблицаx_2[[#This Row],[Значение]]), 0, Таблицаx_2[[#This Row],[Значение]])</f>
        <v>74650</v>
      </c>
      <c r="G133" s="12">
        <v>44896</v>
      </c>
      <c r="H133" s="10" t="str">
        <f>IFERROR(VLOOKUP(Таблицаx_2[[#This Row],[id]],prolongations!A:C,2,)," ")</f>
        <v>декабрь 2022</v>
      </c>
      <c r="I133" s="10">
        <f>IF(Таблицаx_2[[#This Row],[Месяц окончания]]=Таблицаx_2[[#This Row],[Месяц]],Таблицаx_2[[#This Row],[Значения числа]],0)</f>
        <v>74650</v>
      </c>
      <c r="J133" s="8">
        <f>IF(AND(Таблицаx_2[[#This Row],[Месяц окончания]]=Таблицаx_2[[#This Row],[Месяц]],Таблицаx_2[[#This Row],[id]]=A134,EDATE(Таблицаx_2[[#This Row],[Месяц]],1)=D134),F134,0)</f>
        <v>0</v>
      </c>
      <c r="K133" s="8">
        <f>IF(AND(Таблицаx_2[[#This Row],[Месяц окончания]]=Таблицаx_2[[#This Row],[Месяц]],Таблицаx_2[[#This Row],[id]]=A134,EDATE(Таблицаx_2[[#This Row],[Месяц]],2)=D134),F134,0)</f>
        <v>0</v>
      </c>
    </row>
    <row r="134" spans="1:11" ht="12.75" hidden="1" customHeight="1" x14ac:dyDescent="0.2">
      <c r="A134" s="8">
        <v>524</v>
      </c>
      <c r="B134" s="8"/>
      <c r="C134" s="8" t="s">
        <v>7</v>
      </c>
      <c r="D134" s="12">
        <v>44866</v>
      </c>
      <c r="E134" s="8">
        <v>252293.75</v>
      </c>
      <c r="F134" s="10">
        <f>IF(ISTEXT(Таблицаx_2[[#This Row],[Значение]]), 0, Таблицаx_2[[#This Row],[Значение]])</f>
        <v>252293.75</v>
      </c>
      <c r="G134" s="12">
        <v>44896</v>
      </c>
      <c r="H134" s="10" t="str">
        <f>IFERROR(VLOOKUP(Таблицаx_2[[#This Row],[id]],prolongations!A:C,2,)," ")</f>
        <v>декабрь 2022</v>
      </c>
      <c r="I134" s="10">
        <f>IF(Таблицаx_2[[#This Row],[Месяц окончания]]=Таблицаx_2[[#This Row],[Месяц]],Таблицаx_2[[#This Row],[Значения числа]],0)</f>
        <v>0</v>
      </c>
      <c r="J134" s="8">
        <f>IF(AND(Таблицаx_2[[#This Row],[Месяц окончания]]=Таблицаx_2[[#This Row],[Месяц]],Таблицаx_2[[#This Row],[id]]=A135,EDATE(Таблицаx_2[[#This Row],[Месяц]],1)=D135),F135,0)</f>
        <v>0</v>
      </c>
      <c r="K134" s="8">
        <f>IF(AND(Таблицаx_2[[#This Row],[Месяц окончания]]=Таблицаx_2[[#This Row],[Месяц]],Таблицаx_2[[#This Row],[id]]=A135,EDATE(Таблицаx_2[[#This Row],[Месяц]],2)=D135),F135,0)</f>
        <v>0</v>
      </c>
    </row>
    <row r="135" spans="1:11" hidden="1" x14ac:dyDescent="0.2">
      <c r="A135" s="8">
        <v>524</v>
      </c>
      <c r="B135" s="8"/>
      <c r="C135" s="8" t="s">
        <v>7</v>
      </c>
      <c r="D135" s="12">
        <v>44896</v>
      </c>
      <c r="E135" s="8">
        <v>296130.71000000002</v>
      </c>
      <c r="F135" s="10">
        <f>IF(ISTEXT(Таблицаx_2[[#This Row],[Значение]]), 0, Таблицаx_2[[#This Row],[Значение]])</f>
        <v>296130.71000000002</v>
      </c>
      <c r="G135" s="12">
        <v>44896</v>
      </c>
      <c r="H135" s="10" t="str">
        <f>IFERROR(VLOOKUP(Таблицаx_2[[#This Row],[id]],prolongations!A:C,2,)," ")</f>
        <v>декабрь 2022</v>
      </c>
      <c r="I135" s="10">
        <f>IF(Таблицаx_2[[#This Row],[Месяц окончания]]=Таблицаx_2[[#This Row],[Месяц]],Таблицаx_2[[#This Row],[Значения числа]],0)</f>
        <v>296130.71000000002</v>
      </c>
      <c r="J135" s="8">
        <f>IF(AND(Таблицаx_2[[#This Row],[Месяц окончания]]=Таблицаx_2[[#This Row],[Месяц]],Таблицаx_2[[#This Row],[id]]=A136,EDATE(Таблицаx_2[[#This Row],[Месяц]],1)=D136),F136,0)</f>
        <v>243591.67</v>
      </c>
      <c r="K135" s="8">
        <f>IF(AND(Таблицаx_2[[#This Row],[Месяц окончания]]=Таблицаx_2[[#This Row],[Месяц]],Таблицаx_2[[#This Row],[id]]=A136,EDATE(Таблицаx_2[[#This Row],[Месяц]],2)=D136),F136,0)</f>
        <v>0</v>
      </c>
    </row>
    <row r="136" spans="1:11" ht="12.75" hidden="1" customHeight="1" x14ac:dyDescent="0.2">
      <c r="A136" s="8">
        <v>524</v>
      </c>
      <c r="B136" s="8"/>
      <c r="C136" s="8" t="s">
        <v>7</v>
      </c>
      <c r="D136" s="12">
        <v>44927</v>
      </c>
      <c r="E136" s="8">
        <v>243591.67</v>
      </c>
      <c r="F136" s="10">
        <f>IF(ISTEXT(Таблицаx_2[[#This Row],[Значение]]), 0, Таблицаx_2[[#This Row],[Значение]])</f>
        <v>243591.67</v>
      </c>
      <c r="G136" s="12">
        <v>44896</v>
      </c>
      <c r="H136" s="10" t="str">
        <f>IFERROR(VLOOKUP(Таблицаx_2[[#This Row],[id]],prolongations!A:C,2,)," ")</f>
        <v>декабрь 2022</v>
      </c>
      <c r="I136" s="10">
        <f>IF(Таблицаx_2[[#This Row],[Месяц окончания]]=Таблицаx_2[[#This Row],[Месяц]],Таблицаx_2[[#This Row],[Значения числа]],0)</f>
        <v>0</v>
      </c>
      <c r="J136" s="8">
        <f>IF(AND(Таблицаx_2[[#This Row],[Месяц окончания]]=Таблицаx_2[[#This Row],[Месяц]],Таблицаx_2[[#This Row],[id]]=A137,EDATE(Таблицаx_2[[#This Row],[Месяц]],1)=D137),F137,0)</f>
        <v>0</v>
      </c>
      <c r="K136" s="8">
        <f>IF(AND(Таблицаx_2[[#This Row],[Месяц окончания]]=Таблицаx_2[[#This Row],[Месяц]],Таблицаx_2[[#This Row],[id]]=A137,EDATE(Таблицаx_2[[#This Row],[Месяц]],2)=D137),F137,0)</f>
        <v>0</v>
      </c>
    </row>
    <row r="137" spans="1:11" ht="12.75" hidden="1" customHeight="1" x14ac:dyDescent="0.2">
      <c r="A137" s="8">
        <v>626</v>
      </c>
      <c r="B137" s="8"/>
      <c r="C137" s="8" t="s">
        <v>4</v>
      </c>
      <c r="D137" s="12">
        <v>44866</v>
      </c>
      <c r="E137" s="8" t="s">
        <v>46</v>
      </c>
      <c r="F137" s="10">
        <f>IF(ISTEXT(Таблицаx_2[[#This Row],[Значение]]), 0, Таблицаx_2[[#This Row],[Значение]])</f>
        <v>0</v>
      </c>
      <c r="G137" s="12">
        <v>44896</v>
      </c>
      <c r="H137" s="10" t="str">
        <f>IFERROR(VLOOKUP(Таблицаx_2[[#This Row],[id]],prolongations!A:C,2,)," ")</f>
        <v>декабрь 2022</v>
      </c>
      <c r="I137" s="10">
        <f>IF(Таблицаx_2[[#This Row],[Месяц окончания]]=Таблицаx_2[[#This Row],[Месяц]],Таблицаx_2[[#This Row],[Значения числа]],0)</f>
        <v>0</v>
      </c>
      <c r="J137" s="8">
        <f>IF(AND(Таблицаx_2[[#This Row],[Месяц окончания]]=Таблицаx_2[[#This Row],[Месяц]],Таблицаx_2[[#This Row],[id]]=A138,EDATE(Таблицаx_2[[#This Row],[Месяц]],1)=D138),F138,0)</f>
        <v>0</v>
      </c>
      <c r="K137" s="8">
        <f>IF(AND(Таблицаx_2[[#This Row],[Месяц окончания]]=Таблицаx_2[[#This Row],[Месяц]],Таблицаx_2[[#This Row],[id]]=A138,EDATE(Таблицаx_2[[#This Row],[Месяц]],2)=D138),F138,0)</f>
        <v>0</v>
      </c>
    </row>
    <row r="138" spans="1:11" ht="12.75" hidden="1" customHeight="1" x14ac:dyDescent="0.2">
      <c r="A138" s="8">
        <v>548</v>
      </c>
      <c r="B138" s="8"/>
      <c r="C138" s="8" t="s">
        <v>5</v>
      </c>
      <c r="D138" s="12">
        <v>44866</v>
      </c>
      <c r="E138" s="8">
        <v>674000</v>
      </c>
      <c r="F138" s="10">
        <f>IF(ISTEXT(Таблицаx_2[[#This Row],[Значение]]), 0, Таблицаx_2[[#This Row],[Значение]])</f>
        <v>674000</v>
      </c>
      <c r="G138" s="12">
        <v>44866</v>
      </c>
      <c r="H138" s="10" t="str">
        <f>IFERROR(VLOOKUP(Таблицаx_2[[#This Row],[id]],prolongations!A:C,2,)," ")</f>
        <v>ноябрь 2022</v>
      </c>
      <c r="I138" s="10">
        <f>IF(Таблицаx_2[[#This Row],[Месяц окончания]]=Таблицаx_2[[#This Row],[Месяц]],Таблицаx_2[[#This Row],[Значения числа]],0)</f>
        <v>674000</v>
      </c>
      <c r="J138" s="8">
        <f>IF(AND(Таблицаx_2[[#This Row],[Месяц окончания]]=Таблицаx_2[[#This Row],[Месяц]],Таблицаx_2[[#This Row],[id]]=A139,EDATE(Таблицаx_2[[#This Row],[Месяц]],1)=D139),F139,0)</f>
        <v>674000</v>
      </c>
      <c r="K138" s="8">
        <f>IF(AND(Таблицаx_2[[#This Row],[Месяц окончания]]=Таблицаx_2[[#This Row],[Месяц]],Таблицаx_2[[#This Row],[id]]=A139,EDATE(Таблицаx_2[[#This Row],[Месяц]],2)=D139),F139,0)</f>
        <v>0</v>
      </c>
    </row>
    <row r="139" spans="1:11" ht="12.75" hidden="1" customHeight="1" x14ac:dyDescent="0.2">
      <c r="A139" s="8">
        <v>548</v>
      </c>
      <c r="B139" s="8"/>
      <c r="C139" s="8" t="s">
        <v>5</v>
      </c>
      <c r="D139" s="12">
        <v>44896</v>
      </c>
      <c r="E139" s="8">
        <v>674000</v>
      </c>
      <c r="F139" s="10">
        <f>IF(ISTEXT(Таблицаx_2[[#This Row],[Значение]]), 0, Таблицаx_2[[#This Row],[Значение]])</f>
        <v>674000</v>
      </c>
      <c r="G139" s="12">
        <v>44866</v>
      </c>
      <c r="H139" s="10" t="str">
        <f>IFERROR(VLOOKUP(Таблицаx_2[[#This Row],[id]],prolongations!A:C,2,)," ")</f>
        <v>ноябрь 2022</v>
      </c>
      <c r="I139" s="10">
        <f>IF(Таблицаx_2[[#This Row],[Месяц окончания]]=Таблицаx_2[[#This Row],[Месяц]],Таблицаx_2[[#This Row],[Значения числа]],0)</f>
        <v>0</v>
      </c>
      <c r="J139" s="8">
        <f>IF(AND(Таблицаx_2[[#This Row],[Месяц окончания]]=Таблицаx_2[[#This Row],[Месяц]],Таблицаx_2[[#This Row],[id]]=A140,EDATE(Таблицаx_2[[#This Row],[Месяц]],1)=D140),F140,0)</f>
        <v>0</v>
      </c>
      <c r="K139" s="8">
        <f>IF(AND(Таблицаx_2[[#This Row],[Месяц окончания]]=Таблицаx_2[[#This Row],[Месяц]],Таблицаx_2[[#This Row],[id]]=A140,EDATE(Таблицаx_2[[#This Row],[Месяц]],2)=D140),F140,0)</f>
        <v>0</v>
      </c>
    </row>
    <row r="140" spans="1:11" ht="12.75" hidden="1" customHeight="1" x14ac:dyDescent="0.2">
      <c r="A140" s="8">
        <v>548</v>
      </c>
      <c r="B140" s="8"/>
      <c r="C140" s="8" t="s">
        <v>5</v>
      </c>
      <c r="D140" s="12">
        <v>44927</v>
      </c>
      <c r="E140" s="8">
        <v>674000</v>
      </c>
      <c r="F140" s="10">
        <f>IF(ISTEXT(Таблицаx_2[[#This Row],[Значение]]), 0, Таблицаx_2[[#This Row],[Значение]])</f>
        <v>674000</v>
      </c>
      <c r="G140" s="12">
        <v>44866</v>
      </c>
      <c r="H140" s="10" t="str">
        <f>IFERROR(VLOOKUP(Таблицаx_2[[#This Row],[id]],prolongations!A:C,2,)," ")</f>
        <v>ноябрь 2022</v>
      </c>
      <c r="I140" s="10">
        <f>IF(Таблицаx_2[[#This Row],[Месяц окончания]]=Таблицаx_2[[#This Row],[Месяц]],Таблицаx_2[[#This Row],[Значения числа]],0)</f>
        <v>0</v>
      </c>
      <c r="J140" s="8">
        <f>IF(AND(Таблицаx_2[[#This Row],[Месяц окончания]]=Таблицаx_2[[#This Row],[Месяц]],Таблицаx_2[[#This Row],[id]]=A141,EDATE(Таблицаx_2[[#This Row],[Месяц]],1)=D141),F141,0)</f>
        <v>0</v>
      </c>
      <c r="K140" s="8">
        <f>IF(AND(Таблицаx_2[[#This Row],[Месяц окончания]]=Таблицаx_2[[#This Row],[Месяц]],Таблицаx_2[[#This Row],[id]]=A141,EDATE(Таблицаx_2[[#This Row],[Месяц]],2)=D141),F141,0)</f>
        <v>0</v>
      </c>
    </row>
    <row r="141" spans="1:11" ht="12.75" hidden="1" customHeight="1" x14ac:dyDescent="0.2">
      <c r="A141" s="8">
        <v>548</v>
      </c>
      <c r="B141" s="8"/>
      <c r="C141" s="8" t="s">
        <v>5</v>
      </c>
      <c r="D141" s="12">
        <v>44958</v>
      </c>
      <c r="E141" s="8">
        <v>674000</v>
      </c>
      <c r="F141" s="10">
        <f>IF(ISTEXT(Таблицаx_2[[#This Row],[Значение]]), 0, Таблицаx_2[[#This Row],[Значение]])</f>
        <v>674000</v>
      </c>
      <c r="G141" s="12">
        <v>44866</v>
      </c>
      <c r="H141" s="10" t="str">
        <f>IFERROR(VLOOKUP(Таблицаx_2[[#This Row],[id]],prolongations!A:C,2,)," ")</f>
        <v>ноябрь 2022</v>
      </c>
      <c r="I141" s="10">
        <f>IF(Таблицаx_2[[#This Row],[Месяц окончания]]=Таблицаx_2[[#This Row],[Месяц]],Таблицаx_2[[#This Row],[Значения числа]],0)</f>
        <v>0</v>
      </c>
      <c r="J141" s="8">
        <f>IF(AND(Таблицаx_2[[#This Row],[Месяц окончания]]=Таблицаx_2[[#This Row],[Месяц]],Таблицаx_2[[#This Row],[id]]=A142,EDATE(Таблицаx_2[[#This Row],[Месяц]],1)=D142),F142,0)</f>
        <v>0</v>
      </c>
      <c r="K141" s="8">
        <f>IF(AND(Таблицаx_2[[#This Row],[Месяц окончания]]=Таблицаx_2[[#This Row],[Месяц]],Таблицаx_2[[#This Row],[id]]=A142,EDATE(Таблицаx_2[[#This Row],[Месяц]],2)=D142),F142,0)</f>
        <v>0</v>
      </c>
    </row>
    <row r="142" spans="1:11" ht="12.75" hidden="1" customHeight="1" x14ac:dyDescent="0.2">
      <c r="A142" s="8">
        <v>493</v>
      </c>
      <c r="B142" s="8" t="s">
        <v>45</v>
      </c>
      <c r="C142" s="8" t="s">
        <v>10</v>
      </c>
      <c r="D142" s="12">
        <v>44866</v>
      </c>
      <c r="E142" s="8">
        <v>36950</v>
      </c>
      <c r="F142" s="10">
        <f>IF(ISTEXT(Таблицаx_2[[#This Row],[Значение]]), 0, Таблицаx_2[[#This Row],[Значение]])</f>
        <v>36950</v>
      </c>
      <c r="G142" s="12">
        <v>44927</v>
      </c>
      <c r="H142" s="10" t="str">
        <f>IFERROR(VLOOKUP(Таблицаx_2[[#This Row],[id]],prolongations!A:C,2,)," ")</f>
        <v>январь 2023</v>
      </c>
      <c r="I142" s="10">
        <f>IF(Таблицаx_2[[#This Row],[Месяц окончания]]=Таблицаx_2[[#This Row],[Месяц]],Таблицаx_2[[#This Row],[Значения числа]],0)</f>
        <v>0</v>
      </c>
      <c r="J142" s="8">
        <f>IF(AND(Таблицаx_2[[#This Row],[Месяц окончания]]=Таблицаx_2[[#This Row],[Месяц]],Таблицаx_2[[#This Row],[id]]=A143,EDATE(Таблицаx_2[[#This Row],[Месяц]],1)=D143),F143,0)</f>
        <v>0</v>
      </c>
      <c r="K142" s="8">
        <f>IF(AND(Таблицаx_2[[#This Row],[Месяц окончания]]=Таблицаx_2[[#This Row],[Месяц]],Таблицаx_2[[#This Row],[id]]=A143,EDATE(Таблицаx_2[[#This Row],[Месяц]],2)=D143),F143,0)</f>
        <v>0</v>
      </c>
    </row>
    <row r="143" spans="1:11" ht="12.75" hidden="1" customHeight="1" x14ac:dyDescent="0.2">
      <c r="A143" s="8">
        <v>493</v>
      </c>
      <c r="B143" s="8" t="s">
        <v>45</v>
      </c>
      <c r="C143" s="8" t="s">
        <v>10</v>
      </c>
      <c r="D143" s="12">
        <v>44896</v>
      </c>
      <c r="E143" s="8">
        <v>36950</v>
      </c>
      <c r="F143" s="10">
        <f>IF(ISTEXT(Таблицаx_2[[#This Row],[Значение]]), 0, Таблицаx_2[[#This Row],[Значение]])</f>
        <v>36950</v>
      </c>
      <c r="G143" s="12">
        <v>44927</v>
      </c>
      <c r="H143" s="10" t="str">
        <f>IFERROR(VLOOKUP(Таблицаx_2[[#This Row],[id]],prolongations!A:C,2,)," ")</f>
        <v>январь 2023</v>
      </c>
      <c r="I143" s="10">
        <f>IF(Таблицаx_2[[#This Row],[Месяц окончания]]=Таблицаx_2[[#This Row],[Месяц]],Таблицаx_2[[#This Row],[Значения числа]],0)</f>
        <v>0</v>
      </c>
      <c r="J143" s="8">
        <f>IF(AND(Таблицаx_2[[#This Row],[Месяц окончания]]=Таблицаx_2[[#This Row],[Месяц]],Таблицаx_2[[#This Row],[id]]=A144,EDATE(Таблицаx_2[[#This Row],[Месяц]],1)=D144),F144,0)</f>
        <v>0</v>
      </c>
      <c r="K143" s="8">
        <f>IF(AND(Таблицаx_2[[#This Row],[Месяц окончания]]=Таблицаx_2[[#This Row],[Месяц]],Таблицаx_2[[#This Row],[id]]=A144,EDATE(Таблицаx_2[[#This Row],[Месяц]],2)=D144),F144,0)</f>
        <v>0</v>
      </c>
    </row>
    <row r="144" spans="1:11" ht="12.75" hidden="1" customHeight="1" x14ac:dyDescent="0.2">
      <c r="A144" s="8">
        <v>493</v>
      </c>
      <c r="B144" s="8" t="s">
        <v>45</v>
      </c>
      <c r="C144" s="8" t="s">
        <v>10</v>
      </c>
      <c r="D144" s="12">
        <v>44927</v>
      </c>
      <c r="E144" s="8">
        <v>36950</v>
      </c>
      <c r="F144" s="10">
        <f>IF(ISTEXT(Таблицаx_2[[#This Row],[Значение]]), 0, Таблицаx_2[[#This Row],[Значение]])</f>
        <v>36950</v>
      </c>
      <c r="G144" s="12">
        <v>44927</v>
      </c>
      <c r="H144" s="10" t="str">
        <f>IFERROR(VLOOKUP(Таблицаx_2[[#This Row],[id]],prolongations!A:C,2,)," ")</f>
        <v>январь 2023</v>
      </c>
      <c r="I144" s="10">
        <f>IF(Таблицаx_2[[#This Row],[Месяц окончания]]=Таблицаx_2[[#This Row],[Месяц]],Таблицаx_2[[#This Row],[Значения числа]],0)</f>
        <v>36950</v>
      </c>
      <c r="J144" s="8">
        <f>IF(AND(Таблицаx_2[[#This Row],[Месяц окончания]]=Таблицаx_2[[#This Row],[Месяц]],Таблицаx_2[[#This Row],[id]]=A145,EDATE(Таблицаx_2[[#This Row],[Месяц]],1)=D145),F145,0)</f>
        <v>0</v>
      </c>
      <c r="K144" s="8">
        <f>IF(AND(Таблицаx_2[[#This Row],[Месяц окончания]]=Таблицаx_2[[#This Row],[Месяц]],Таблицаx_2[[#This Row],[id]]=A145,EDATE(Таблицаx_2[[#This Row],[Месяц]],2)=D145),F145,0)</f>
        <v>55225</v>
      </c>
    </row>
    <row r="145" spans="1:11" ht="12.75" hidden="1" customHeight="1" x14ac:dyDescent="0.2">
      <c r="A145" s="8">
        <v>493</v>
      </c>
      <c r="B145" s="8" t="s">
        <v>45</v>
      </c>
      <c r="C145" s="8" t="s">
        <v>10</v>
      </c>
      <c r="D145" s="12">
        <v>44986</v>
      </c>
      <c r="E145" s="8">
        <v>55225</v>
      </c>
      <c r="F145" s="10">
        <f>IF(ISTEXT(Таблицаx_2[[#This Row],[Значение]]), 0, Таблицаx_2[[#This Row],[Значение]])</f>
        <v>55225</v>
      </c>
      <c r="G145" s="12">
        <v>44927</v>
      </c>
      <c r="H145" s="10" t="str">
        <f>IFERROR(VLOOKUP(Таблицаx_2[[#This Row],[id]],prolongations!A:C,2,)," ")</f>
        <v>январь 2023</v>
      </c>
      <c r="I145" s="10">
        <f>IF(Таблицаx_2[[#This Row],[Месяц окончания]]=Таблицаx_2[[#This Row],[Месяц]],Таблицаx_2[[#This Row],[Значения числа]],0)</f>
        <v>0</v>
      </c>
      <c r="J145" s="8">
        <f>IF(AND(Таблицаx_2[[#This Row],[Месяц окончания]]=Таблицаx_2[[#This Row],[Месяц]],Таблицаx_2[[#This Row],[id]]=A146,EDATE(Таблицаx_2[[#This Row],[Месяц]],1)=D146),F146,0)</f>
        <v>0</v>
      </c>
      <c r="K145" s="8">
        <f>IF(AND(Таблицаx_2[[#This Row],[Месяц окончания]]=Таблицаx_2[[#This Row],[Месяц]],Таблицаx_2[[#This Row],[id]]=A146,EDATE(Таблицаx_2[[#This Row],[Месяц]],2)=D146),F146,0)</f>
        <v>0</v>
      </c>
    </row>
    <row r="146" spans="1:11" ht="12.75" hidden="1" customHeight="1" x14ac:dyDescent="0.2">
      <c r="A146" s="8">
        <v>493</v>
      </c>
      <c r="B146" s="8" t="s">
        <v>45</v>
      </c>
      <c r="C146" s="8" t="s">
        <v>10</v>
      </c>
      <c r="D146" s="12">
        <v>45017</v>
      </c>
      <c r="E146" s="8">
        <v>55225</v>
      </c>
      <c r="F146" s="10">
        <f>IF(ISTEXT(Таблицаx_2[[#This Row],[Значение]]), 0, Таблицаx_2[[#This Row],[Значение]])</f>
        <v>55225</v>
      </c>
      <c r="G146" s="12">
        <v>44927</v>
      </c>
      <c r="H146" s="10" t="str">
        <f>IFERROR(VLOOKUP(Таблицаx_2[[#This Row],[id]],prolongations!A:C,2,)," ")</f>
        <v>январь 2023</v>
      </c>
      <c r="I146" s="10">
        <f>IF(Таблицаx_2[[#This Row],[Месяц окончания]]=Таблицаx_2[[#This Row],[Месяц]],Таблицаx_2[[#This Row],[Значения числа]],0)</f>
        <v>0</v>
      </c>
      <c r="J146" s="8">
        <f>IF(AND(Таблицаx_2[[#This Row],[Месяц окончания]]=Таблицаx_2[[#This Row],[Месяц]],Таблицаx_2[[#This Row],[id]]=A147,EDATE(Таблицаx_2[[#This Row],[Месяц]],1)=D147),F147,0)</f>
        <v>0</v>
      </c>
      <c r="K146" s="8">
        <f>IF(AND(Таблицаx_2[[#This Row],[Месяц окончания]]=Таблицаx_2[[#This Row],[Месяц]],Таблицаx_2[[#This Row],[id]]=A147,EDATE(Таблицаx_2[[#This Row],[Месяц]],2)=D147),F147,0)</f>
        <v>0</v>
      </c>
    </row>
    <row r="147" spans="1:11" ht="12.75" hidden="1" customHeight="1" x14ac:dyDescent="0.2">
      <c r="A147" s="8">
        <v>493</v>
      </c>
      <c r="B147" s="8" t="s">
        <v>45</v>
      </c>
      <c r="C147" s="8" t="s">
        <v>10</v>
      </c>
      <c r="D147" s="12">
        <v>45047</v>
      </c>
      <c r="E147" s="8">
        <v>55225</v>
      </c>
      <c r="F147" s="10">
        <f>IF(ISTEXT(Таблицаx_2[[#This Row],[Значение]]), 0, Таблицаx_2[[#This Row],[Значение]])</f>
        <v>55225</v>
      </c>
      <c r="G147" s="12">
        <v>44927</v>
      </c>
      <c r="H147" s="10" t="str">
        <f>IFERROR(VLOOKUP(Таблицаx_2[[#This Row],[id]],prolongations!A:C,2,)," ")</f>
        <v>январь 2023</v>
      </c>
      <c r="I147" s="10">
        <f>IF(Таблицаx_2[[#This Row],[Месяц окончания]]=Таблицаx_2[[#This Row],[Месяц]],Таблицаx_2[[#This Row],[Значения числа]],0)</f>
        <v>0</v>
      </c>
      <c r="J147" s="8">
        <f>IF(AND(Таблицаx_2[[#This Row],[Месяц окончания]]=Таблицаx_2[[#This Row],[Месяц]],Таблицаx_2[[#This Row],[id]]=A148,EDATE(Таблицаx_2[[#This Row],[Месяц]],1)=D148),F148,0)</f>
        <v>0</v>
      </c>
      <c r="K147" s="8">
        <f>IF(AND(Таблицаx_2[[#This Row],[Месяц окончания]]=Таблицаx_2[[#This Row],[Месяц]],Таблицаx_2[[#This Row],[id]]=A148,EDATE(Таблицаx_2[[#This Row],[Месяц]],2)=D148),F148,0)</f>
        <v>0</v>
      </c>
    </row>
    <row r="148" spans="1:11" ht="12.75" hidden="1" customHeight="1" x14ac:dyDescent="0.2">
      <c r="A148" s="8">
        <v>493</v>
      </c>
      <c r="B148" s="8" t="s">
        <v>45</v>
      </c>
      <c r="C148" s="8" t="s">
        <v>10</v>
      </c>
      <c r="D148" s="12">
        <v>45078</v>
      </c>
      <c r="E148" s="8">
        <v>55225</v>
      </c>
      <c r="F148" s="10">
        <f>IF(ISTEXT(Таблицаx_2[[#This Row],[Значение]]), 0, Таблицаx_2[[#This Row],[Значение]])</f>
        <v>55225</v>
      </c>
      <c r="G148" s="12">
        <v>44927</v>
      </c>
      <c r="H148" s="10" t="str">
        <f>IFERROR(VLOOKUP(Таблицаx_2[[#This Row],[id]],prolongations!A:C,2,)," ")</f>
        <v>январь 2023</v>
      </c>
      <c r="I148" s="10">
        <f>IF(Таблицаx_2[[#This Row],[Месяц окончания]]=Таблицаx_2[[#This Row],[Месяц]],Таблицаx_2[[#This Row],[Значения числа]],0)</f>
        <v>0</v>
      </c>
      <c r="J148" s="8">
        <f>IF(AND(Таблицаx_2[[#This Row],[Месяц окончания]]=Таблицаx_2[[#This Row],[Месяц]],Таблицаx_2[[#This Row],[id]]=A149,EDATE(Таблицаx_2[[#This Row],[Месяц]],1)=D149),F149,0)</f>
        <v>0</v>
      </c>
      <c r="K148" s="8">
        <f>IF(AND(Таблицаx_2[[#This Row],[Месяц окончания]]=Таблицаx_2[[#This Row],[Месяц]],Таблицаx_2[[#This Row],[id]]=A149,EDATE(Таблицаx_2[[#This Row],[Месяц]],2)=D149),F149,0)</f>
        <v>0</v>
      </c>
    </row>
    <row r="149" spans="1:11" ht="12.75" hidden="1" customHeight="1" x14ac:dyDescent="0.2">
      <c r="A149" s="8">
        <v>493</v>
      </c>
      <c r="B149" s="8" t="s">
        <v>45</v>
      </c>
      <c r="C149" s="8" t="s">
        <v>10</v>
      </c>
      <c r="D149" s="12">
        <v>45108</v>
      </c>
      <c r="E149" s="8">
        <v>55225</v>
      </c>
      <c r="F149" s="10">
        <f>IF(ISTEXT(Таблицаx_2[[#This Row],[Значение]]), 0, Таблицаx_2[[#This Row],[Значение]])</f>
        <v>55225</v>
      </c>
      <c r="G149" s="12">
        <v>44927</v>
      </c>
      <c r="H149" s="10" t="str">
        <f>IFERROR(VLOOKUP(Таблицаx_2[[#This Row],[id]],prolongations!A:C,2,)," ")</f>
        <v>январь 2023</v>
      </c>
      <c r="I149" s="10">
        <f>IF(Таблицаx_2[[#This Row],[Месяц окончания]]=Таблицаx_2[[#This Row],[Месяц]],Таблицаx_2[[#This Row],[Значения числа]],0)</f>
        <v>0</v>
      </c>
      <c r="J149" s="8">
        <f>IF(AND(Таблицаx_2[[#This Row],[Месяц окончания]]=Таблицаx_2[[#This Row],[Месяц]],Таблицаx_2[[#This Row],[id]]=A150,EDATE(Таблицаx_2[[#This Row],[Месяц]],1)=D150),F150,0)</f>
        <v>0</v>
      </c>
      <c r="K149" s="8">
        <f>IF(AND(Таблицаx_2[[#This Row],[Месяц окончания]]=Таблицаx_2[[#This Row],[Месяц]],Таблицаx_2[[#This Row],[id]]=A150,EDATE(Таблицаx_2[[#This Row],[Месяц]],2)=D150),F150,0)</f>
        <v>0</v>
      </c>
    </row>
    <row r="150" spans="1:11" ht="12.75" hidden="1" customHeight="1" x14ac:dyDescent="0.2">
      <c r="A150" s="8">
        <v>493</v>
      </c>
      <c r="B150" s="8" t="s">
        <v>45</v>
      </c>
      <c r="C150" s="8" t="s">
        <v>10</v>
      </c>
      <c r="D150" s="12">
        <v>45139</v>
      </c>
      <c r="E150" s="8">
        <v>55225</v>
      </c>
      <c r="F150" s="10">
        <f>IF(ISTEXT(Таблицаx_2[[#This Row],[Значение]]), 0, Таблицаx_2[[#This Row],[Значение]])</f>
        <v>55225</v>
      </c>
      <c r="G150" s="12">
        <v>44927</v>
      </c>
      <c r="H150" s="10" t="str">
        <f>IFERROR(VLOOKUP(Таблицаx_2[[#This Row],[id]],prolongations!A:C,2,)," ")</f>
        <v>январь 2023</v>
      </c>
      <c r="I150" s="10">
        <f>IF(Таблицаx_2[[#This Row],[Месяц окончания]]=Таблицаx_2[[#This Row],[Месяц]],Таблицаx_2[[#This Row],[Значения числа]],0)</f>
        <v>0</v>
      </c>
      <c r="J150" s="8">
        <f>IF(AND(Таблицаx_2[[#This Row],[Месяц окончания]]=Таблицаx_2[[#This Row],[Месяц]],Таблицаx_2[[#This Row],[id]]=A151,EDATE(Таблицаx_2[[#This Row],[Месяц]],1)=D151),F151,0)</f>
        <v>0</v>
      </c>
      <c r="K150" s="8">
        <f>IF(AND(Таблицаx_2[[#This Row],[Месяц окончания]]=Таблицаx_2[[#This Row],[Месяц]],Таблицаx_2[[#This Row],[id]]=A151,EDATE(Таблицаx_2[[#This Row],[Месяц]],2)=D151),F151,0)</f>
        <v>0</v>
      </c>
    </row>
    <row r="151" spans="1:11" ht="12.75" hidden="1" customHeight="1" x14ac:dyDescent="0.2">
      <c r="A151" s="8">
        <v>493</v>
      </c>
      <c r="B151" s="8" t="s">
        <v>45</v>
      </c>
      <c r="C151" s="8" t="s">
        <v>10</v>
      </c>
      <c r="D151" s="12">
        <v>45170</v>
      </c>
      <c r="E151" s="8">
        <v>55225</v>
      </c>
      <c r="F151" s="10">
        <f>IF(ISTEXT(Таблицаx_2[[#This Row],[Значение]]), 0, Таблицаx_2[[#This Row],[Значение]])</f>
        <v>55225</v>
      </c>
      <c r="G151" s="12">
        <v>44927</v>
      </c>
      <c r="H151" s="10" t="str">
        <f>IFERROR(VLOOKUP(Таблицаx_2[[#This Row],[id]],prolongations!A:C,2,)," ")</f>
        <v>январь 2023</v>
      </c>
      <c r="I151" s="10">
        <f>IF(Таблицаx_2[[#This Row],[Месяц окончания]]=Таблицаx_2[[#This Row],[Месяц]],Таблицаx_2[[#This Row],[Значения числа]],0)</f>
        <v>0</v>
      </c>
      <c r="J151" s="8">
        <f>IF(AND(Таблицаx_2[[#This Row],[Месяц окончания]]=Таблицаx_2[[#This Row],[Месяц]],Таблицаx_2[[#This Row],[id]]=A152,EDATE(Таблицаx_2[[#This Row],[Месяц]],1)=D152),F152,0)</f>
        <v>0</v>
      </c>
      <c r="K151" s="8">
        <f>IF(AND(Таблицаx_2[[#This Row],[Месяц окончания]]=Таблицаx_2[[#This Row],[Месяц]],Таблицаx_2[[#This Row],[id]]=A152,EDATE(Таблицаx_2[[#This Row],[Месяц]],2)=D152),F152,0)</f>
        <v>0</v>
      </c>
    </row>
    <row r="152" spans="1:11" ht="12.75" hidden="1" customHeight="1" x14ac:dyDescent="0.2">
      <c r="A152" s="8">
        <v>493</v>
      </c>
      <c r="B152" s="8" t="s">
        <v>45</v>
      </c>
      <c r="C152" s="8" t="s">
        <v>10</v>
      </c>
      <c r="D152" s="12">
        <v>45200</v>
      </c>
      <c r="E152" s="8">
        <v>55225</v>
      </c>
      <c r="F152" s="10">
        <f>IF(ISTEXT(Таблицаx_2[[#This Row],[Значение]]), 0, Таблицаx_2[[#This Row],[Значение]])</f>
        <v>55225</v>
      </c>
      <c r="G152" s="12">
        <v>44927</v>
      </c>
      <c r="H152" s="10" t="str">
        <f>IFERROR(VLOOKUP(Таблицаx_2[[#This Row],[id]],prolongations!A:C,2,)," ")</f>
        <v>январь 2023</v>
      </c>
      <c r="I152" s="10">
        <f>IF(Таблицаx_2[[#This Row],[Месяц окончания]]=Таблицаx_2[[#This Row],[Месяц]],Таблицаx_2[[#This Row],[Значения числа]],0)</f>
        <v>0</v>
      </c>
      <c r="J152" s="8">
        <f>IF(AND(Таблицаx_2[[#This Row],[Месяц окончания]]=Таблицаx_2[[#This Row],[Месяц]],Таблицаx_2[[#This Row],[id]]=A153,EDATE(Таблицаx_2[[#This Row],[Месяц]],1)=D153),F153,0)</f>
        <v>0</v>
      </c>
      <c r="K152" s="8">
        <f>IF(AND(Таблицаx_2[[#This Row],[Месяц окончания]]=Таблицаx_2[[#This Row],[Месяц]],Таблицаx_2[[#This Row],[id]]=A153,EDATE(Таблицаx_2[[#This Row],[Месяц]],2)=D153),F153,0)</f>
        <v>0</v>
      </c>
    </row>
    <row r="153" spans="1:11" ht="12.75" hidden="1" customHeight="1" x14ac:dyDescent="0.2">
      <c r="A153" s="8">
        <v>493</v>
      </c>
      <c r="B153" s="8" t="s">
        <v>45</v>
      </c>
      <c r="C153" s="8" t="s">
        <v>10</v>
      </c>
      <c r="D153" s="12">
        <v>45231</v>
      </c>
      <c r="E153" s="8">
        <v>55225</v>
      </c>
      <c r="F153" s="10">
        <f>IF(ISTEXT(Таблицаx_2[[#This Row],[Значение]]), 0, Таблицаx_2[[#This Row],[Значение]])</f>
        <v>55225</v>
      </c>
      <c r="G153" s="12">
        <v>44927</v>
      </c>
      <c r="H153" s="10" t="str">
        <f>IFERROR(VLOOKUP(Таблицаx_2[[#This Row],[id]],prolongations!A:C,2,)," ")</f>
        <v>январь 2023</v>
      </c>
      <c r="I153" s="10">
        <f>IF(Таблицаx_2[[#This Row],[Месяц окончания]]=Таблицаx_2[[#This Row],[Месяц]],Таблицаx_2[[#This Row],[Значения числа]],0)</f>
        <v>0</v>
      </c>
      <c r="J153" s="8">
        <f>IF(AND(Таблицаx_2[[#This Row],[Месяц окончания]]=Таблицаx_2[[#This Row],[Месяц]],Таблицаx_2[[#This Row],[id]]=A154,EDATE(Таблицаx_2[[#This Row],[Месяц]],1)=D154),F154,0)</f>
        <v>0</v>
      </c>
      <c r="K153" s="8">
        <f>IF(AND(Таблицаx_2[[#This Row],[Месяц окончания]]=Таблицаx_2[[#This Row],[Месяц]],Таблицаx_2[[#This Row],[id]]=A154,EDATE(Таблицаx_2[[#This Row],[Месяц]],2)=D154),F154,0)</f>
        <v>0</v>
      </c>
    </row>
    <row r="154" spans="1:11" ht="12.75" hidden="1" customHeight="1" x14ac:dyDescent="0.2">
      <c r="A154" s="8">
        <v>493</v>
      </c>
      <c r="B154" s="8" t="s">
        <v>45</v>
      </c>
      <c r="C154" s="8" t="s">
        <v>10</v>
      </c>
      <c r="D154" s="12">
        <v>45261</v>
      </c>
      <c r="E154" s="8">
        <v>55225</v>
      </c>
      <c r="F154" s="10">
        <f>IF(ISTEXT(Таблицаx_2[[#This Row],[Значение]]), 0, Таблицаx_2[[#This Row],[Значение]])</f>
        <v>55225</v>
      </c>
      <c r="G154" s="12">
        <v>44927</v>
      </c>
      <c r="H154" s="10" t="str">
        <f>IFERROR(VLOOKUP(Таблицаx_2[[#This Row],[id]],prolongations!A:C,2,)," ")</f>
        <v>январь 2023</v>
      </c>
      <c r="I154" s="10">
        <f>IF(Таблицаx_2[[#This Row],[Месяц окончания]]=Таблицаx_2[[#This Row],[Месяц]],Таблицаx_2[[#This Row],[Значения числа]],0)</f>
        <v>0</v>
      </c>
      <c r="J154" s="8">
        <f>IF(AND(Таблицаx_2[[#This Row],[Месяц окончания]]=Таблицаx_2[[#This Row],[Месяц]],Таблицаx_2[[#This Row],[id]]=A155,EDATE(Таблицаx_2[[#This Row],[Месяц]],1)=D155),F155,0)</f>
        <v>0</v>
      </c>
      <c r="K154" s="8">
        <f>IF(AND(Таблицаx_2[[#This Row],[Месяц окончания]]=Таблицаx_2[[#This Row],[Месяц]],Таблицаx_2[[#This Row],[id]]=A155,EDATE(Таблицаx_2[[#This Row],[Месяц]],2)=D155),F155,0)</f>
        <v>0</v>
      </c>
    </row>
    <row r="155" spans="1:11" ht="12.75" hidden="1" customHeight="1" x14ac:dyDescent="0.2">
      <c r="A155" s="8">
        <v>493</v>
      </c>
      <c r="B155" s="8" t="s">
        <v>45</v>
      </c>
      <c r="C155" s="8" t="s">
        <v>10</v>
      </c>
      <c r="D155" s="12">
        <v>45292</v>
      </c>
      <c r="E155" s="8">
        <v>55225</v>
      </c>
      <c r="F155" s="10">
        <f>IF(ISTEXT(Таблицаx_2[[#This Row],[Значение]]), 0, Таблицаx_2[[#This Row],[Значение]])</f>
        <v>55225</v>
      </c>
      <c r="G155" s="12">
        <v>44927</v>
      </c>
      <c r="H155" s="10" t="str">
        <f>IFERROR(VLOOKUP(Таблицаx_2[[#This Row],[id]],prolongations!A:C,2,)," ")</f>
        <v>январь 2023</v>
      </c>
      <c r="I155" s="10">
        <f>IF(Таблицаx_2[[#This Row],[Месяц окончания]]=Таблицаx_2[[#This Row],[Месяц]],Таблицаx_2[[#This Row],[Значения числа]],0)</f>
        <v>0</v>
      </c>
      <c r="J155" s="8">
        <f>IF(AND(Таблицаx_2[[#This Row],[Месяц окончания]]=Таблицаx_2[[#This Row],[Месяц]],Таблицаx_2[[#This Row],[id]]=A156,EDATE(Таблицаx_2[[#This Row],[Месяц]],1)=D156),F156,0)</f>
        <v>0</v>
      </c>
      <c r="K155" s="8">
        <f>IF(AND(Таблицаx_2[[#This Row],[Месяц окончания]]=Таблицаx_2[[#This Row],[Месяц]],Таблицаx_2[[#This Row],[id]]=A156,EDATE(Таблицаx_2[[#This Row],[Месяц]],2)=D156),F156,0)</f>
        <v>0</v>
      </c>
    </row>
    <row r="156" spans="1:11" ht="12.75" hidden="1" customHeight="1" x14ac:dyDescent="0.2">
      <c r="A156" s="8">
        <v>493</v>
      </c>
      <c r="B156" s="8" t="s">
        <v>45</v>
      </c>
      <c r="C156" s="8" t="s">
        <v>10</v>
      </c>
      <c r="D156" s="12">
        <v>45323</v>
      </c>
      <c r="E156" s="8">
        <v>55225</v>
      </c>
      <c r="F156" s="10">
        <f>IF(ISTEXT(Таблицаx_2[[#This Row],[Значение]]), 0, Таблицаx_2[[#This Row],[Значение]])</f>
        <v>55225</v>
      </c>
      <c r="G156" s="12">
        <v>44927</v>
      </c>
      <c r="H156" s="10" t="str">
        <f>IFERROR(VLOOKUP(Таблицаx_2[[#This Row],[id]],prolongations!A:C,2,)," ")</f>
        <v>январь 2023</v>
      </c>
      <c r="I156" s="10">
        <f>IF(Таблицаx_2[[#This Row],[Месяц окончания]]=Таблицаx_2[[#This Row],[Месяц]],Таблицаx_2[[#This Row],[Значения числа]],0)</f>
        <v>0</v>
      </c>
      <c r="J156" s="8">
        <f>IF(AND(Таблицаx_2[[#This Row],[Месяц окончания]]=Таблицаx_2[[#This Row],[Месяц]],Таблицаx_2[[#This Row],[id]]=A157,EDATE(Таблицаx_2[[#This Row],[Месяц]],1)=D157),F157,0)</f>
        <v>0</v>
      </c>
      <c r="K156" s="8">
        <f>IF(AND(Таблицаx_2[[#This Row],[Месяц окончания]]=Таблицаx_2[[#This Row],[Месяц]],Таблицаx_2[[#This Row],[id]]=A157,EDATE(Таблицаx_2[[#This Row],[Месяц]],2)=D157),F157,0)</f>
        <v>0</v>
      </c>
    </row>
    <row r="157" spans="1:11" ht="12.75" hidden="1" customHeight="1" x14ac:dyDescent="0.2">
      <c r="A157" s="8">
        <v>493</v>
      </c>
      <c r="B157" s="8" t="s">
        <v>47</v>
      </c>
      <c r="C157" s="8" t="s">
        <v>10</v>
      </c>
      <c r="D157" s="12">
        <v>44866</v>
      </c>
      <c r="E157" s="8">
        <v>10200</v>
      </c>
      <c r="F157" s="10">
        <f>IF(ISTEXT(Таблицаx_2[[#This Row],[Значение]]), 0, Таблицаx_2[[#This Row],[Значение]])</f>
        <v>10200</v>
      </c>
      <c r="G157" s="12">
        <v>44927</v>
      </c>
      <c r="H157" s="10" t="str">
        <f>IFERROR(VLOOKUP(Таблицаx_2[[#This Row],[id]],prolongations!A:C,2,)," ")</f>
        <v>январь 2023</v>
      </c>
      <c r="I157" s="10">
        <f>IF(Таблицаx_2[[#This Row],[Месяц окончания]]=Таблицаx_2[[#This Row],[Месяц]],Таблицаx_2[[#This Row],[Значения числа]],0)</f>
        <v>0</v>
      </c>
      <c r="J157" s="8">
        <f>IF(AND(Таблицаx_2[[#This Row],[Месяц окончания]]=Таблицаx_2[[#This Row],[Месяц]],Таблицаx_2[[#This Row],[id]]=A158,EDATE(Таблицаx_2[[#This Row],[Месяц]],1)=D158),F158,0)</f>
        <v>0</v>
      </c>
      <c r="K157" s="8">
        <f>IF(AND(Таблицаx_2[[#This Row],[Месяц окончания]]=Таблицаx_2[[#This Row],[Месяц]],Таблицаx_2[[#This Row],[id]]=A158,EDATE(Таблицаx_2[[#This Row],[Месяц]],2)=D158),F158,0)</f>
        <v>0</v>
      </c>
    </row>
    <row r="158" spans="1:11" ht="12.75" hidden="1" customHeight="1" x14ac:dyDescent="0.2">
      <c r="A158" s="8">
        <v>493</v>
      </c>
      <c r="B158" s="8" t="s">
        <v>47</v>
      </c>
      <c r="C158" s="8" t="s">
        <v>10</v>
      </c>
      <c r="D158" s="12">
        <v>44896</v>
      </c>
      <c r="E158" s="8">
        <v>11900</v>
      </c>
      <c r="F158" s="10">
        <f>IF(ISTEXT(Таблицаx_2[[#This Row],[Значение]]), 0, Таблицаx_2[[#This Row],[Значение]])</f>
        <v>11900</v>
      </c>
      <c r="G158" s="12">
        <v>44927</v>
      </c>
      <c r="H158" s="10" t="str">
        <f>IFERROR(VLOOKUP(Таблицаx_2[[#This Row],[id]],prolongations!A:C,2,)," ")</f>
        <v>январь 2023</v>
      </c>
      <c r="I158" s="10">
        <f>IF(Таблицаx_2[[#This Row],[Месяц окончания]]=Таблицаx_2[[#This Row],[Месяц]],Таблицаx_2[[#This Row],[Значения числа]],0)</f>
        <v>0</v>
      </c>
      <c r="J158" s="8">
        <f>IF(AND(Таблицаx_2[[#This Row],[Месяц окончания]]=Таблицаx_2[[#This Row],[Месяц]],Таблицаx_2[[#This Row],[id]]=A159,EDATE(Таблицаx_2[[#This Row],[Месяц]],1)=D159),F159,0)</f>
        <v>0</v>
      </c>
      <c r="K158" s="8">
        <f>IF(AND(Таблицаx_2[[#This Row],[Месяц окончания]]=Таблицаx_2[[#This Row],[Месяц]],Таблицаx_2[[#This Row],[id]]=A159,EDATE(Таблицаx_2[[#This Row],[Месяц]],2)=D159),F159,0)</f>
        <v>0</v>
      </c>
    </row>
    <row r="159" spans="1:11" ht="12.75" hidden="1" customHeight="1" x14ac:dyDescent="0.2">
      <c r="A159" s="8">
        <v>493</v>
      </c>
      <c r="B159" s="8" t="s">
        <v>47</v>
      </c>
      <c r="C159" s="8" t="s">
        <v>10</v>
      </c>
      <c r="D159" s="12">
        <v>44927</v>
      </c>
      <c r="E159" s="8">
        <v>11050</v>
      </c>
      <c r="F159" s="10">
        <f>IF(ISTEXT(Таблицаx_2[[#This Row],[Значение]]), 0, Таблицаx_2[[#This Row],[Значение]])</f>
        <v>11050</v>
      </c>
      <c r="G159" s="12">
        <v>44927</v>
      </c>
      <c r="H159" s="10" t="str">
        <f>IFERROR(VLOOKUP(Таблицаx_2[[#This Row],[id]],prolongations!A:C,2,)," ")</f>
        <v>январь 2023</v>
      </c>
      <c r="I159" s="10">
        <f>IF(Таблицаx_2[[#This Row],[Месяц окончания]]=Таблицаx_2[[#This Row],[Месяц]],Таблицаx_2[[#This Row],[Значения числа]],0)</f>
        <v>11050</v>
      </c>
      <c r="J159" s="8">
        <f>IF(AND(Таблицаx_2[[#This Row],[Месяц окончания]]=Таблицаx_2[[#This Row],[Месяц]],Таблицаx_2[[#This Row],[id]]=A160,EDATE(Таблицаx_2[[#This Row],[Месяц]],1)=D160),F160,0)</f>
        <v>0</v>
      </c>
      <c r="K159" s="8">
        <f>IF(AND(Таблицаx_2[[#This Row],[Месяц окончания]]=Таблицаx_2[[#This Row],[Месяц]],Таблицаx_2[[#This Row],[id]]=A160,EDATE(Таблицаx_2[[#This Row],[Месяц]],2)=D160),F160,0)</f>
        <v>0</v>
      </c>
    </row>
    <row r="160" spans="1:11" ht="12.75" hidden="1" customHeight="1" x14ac:dyDescent="0.2">
      <c r="A160" s="8">
        <v>674</v>
      </c>
      <c r="B160" s="8" t="s">
        <v>45</v>
      </c>
      <c r="C160" s="8" t="s">
        <v>8</v>
      </c>
      <c r="D160" s="12">
        <v>44866</v>
      </c>
      <c r="E160" s="8">
        <v>89020</v>
      </c>
      <c r="F160" s="10">
        <f>IF(ISTEXT(Таблицаx_2[[#This Row],[Значение]]), 0, Таблицаx_2[[#This Row],[Значение]])</f>
        <v>89020</v>
      </c>
      <c r="G160" s="12">
        <v>44927</v>
      </c>
      <c r="H160" s="10" t="str">
        <f>IFERROR(VLOOKUP(Таблицаx_2[[#This Row],[id]],prolongations!A:C,2,)," ")</f>
        <v>январь 2023</v>
      </c>
      <c r="I160" s="10">
        <f>IF(Таблицаx_2[[#This Row],[Месяц окончания]]=Таблицаx_2[[#This Row],[Месяц]],Таблицаx_2[[#This Row],[Значения числа]],0)</f>
        <v>0</v>
      </c>
      <c r="J160" s="8">
        <f>IF(AND(Таблицаx_2[[#This Row],[Месяц окончания]]=Таблицаx_2[[#This Row],[Месяц]],Таблицаx_2[[#This Row],[id]]=A161,EDATE(Таблицаx_2[[#This Row],[Месяц]],1)=D161),F161,0)</f>
        <v>0</v>
      </c>
      <c r="K160" s="8">
        <f>IF(AND(Таблицаx_2[[#This Row],[Месяц окончания]]=Таблицаx_2[[#This Row],[Месяц]],Таблицаx_2[[#This Row],[id]]=A161,EDATE(Таблицаx_2[[#This Row],[Месяц]],2)=D161),F161,0)</f>
        <v>0</v>
      </c>
    </row>
    <row r="161" spans="1:11" ht="12.75" hidden="1" customHeight="1" x14ac:dyDescent="0.2">
      <c r="A161" s="8">
        <v>674</v>
      </c>
      <c r="B161" s="8" t="s">
        <v>45</v>
      </c>
      <c r="C161" s="8" t="s">
        <v>8</v>
      </c>
      <c r="D161" s="12">
        <v>44896</v>
      </c>
      <c r="E161" s="8">
        <v>95035</v>
      </c>
      <c r="F161" s="10">
        <f>IF(ISTEXT(Таблицаx_2[[#This Row],[Значение]]), 0, Таблицаx_2[[#This Row],[Значение]])</f>
        <v>95035</v>
      </c>
      <c r="G161" s="12">
        <v>44927</v>
      </c>
      <c r="H161" s="10" t="str">
        <f>IFERROR(VLOOKUP(Таблицаx_2[[#This Row],[id]],prolongations!A:C,2,)," ")</f>
        <v>январь 2023</v>
      </c>
      <c r="I161" s="10">
        <f>IF(Таблицаx_2[[#This Row],[Месяц окончания]]=Таблицаx_2[[#This Row],[Месяц]],Таблицаx_2[[#This Row],[Значения числа]],0)</f>
        <v>0</v>
      </c>
      <c r="J161" s="8">
        <f>IF(AND(Таблицаx_2[[#This Row],[Месяц окончания]]=Таблицаx_2[[#This Row],[Месяц]],Таблицаx_2[[#This Row],[id]]=A162,EDATE(Таблицаx_2[[#This Row],[Месяц]],1)=D162),F162,0)</f>
        <v>0</v>
      </c>
      <c r="K161" s="8">
        <f>IF(AND(Таблицаx_2[[#This Row],[Месяц окончания]]=Таблицаx_2[[#This Row],[Месяц]],Таблицаx_2[[#This Row],[id]]=A162,EDATE(Таблицаx_2[[#This Row],[Месяц]],2)=D162),F162,0)</f>
        <v>0</v>
      </c>
    </row>
    <row r="162" spans="1:11" ht="12.75" hidden="1" customHeight="1" x14ac:dyDescent="0.2">
      <c r="A162" s="8">
        <v>674</v>
      </c>
      <c r="B162" s="8" t="s">
        <v>45</v>
      </c>
      <c r="C162" s="8" t="s">
        <v>8</v>
      </c>
      <c r="D162" s="12">
        <v>44927</v>
      </c>
      <c r="E162" s="8">
        <v>100355</v>
      </c>
      <c r="F162" s="10">
        <f>IF(ISTEXT(Таблицаx_2[[#This Row],[Значение]]), 0, Таблицаx_2[[#This Row],[Значение]])</f>
        <v>100355</v>
      </c>
      <c r="G162" s="12">
        <v>44927</v>
      </c>
      <c r="H162" s="10" t="str">
        <f>IFERROR(VLOOKUP(Таблицаx_2[[#This Row],[id]],prolongations!A:C,2,)," ")</f>
        <v>январь 2023</v>
      </c>
      <c r="I162" s="10">
        <f>IF(Таблицаx_2[[#This Row],[Месяц окончания]]=Таблицаx_2[[#This Row],[Месяц]],Таблицаx_2[[#This Row],[Значения числа]],0)</f>
        <v>100355</v>
      </c>
      <c r="J162" s="8">
        <f>IF(AND(Таблицаx_2[[#This Row],[Месяц окончания]]=Таблицаx_2[[#This Row],[Месяц]],Таблицаx_2[[#This Row],[id]]=A163,EDATE(Таблицаx_2[[#This Row],[Месяц]],1)=D163),F163,0)</f>
        <v>0</v>
      </c>
      <c r="K162" s="8">
        <f>IF(AND(Таблицаx_2[[#This Row],[Месяц окончания]]=Таблицаx_2[[#This Row],[Месяц]],Таблицаx_2[[#This Row],[id]]=A163,EDATE(Таблицаx_2[[#This Row],[Месяц]],2)=D163),F163,0)</f>
        <v>0</v>
      </c>
    </row>
    <row r="163" spans="1:11" ht="12.75" hidden="1" customHeight="1" x14ac:dyDescent="0.2">
      <c r="A163" s="8">
        <v>674</v>
      </c>
      <c r="B163" s="8" t="s">
        <v>47</v>
      </c>
      <c r="C163" s="8" t="s">
        <v>8</v>
      </c>
      <c r="D163" s="12">
        <v>44866</v>
      </c>
      <c r="E163" s="8">
        <v>17351</v>
      </c>
      <c r="F163" s="10">
        <f>IF(ISTEXT(Таблицаx_2[[#This Row],[Значение]]), 0, Таблицаx_2[[#This Row],[Значение]])</f>
        <v>17351</v>
      </c>
      <c r="G163" s="12">
        <v>44927</v>
      </c>
      <c r="H163" s="10" t="str">
        <f>IFERROR(VLOOKUP(Таблицаx_2[[#This Row],[id]],prolongations!A:C,2,)," ")</f>
        <v>январь 2023</v>
      </c>
      <c r="I163" s="10">
        <f>IF(Таблицаx_2[[#This Row],[Месяц окончания]]=Таблицаx_2[[#This Row],[Месяц]],Таблицаx_2[[#This Row],[Значения числа]],0)</f>
        <v>0</v>
      </c>
      <c r="J163" s="8">
        <f>IF(AND(Таблицаx_2[[#This Row],[Месяц окончания]]=Таблицаx_2[[#This Row],[Месяц]],Таблицаx_2[[#This Row],[id]]=A164,EDATE(Таблицаx_2[[#This Row],[Месяц]],1)=D164),F164,0)</f>
        <v>0</v>
      </c>
      <c r="K163" s="8">
        <f>IF(AND(Таблицаx_2[[#This Row],[Месяц окончания]]=Таблицаx_2[[#This Row],[Месяц]],Таблицаx_2[[#This Row],[id]]=A164,EDATE(Таблицаx_2[[#This Row],[Месяц]],2)=D164),F164,0)</f>
        <v>0</v>
      </c>
    </row>
    <row r="164" spans="1:11" ht="12.75" hidden="1" customHeight="1" x14ac:dyDescent="0.2">
      <c r="A164" s="8">
        <v>674</v>
      </c>
      <c r="B164" s="8" t="s">
        <v>47</v>
      </c>
      <c r="C164" s="8" t="s">
        <v>8</v>
      </c>
      <c r="D164" s="12">
        <v>44896</v>
      </c>
      <c r="E164" s="8">
        <v>26034</v>
      </c>
      <c r="F164" s="10">
        <f>IF(ISTEXT(Таблицаx_2[[#This Row],[Значение]]), 0, Таблицаx_2[[#This Row],[Значение]])</f>
        <v>26034</v>
      </c>
      <c r="G164" s="12">
        <v>44927</v>
      </c>
      <c r="H164" s="10" t="str">
        <f>IFERROR(VLOOKUP(Таблицаx_2[[#This Row],[id]],prolongations!A:C,2,)," ")</f>
        <v>январь 2023</v>
      </c>
      <c r="I164" s="10">
        <f>IF(Таблицаx_2[[#This Row],[Месяц окончания]]=Таблицаx_2[[#This Row],[Месяц]],Таблицаx_2[[#This Row],[Значения числа]],0)</f>
        <v>0</v>
      </c>
      <c r="J164" s="8">
        <f>IF(AND(Таблицаx_2[[#This Row],[Месяц окончания]]=Таблицаx_2[[#This Row],[Месяц]],Таблицаx_2[[#This Row],[id]]=A165,EDATE(Таблицаx_2[[#This Row],[Месяц]],1)=D165),F165,0)</f>
        <v>0</v>
      </c>
      <c r="K164" s="8">
        <f>IF(AND(Таблицаx_2[[#This Row],[Месяц окончания]]=Таблицаx_2[[#This Row],[Месяц]],Таблицаx_2[[#This Row],[id]]=A165,EDATE(Таблицаx_2[[#This Row],[Месяц]],2)=D165),F165,0)</f>
        <v>0</v>
      </c>
    </row>
    <row r="165" spans="1:11" ht="12.75" hidden="1" customHeight="1" x14ac:dyDescent="0.2">
      <c r="A165" s="8">
        <v>674</v>
      </c>
      <c r="B165" s="8" t="s">
        <v>47</v>
      </c>
      <c r="C165" s="8" t="s">
        <v>8</v>
      </c>
      <c r="D165" s="12">
        <v>44927</v>
      </c>
      <c r="E165" s="8">
        <v>27422</v>
      </c>
      <c r="F165" s="10">
        <f>IF(ISTEXT(Таблицаx_2[[#This Row],[Значение]]), 0, Таблицаx_2[[#This Row],[Значение]])</f>
        <v>27422</v>
      </c>
      <c r="G165" s="12">
        <v>44927</v>
      </c>
      <c r="H165" s="10" t="str">
        <f>IFERROR(VLOOKUP(Таблицаx_2[[#This Row],[id]],prolongations!A:C,2,)," ")</f>
        <v>январь 2023</v>
      </c>
      <c r="I165" s="10">
        <f>IF(Таблицаx_2[[#This Row],[Месяц окончания]]=Таблицаx_2[[#This Row],[Месяц]],Таблицаx_2[[#This Row],[Значения числа]],0)</f>
        <v>27422</v>
      </c>
      <c r="J165" s="8">
        <f>IF(AND(Таблицаx_2[[#This Row],[Месяц окончания]]=Таблицаx_2[[#This Row],[Месяц]],Таблицаx_2[[#This Row],[id]]=A166,EDATE(Таблицаx_2[[#This Row],[Месяц]],1)=D166),F166,0)</f>
        <v>0</v>
      </c>
      <c r="K165" s="8">
        <f>IF(AND(Таблицаx_2[[#This Row],[Месяц окончания]]=Таблицаx_2[[#This Row],[Месяц]],Таблицаx_2[[#This Row],[id]]=A166,EDATE(Таблицаx_2[[#This Row],[Месяц]],2)=D166),F166,0)</f>
        <v>0</v>
      </c>
    </row>
    <row r="166" spans="1:11" ht="12.75" hidden="1" customHeight="1" x14ac:dyDescent="0.2">
      <c r="A166" s="8">
        <v>624</v>
      </c>
      <c r="B166" s="8" t="s">
        <v>45</v>
      </c>
      <c r="C166" s="8" t="s">
        <v>8</v>
      </c>
      <c r="D166" s="12">
        <v>44866</v>
      </c>
      <c r="E166" s="8">
        <v>18000</v>
      </c>
      <c r="F166" s="10">
        <f>IF(ISTEXT(Таблицаx_2[[#This Row],[Значение]]), 0, Таблицаx_2[[#This Row],[Значение]])</f>
        <v>18000</v>
      </c>
      <c r="G166" s="12">
        <v>44927</v>
      </c>
      <c r="H166" s="10" t="str">
        <f>IFERROR(VLOOKUP(Таблицаx_2[[#This Row],[id]],prolongations!A:C,2,)," ")</f>
        <v>январь 2023</v>
      </c>
      <c r="I166" s="10">
        <f>IF(Таблицаx_2[[#This Row],[Месяц окончания]]=Таблицаx_2[[#This Row],[Месяц]],Таблицаx_2[[#This Row],[Значения числа]],0)</f>
        <v>0</v>
      </c>
      <c r="J166" s="8">
        <f>IF(AND(Таблицаx_2[[#This Row],[Месяц окончания]]=Таблицаx_2[[#This Row],[Месяц]],Таблицаx_2[[#This Row],[id]]=A167,EDATE(Таблицаx_2[[#This Row],[Месяц]],1)=D167),F167,0)</f>
        <v>0</v>
      </c>
      <c r="K166" s="8">
        <f>IF(AND(Таблицаx_2[[#This Row],[Месяц окончания]]=Таблицаx_2[[#This Row],[Месяц]],Таблицаx_2[[#This Row],[id]]=A167,EDATE(Таблицаx_2[[#This Row],[Месяц]],2)=D167),F167,0)</f>
        <v>0</v>
      </c>
    </row>
    <row r="167" spans="1:11" ht="12.75" hidden="1" customHeight="1" x14ac:dyDescent="0.2">
      <c r="A167" s="8">
        <v>624</v>
      </c>
      <c r="B167" s="8" t="s">
        <v>45</v>
      </c>
      <c r="C167" s="8" t="s">
        <v>8</v>
      </c>
      <c r="D167" s="12">
        <v>44896</v>
      </c>
      <c r="E167" s="8">
        <v>18000</v>
      </c>
      <c r="F167" s="10">
        <f>IF(ISTEXT(Таблицаx_2[[#This Row],[Значение]]), 0, Таблицаx_2[[#This Row],[Значение]])</f>
        <v>18000</v>
      </c>
      <c r="G167" s="12">
        <v>44927</v>
      </c>
      <c r="H167" s="10" t="str">
        <f>IFERROR(VLOOKUP(Таблицаx_2[[#This Row],[id]],prolongations!A:C,2,)," ")</f>
        <v>январь 2023</v>
      </c>
      <c r="I167" s="10">
        <f>IF(Таблицаx_2[[#This Row],[Месяц окончания]]=Таблицаx_2[[#This Row],[Месяц]],Таблицаx_2[[#This Row],[Значения числа]],0)</f>
        <v>0</v>
      </c>
      <c r="J167" s="8">
        <f>IF(AND(Таблицаx_2[[#This Row],[Месяц окончания]]=Таблицаx_2[[#This Row],[Месяц]],Таблицаx_2[[#This Row],[id]]=A168,EDATE(Таблицаx_2[[#This Row],[Месяц]],1)=D168),F168,0)</f>
        <v>0</v>
      </c>
      <c r="K167" s="8">
        <f>IF(AND(Таблицаx_2[[#This Row],[Месяц окончания]]=Таблицаx_2[[#This Row],[Месяц]],Таблицаx_2[[#This Row],[id]]=A168,EDATE(Таблицаx_2[[#This Row],[Месяц]],2)=D168),F168,0)</f>
        <v>0</v>
      </c>
    </row>
    <row r="168" spans="1:11" ht="12.75" hidden="1" customHeight="1" x14ac:dyDescent="0.2">
      <c r="A168" s="8">
        <v>624</v>
      </c>
      <c r="B168" s="8" t="s">
        <v>47</v>
      </c>
      <c r="C168" s="8" t="s">
        <v>8</v>
      </c>
      <c r="D168" s="12">
        <v>44866</v>
      </c>
      <c r="E168" s="8">
        <v>16880</v>
      </c>
      <c r="F168" s="10">
        <f>IF(ISTEXT(Таблицаx_2[[#This Row],[Значение]]), 0, Таблицаx_2[[#This Row],[Значение]])</f>
        <v>16880</v>
      </c>
      <c r="G168" s="12">
        <v>44927</v>
      </c>
      <c r="H168" s="10" t="str">
        <f>IFERROR(VLOOKUP(Таблицаx_2[[#This Row],[id]],prolongations!A:C,2,)," ")</f>
        <v>январь 2023</v>
      </c>
      <c r="I168" s="10">
        <f>IF(Таблицаx_2[[#This Row],[Месяц окончания]]=Таблицаx_2[[#This Row],[Месяц]],Таблицаx_2[[#This Row],[Значения числа]],0)</f>
        <v>0</v>
      </c>
      <c r="J168" s="8">
        <f>IF(AND(Таблицаx_2[[#This Row],[Месяц окончания]]=Таблицаx_2[[#This Row],[Месяц]],Таблицаx_2[[#This Row],[id]]=A169,EDATE(Таблицаx_2[[#This Row],[Месяц]],1)=D169),F169,0)</f>
        <v>0</v>
      </c>
      <c r="K168" s="8">
        <f>IF(AND(Таблицаx_2[[#This Row],[Месяц окончания]]=Таблицаx_2[[#This Row],[Месяц]],Таблицаx_2[[#This Row],[id]]=A169,EDATE(Таблицаx_2[[#This Row],[Месяц]],2)=D169),F169,0)</f>
        <v>0</v>
      </c>
    </row>
    <row r="169" spans="1:11" ht="12.75" hidden="1" customHeight="1" x14ac:dyDescent="0.2">
      <c r="A169" s="8">
        <v>624</v>
      </c>
      <c r="B169" s="8" t="s">
        <v>47</v>
      </c>
      <c r="C169" s="8" t="s">
        <v>8</v>
      </c>
      <c r="D169" s="12">
        <v>44896</v>
      </c>
      <c r="E169" s="8">
        <v>21100</v>
      </c>
      <c r="F169" s="10">
        <f>IF(ISTEXT(Таблицаx_2[[#This Row],[Значение]]), 0, Таблицаx_2[[#This Row],[Значение]])</f>
        <v>21100</v>
      </c>
      <c r="G169" s="12">
        <v>44927</v>
      </c>
      <c r="H169" s="10" t="str">
        <f>IFERROR(VLOOKUP(Таблицаx_2[[#This Row],[id]],prolongations!A:C,2,)," ")</f>
        <v>январь 2023</v>
      </c>
      <c r="I169" s="10">
        <f>IF(Таблицаx_2[[#This Row],[Месяц окончания]]=Таблицаx_2[[#This Row],[Месяц]],Таблицаx_2[[#This Row],[Значения числа]],0)</f>
        <v>0</v>
      </c>
      <c r="J169" s="8">
        <f>IF(AND(Таблицаx_2[[#This Row],[Месяц окончания]]=Таблицаx_2[[#This Row],[Месяц]],Таблицаx_2[[#This Row],[id]]=A170,EDATE(Таблицаx_2[[#This Row],[Месяц]],1)=D170),F170,0)</f>
        <v>0</v>
      </c>
      <c r="K169" s="8">
        <f>IF(AND(Таблицаx_2[[#This Row],[Месяц окончания]]=Таблицаx_2[[#This Row],[Месяц]],Таблицаx_2[[#This Row],[id]]=A170,EDATE(Таблицаx_2[[#This Row],[Месяц]],2)=D170),F170,0)</f>
        <v>0</v>
      </c>
    </row>
    <row r="170" spans="1:11" ht="12.75" hidden="1" customHeight="1" x14ac:dyDescent="0.2">
      <c r="A170" s="8">
        <v>624</v>
      </c>
      <c r="B170" s="8" t="s">
        <v>47</v>
      </c>
      <c r="C170" s="8" t="s">
        <v>8</v>
      </c>
      <c r="D170" s="12">
        <v>44927</v>
      </c>
      <c r="E170" s="8">
        <v>30400</v>
      </c>
      <c r="F170" s="10">
        <f>IF(ISTEXT(Таблицаx_2[[#This Row],[Значение]]), 0, Таблицаx_2[[#This Row],[Значение]])</f>
        <v>30400</v>
      </c>
      <c r="G170" s="12">
        <v>44927</v>
      </c>
      <c r="H170" s="10" t="str">
        <f>IFERROR(VLOOKUP(Таблицаx_2[[#This Row],[id]],prolongations!A:C,2,)," ")</f>
        <v>январь 2023</v>
      </c>
      <c r="I170" s="10">
        <f>IF(Таблицаx_2[[#This Row],[Месяц окончания]]=Таблицаx_2[[#This Row],[Месяц]],Таблицаx_2[[#This Row],[Значения числа]],0)</f>
        <v>30400</v>
      </c>
      <c r="J170" s="8">
        <f>IF(AND(Таблицаx_2[[#This Row],[Месяц окончания]]=Таблицаx_2[[#This Row],[Месяц]],Таблицаx_2[[#This Row],[id]]=A171,EDATE(Таблицаx_2[[#This Row],[Месяц]],1)=D171),F171,0)</f>
        <v>0</v>
      </c>
      <c r="K170" s="8">
        <f>IF(AND(Таблицаx_2[[#This Row],[Месяц окончания]]=Таблицаx_2[[#This Row],[Месяц]],Таблицаx_2[[#This Row],[id]]=A171,EDATE(Таблицаx_2[[#This Row],[Месяц]],2)=D171),F171,0)</f>
        <v>0</v>
      </c>
    </row>
    <row r="171" spans="1:11" ht="12.75" hidden="1" customHeight="1" x14ac:dyDescent="0.2">
      <c r="A171" s="8">
        <v>721</v>
      </c>
      <c r="B171" s="8" t="s">
        <v>45</v>
      </c>
      <c r="C171" s="8" t="s">
        <v>8</v>
      </c>
      <c r="D171" s="12">
        <v>44896</v>
      </c>
      <c r="E171" s="8">
        <v>21000</v>
      </c>
      <c r="F171" s="10">
        <f>IF(ISTEXT(Таблицаx_2[[#This Row],[Значение]]), 0, Таблицаx_2[[#This Row],[Значение]])</f>
        <v>21000</v>
      </c>
      <c r="G171" s="12">
        <v>44927</v>
      </c>
      <c r="H171" s="10" t="str">
        <f>IFERROR(VLOOKUP(Таблицаx_2[[#This Row],[id]],prolongations!A:C,2,)," ")</f>
        <v>январь 2023</v>
      </c>
      <c r="I171" s="10">
        <f>IF(Таблицаx_2[[#This Row],[Месяц окончания]]=Таблицаx_2[[#This Row],[Месяц]],Таблицаx_2[[#This Row],[Значения числа]],0)</f>
        <v>0</v>
      </c>
      <c r="J171" s="8">
        <f>IF(AND(Таблицаx_2[[#This Row],[Месяц окончания]]=Таблицаx_2[[#This Row],[Месяц]],Таблицаx_2[[#This Row],[id]]=A172,EDATE(Таблицаx_2[[#This Row],[Месяц]],1)=D172),F172,0)</f>
        <v>0</v>
      </c>
      <c r="K171" s="8">
        <f>IF(AND(Таблицаx_2[[#This Row],[Месяц окончания]]=Таблицаx_2[[#This Row],[Месяц]],Таблицаx_2[[#This Row],[id]]=A172,EDATE(Таблицаx_2[[#This Row],[Месяц]],2)=D172),F172,0)</f>
        <v>0</v>
      </c>
    </row>
    <row r="172" spans="1:11" ht="12.75" hidden="1" customHeight="1" x14ac:dyDescent="0.2">
      <c r="A172" s="8">
        <v>721</v>
      </c>
      <c r="B172" s="8" t="s">
        <v>45</v>
      </c>
      <c r="C172" s="8" t="s">
        <v>8</v>
      </c>
      <c r="D172" s="12">
        <v>44927</v>
      </c>
      <c r="E172" s="8">
        <v>21000</v>
      </c>
      <c r="F172" s="10">
        <f>IF(ISTEXT(Таблицаx_2[[#This Row],[Значение]]), 0, Таблицаx_2[[#This Row],[Значение]])</f>
        <v>21000</v>
      </c>
      <c r="G172" s="12">
        <v>44927</v>
      </c>
      <c r="H172" s="10" t="str">
        <f>IFERROR(VLOOKUP(Таблицаx_2[[#This Row],[id]],prolongations!A:C,2,)," ")</f>
        <v>январь 2023</v>
      </c>
      <c r="I172" s="10">
        <f>IF(Таблицаx_2[[#This Row],[Месяц окончания]]=Таблицаx_2[[#This Row],[Месяц]],Таблицаx_2[[#This Row],[Значения числа]],0)</f>
        <v>21000</v>
      </c>
      <c r="J172" s="8">
        <f>IF(AND(Таблицаx_2[[#This Row],[Месяц окончания]]=Таблицаx_2[[#This Row],[Месяц]],Таблицаx_2[[#This Row],[id]]=A173,EDATE(Таблицаx_2[[#This Row],[Месяц]],1)=D173),F173,0)</f>
        <v>0</v>
      </c>
      <c r="K172" s="8">
        <f>IF(AND(Таблицаx_2[[#This Row],[Месяц окончания]]=Таблицаx_2[[#This Row],[Месяц]],Таблицаx_2[[#This Row],[id]]=A173,EDATE(Таблицаx_2[[#This Row],[Месяц]],2)=D173),F173,0)</f>
        <v>0</v>
      </c>
    </row>
    <row r="173" spans="1:11" ht="12.75" hidden="1" customHeight="1" x14ac:dyDescent="0.2">
      <c r="A173" s="8">
        <v>721</v>
      </c>
      <c r="B173" s="8" t="s">
        <v>47</v>
      </c>
      <c r="C173" s="8" t="s">
        <v>8</v>
      </c>
      <c r="D173" s="12">
        <v>44896</v>
      </c>
      <c r="E173" s="8">
        <v>10500</v>
      </c>
      <c r="F173" s="10">
        <f>IF(ISTEXT(Таблицаx_2[[#This Row],[Значение]]), 0, Таблицаx_2[[#This Row],[Значение]])</f>
        <v>10500</v>
      </c>
      <c r="G173" s="12">
        <v>44927</v>
      </c>
      <c r="H173" s="10" t="str">
        <f>IFERROR(VLOOKUP(Таблицаx_2[[#This Row],[id]],prolongations!A:C,2,)," ")</f>
        <v>январь 2023</v>
      </c>
      <c r="I173" s="10">
        <f>IF(Таблицаx_2[[#This Row],[Месяц окончания]]=Таблицаx_2[[#This Row],[Месяц]],Таблицаx_2[[#This Row],[Значения числа]],0)</f>
        <v>0</v>
      </c>
      <c r="J173" s="8">
        <f>IF(AND(Таблицаx_2[[#This Row],[Месяц окончания]]=Таблицаx_2[[#This Row],[Месяц]],Таблицаx_2[[#This Row],[id]]=A174,EDATE(Таблицаx_2[[#This Row],[Месяц]],1)=D174),F174,0)</f>
        <v>0</v>
      </c>
      <c r="K173" s="8">
        <f>IF(AND(Таблицаx_2[[#This Row],[Месяц окончания]]=Таблицаx_2[[#This Row],[Месяц]],Таблицаx_2[[#This Row],[id]]=A174,EDATE(Таблицаx_2[[#This Row],[Месяц]],2)=D174),F174,0)</f>
        <v>0</v>
      </c>
    </row>
    <row r="174" spans="1:11" ht="12.75" hidden="1" customHeight="1" x14ac:dyDescent="0.2">
      <c r="A174" s="8">
        <v>721</v>
      </c>
      <c r="B174" s="8" t="s">
        <v>47</v>
      </c>
      <c r="C174" s="8" t="s">
        <v>8</v>
      </c>
      <c r="D174" s="12">
        <v>44927</v>
      </c>
      <c r="E174" s="8">
        <v>14700</v>
      </c>
      <c r="F174" s="10">
        <f>IF(ISTEXT(Таблицаx_2[[#This Row],[Значение]]), 0, Таблицаx_2[[#This Row],[Значение]])</f>
        <v>14700</v>
      </c>
      <c r="G174" s="12">
        <v>44927</v>
      </c>
      <c r="H174" s="10" t="str">
        <f>IFERROR(VLOOKUP(Таблицаx_2[[#This Row],[id]],prolongations!A:C,2,)," ")</f>
        <v>январь 2023</v>
      </c>
      <c r="I174" s="10">
        <f>IF(Таблицаx_2[[#This Row],[Месяц окончания]]=Таблицаx_2[[#This Row],[Месяц]],Таблицаx_2[[#This Row],[Значения числа]],0)</f>
        <v>14700</v>
      </c>
      <c r="J174" s="8">
        <f>IF(AND(Таблицаx_2[[#This Row],[Месяц окончания]]=Таблицаx_2[[#This Row],[Месяц]],Таблицаx_2[[#This Row],[id]]=A175,EDATE(Таблицаx_2[[#This Row],[Месяц]],1)=D175),F175,0)</f>
        <v>0</v>
      </c>
      <c r="K174" s="8">
        <f>IF(AND(Таблицаx_2[[#This Row],[Месяц окончания]]=Таблицаx_2[[#This Row],[Месяц]],Таблицаx_2[[#This Row],[id]]=A175,EDATE(Таблицаx_2[[#This Row],[Месяц]],2)=D175),F175,0)</f>
        <v>0</v>
      </c>
    </row>
    <row r="175" spans="1:11" ht="12.75" hidden="1" customHeight="1" x14ac:dyDescent="0.2">
      <c r="A175" s="8">
        <v>509</v>
      </c>
      <c r="B175" s="8" t="s">
        <v>45</v>
      </c>
      <c r="C175" s="8" t="s">
        <v>6</v>
      </c>
      <c r="D175" s="12">
        <v>44866</v>
      </c>
      <c r="E175" s="8">
        <v>59600</v>
      </c>
      <c r="F175" s="10">
        <f>IF(ISTEXT(Таблицаx_2[[#This Row],[Значение]]), 0, Таблицаx_2[[#This Row],[Значение]])</f>
        <v>59600</v>
      </c>
      <c r="G175" s="12">
        <v>44927</v>
      </c>
      <c r="H175" s="10" t="str">
        <f>IFERROR(VLOOKUP(Таблицаx_2[[#This Row],[id]],prolongations!A:C,2,)," ")</f>
        <v>январь 2023</v>
      </c>
      <c r="I175" s="10">
        <f>IF(Таблицаx_2[[#This Row],[Месяц окончания]]=Таблицаx_2[[#This Row],[Месяц]],Таблицаx_2[[#This Row],[Значения числа]],0)</f>
        <v>0</v>
      </c>
      <c r="J175" s="8">
        <f>IF(AND(Таблицаx_2[[#This Row],[Месяц окончания]]=Таблицаx_2[[#This Row],[Месяц]],Таблицаx_2[[#This Row],[id]]=A176,EDATE(Таблицаx_2[[#This Row],[Месяц]],1)=D176),F176,0)</f>
        <v>0</v>
      </c>
      <c r="K175" s="8">
        <f>IF(AND(Таблицаx_2[[#This Row],[Месяц окончания]]=Таблицаx_2[[#This Row],[Месяц]],Таблицаx_2[[#This Row],[id]]=A176,EDATE(Таблицаx_2[[#This Row],[Месяц]],2)=D176),F176,0)</f>
        <v>0</v>
      </c>
    </row>
    <row r="176" spans="1:11" ht="12.75" hidden="1" customHeight="1" x14ac:dyDescent="0.2">
      <c r="A176" s="8">
        <v>509</v>
      </c>
      <c r="B176" s="8" t="s">
        <v>45</v>
      </c>
      <c r="C176" s="8" t="s">
        <v>6</v>
      </c>
      <c r="D176" s="12">
        <v>44896</v>
      </c>
      <c r="E176" s="8">
        <v>59600</v>
      </c>
      <c r="F176" s="10">
        <f>IF(ISTEXT(Таблицаx_2[[#This Row],[Значение]]), 0, Таблицаx_2[[#This Row],[Значение]])</f>
        <v>59600</v>
      </c>
      <c r="G176" s="12">
        <v>44927</v>
      </c>
      <c r="H176" s="10" t="str">
        <f>IFERROR(VLOOKUP(Таблицаx_2[[#This Row],[id]],prolongations!A:C,2,)," ")</f>
        <v>январь 2023</v>
      </c>
      <c r="I176" s="10">
        <f>IF(Таблицаx_2[[#This Row],[Месяц окончания]]=Таблицаx_2[[#This Row],[Месяц]],Таблицаx_2[[#This Row],[Значения числа]],0)</f>
        <v>0</v>
      </c>
      <c r="J176" s="8">
        <f>IF(AND(Таблицаx_2[[#This Row],[Месяц окончания]]=Таблицаx_2[[#This Row],[Месяц]],Таблицаx_2[[#This Row],[id]]=A177,EDATE(Таблицаx_2[[#This Row],[Месяц]],1)=D177),F177,0)</f>
        <v>0</v>
      </c>
      <c r="K176" s="8">
        <f>IF(AND(Таблицаx_2[[#This Row],[Месяц окончания]]=Таблицаx_2[[#This Row],[Месяц]],Таблицаx_2[[#This Row],[id]]=A177,EDATE(Таблицаx_2[[#This Row],[Месяц]],2)=D177),F177,0)</f>
        <v>0</v>
      </c>
    </row>
    <row r="177" spans="1:11" ht="12.75" hidden="1" customHeight="1" x14ac:dyDescent="0.2">
      <c r="A177" s="8">
        <v>509</v>
      </c>
      <c r="B177" s="8" t="s">
        <v>45</v>
      </c>
      <c r="C177" s="8" t="s">
        <v>6</v>
      </c>
      <c r="D177" s="12">
        <v>44927</v>
      </c>
      <c r="E177" s="8">
        <v>59600</v>
      </c>
      <c r="F177" s="10">
        <f>IF(ISTEXT(Таблицаx_2[[#This Row],[Значение]]), 0, Таблицаx_2[[#This Row],[Значение]])</f>
        <v>59600</v>
      </c>
      <c r="G177" s="12">
        <v>44927</v>
      </c>
      <c r="H177" s="10" t="str">
        <f>IFERROR(VLOOKUP(Таблицаx_2[[#This Row],[id]],prolongations!A:C,2,)," ")</f>
        <v>январь 2023</v>
      </c>
      <c r="I177" s="10">
        <f>IF(Таблицаx_2[[#This Row],[Месяц окончания]]=Таблицаx_2[[#This Row],[Месяц]],Таблицаx_2[[#This Row],[Значения числа]],0)</f>
        <v>59600</v>
      </c>
      <c r="J177" s="8">
        <f>IF(AND(Таблицаx_2[[#This Row],[Месяц окончания]]=Таблицаx_2[[#This Row],[Месяц]],Таблицаx_2[[#This Row],[id]]=A178,EDATE(Таблицаx_2[[#This Row],[Месяц]],1)=D178),F178,0)</f>
        <v>39600</v>
      </c>
      <c r="K177" s="8">
        <f>IF(AND(Таблицаx_2[[#This Row],[Месяц окончания]]=Таблицаx_2[[#This Row],[Месяц]],Таблицаx_2[[#This Row],[id]]=A178,EDATE(Таблицаx_2[[#This Row],[Месяц]],2)=D178),F178,0)</f>
        <v>0</v>
      </c>
    </row>
    <row r="178" spans="1:11" ht="12.75" hidden="1" customHeight="1" x14ac:dyDescent="0.2">
      <c r="A178" s="8">
        <v>509</v>
      </c>
      <c r="B178" s="8" t="s">
        <v>45</v>
      </c>
      <c r="C178" s="8" t="s">
        <v>6</v>
      </c>
      <c r="D178" s="12">
        <v>44958</v>
      </c>
      <c r="E178" s="8">
        <v>39600</v>
      </c>
      <c r="F178" s="10">
        <f>IF(ISTEXT(Таблицаx_2[[#This Row],[Значение]]), 0, Таблицаx_2[[#This Row],[Значение]])</f>
        <v>39600</v>
      </c>
      <c r="G178" s="12">
        <v>44927</v>
      </c>
      <c r="H178" s="10" t="str">
        <f>IFERROR(VLOOKUP(Таблицаx_2[[#This Row],[id]],prolongations!A:C,2,)," ")</f>
        <v>январь 2023</v>
      </c>
      <c r="I178" s="10">
        <f>IF(Таблицаx_2[[#This Row],[Месяц окончания]]=Таблицаx_2[[#This Row],[Месяц]],Таблицаx_2[[#This Row],[Значения числа]],0)</f>
        <v>0</v>
      </c>
      <c r="J178" s="8">
        <f>IF(AND(Таблицаx_2[[#This Row],[Месяц окончания]]=Таблицаx_2[[#This Row],[Месяц]],Таблицаx_2[[#This Row],[id]]=A179,EDATE(Таблицаx_2[[#This Row],[Месяц]],1)=D179),F179,0)</f>
        <v>0</v>
      </c>
      <c r="K178" s="8">
        <f>IF(AND(Таблицаx_2[[#This Row],[Месяц окончания]]=Таблицаx_2[[#This Row],[Месяц]],Таблицаx_2[[#This Row],[id]]=A179,EDATE(Таблицаx_2[[#This Row],[Месяц]],2)=D179),F179,0)</f>
        <v>0</v>
      </c>
    </row>
    <row r="179" spans="1:11" ht="12.75" hidden="1" customHeight="1" x14ac:dyDescent="0.2">
      <c r="A179" s="8">
        <v>509</v>
      </c>
      <c r="B179" s="8" t="s">
        <v>45</v>
      </c>
      <c r="C179" s="8" t="s">
        <v>6</v>
      </c>
      <c r="D179" s="12">
        <v>44986</v>
      </c>
      <c r="E179" s="8">
        <v>39600</v>
      </c>
      <c r="F179" s="10">
        <f>IF(ISTEXT(Таблицаx_2[[#This Row],[Значение]]), 0, Таблицаx_2[[#This Row],[Значение]])</f>
        <v>39600</v>
      </c>
      <c r="G179" s="12">
        <v>44927</v>
      </c>
      <c r="H179" s="10" t="str">
        <f>IFERROR(VLOOKUP(Таблицаx_2[[#This Row],[id]],prolongations!A:C,2,)," ")</f>
        <v>январь 2023</v>
      </c>
      <c r="I179" s="10">
        <f>IF(Таблицаx_2[[#This Row],[Месяц окончания]]=Таблицаx_2[[#This Row],[Месяц]],Таблицаx_2[[#This Row],[Значения числа]],0)</f>
        <v>0</v>
      </c>
      <c r="J179" s="8">
        <f>IF(AND(Таблицаx_2[[#This Row],[Месяц окончания]]=Таблицаx_2[[#This Row],[Месяц]],Таблицаx_2[[#This Row],[id]]=A180,EDATE(Таблицаx_2[[#This Row],[Месяц]],1)=D180),F180,0)</f>
        <v>0</v>
      </c>
      <c r="K179" s="8">
        <f>IF(AND(Таблицаx_2[[#This Row],[Месяц окончания]]=Таблицаx_2[[#This Row],[Месяц]],Таблицаx_2[[#This Row],[id]]=A180,EDATE(Таблицаx_2[[#This Row],[Месяц]],2)=D180),F180,0)</f>
        <v>0</v>
      </c>
    </row>
    <row r="180" spans="1:11" ht="12.75" hidden="1" customHeight="1" x14ac:dyDescent="0.2">
      <c r="A180" s="8">
        <v>509</v>
      </c>
      <c r="B180" s="8" t="s">
        <v>45</v>
      </c>
      <c r="C180" s="8" t="s">
        <v>6</v>
      </c>
      <c r="D180" s="12">
        <v>45017</v>
      </c>
      <c r="E180" s="8">
        <v>39600</v>
      </c>
      <c r="F180" s="10">
        <f>IF(ISTEXT(Таблицаx_2[[#This Row],[Значение]]), 0, Таблицаx_2[[#This Row],[Значение]])</f>
        <v>39600</v>
      </c>
      <c r="G180" s="12">
        <v>44927</v>
      </c>
      <c r="H180" s="10" t="str">
        <f>IFERROR(VLOOKUP(Таблицаx_2[[#This Row],[id]],prolongations!A:C,2,)," ")</f>
        <v>январь 2023</v>
      </c>
      <c r="I180" s="10">
        <f>IF(Таблицаx_2[[#This Row],[Месяц окончания]]=Таблицаx_2[[#This Row],[Месяц]],Таблицаx_2[[#This Row],[Значения числа]],0)</f>
        <v>0</v>
      </c>
      <c r="J180" s="8">
        <f>IF(AND(Таблицаx_2[[#This Row],[Месяц окончания]]=Таблицаx_2[[#This Row],[Месяц]],Таблицаx_2[[#This Row],[id]]=A181,EDATE(Таблицаx_2[[#This Row],[Месяц]],1)=D181),F181,0)</f>
        <v>0</v>
      </c>
      <c r="K180" s="8">
        <f>IF(AND(Таблицаx_2[[#This Row],[Месяц окончания]]=Таблицаx_2[[#This Row],[Месяц]],Таблицаx_2[[#This Row],[id]]=A181,EDATE(Таблицаx_2[[#This Row],[Месяц]],2)=D181),F181,0)</f>
        <v>0</v>
      </c>
    </row>
    <row r="181" spans="1:11" ht="12.75" hidden="1" customHeight="1" x14ac:dyDescent="0.2">
      <c r="A181" s="8">
        <v>509</v>
      </c>
      <c r="B181" s="8" t="s">
        <v>45</v>
      </c>
      <c r="C181" s="8" t="s">
        <v>6</v>
      </c>
      <c r="D181" s="12">
        <v>45047</v>
      </c>
      <c r="E181" s="8">
        <v>39600</v>
      </c>
      <c r="F181" s="10">
        <f>IF(ISTEXT(Таблицаx_2[[#This Row],[Значение]]), 0, Таблицаx_2[[#This Row],[Значение]])</f>
        <v>39600</v>
      </c>
      <c r="G181" s="12">
        <v>44927</v>
      </c>
      <c r="H181" s="10" t="str">
        <f>IFERROR(VLOOKUP(Таблицаx_2[[#This Row],[id]],prolongations!A:C,2,)," ")</f>
        <v>январь 2023</v>
      </c>
      <c r="I181" s="10">
        <f>IF(Таблицаx_2[[#This Row],[Месяц окончания]]=Таблицаx_2[[#This Row],[Месяц]],Таблицаx_2[[#This Row],[Значения числа]],0)</f>
        <v>0</v>
      </c>
      <c r="J181" s="8">
        <f>IF(AND(Таблицаx_2[[#This Row],[Месяц окончания]]=Таблицаx_2[[#This Row],[Месяц]],Таблицаx_2[[#This Row],[id]]=A182,EDATE(Таблицаx_2[[#This Row],[Месяц]],1)=D182),F182,0)</f>
        <v>0</v>
      </c>
      <c r="K181" s="8">
        <f>IF(AND(Таблицаx_2[[#This Row],[Месяц окончания]]=Таблицаx_2[[#This Row],[Месяц]],Таблицаx_2[[#This Row],[id]]=A182,EDATE(Таблицаx_2[[#This Row],[Месяц]],2)=D182),F182,0)</f>
        <v>0</v>
      </c>
    </row>
    <row r="182" spans="1:11" ht="12.75" hidden="1" customHeight="1" x14ac:dyDescent="0.2">
      <c r="A182" s="8">
        <v>509</v>
      </c>
      <c r="B182" s="8" t="s">
        <v>45</v>
      </c>
      <c r="C182" s="8" t="s">
        <v>6</v>
      </c>
      <c r="D182" s="12">
        <v>45078</v>
      </c>
      <c r="E182" s="8">
        <v>39600</v>
      </c>
      <c r="F182" s="10">
        <f>IF(ISTEXT(Таблицаx_2[[#This Row],[Значение]]), 0, Таблицаx_2[[#This Row],[Значение]])</f>
        <v>39600</v>
      </c>
      <c r="G182" s="12">
        <v>44927</v>
      </c>
      <c r="H182" s="10" t="str">
        <f>IFERROR(VLOOKUP(Таблицаx_2[[#This Row],[id]],prolongations!A:C,2,)," ")</f>
        <v>январь 2023</v>
      </c>
      <c r="I182" s="10">
        <f>IF(Таблицаx_2[[#This Row],[Месяц окончания]]=Таблицаx_2[[#This Row],[Месяц]],Таблицаx_2[[#This Row],[Значения числа]],0)</f>
        <v>0</v>
      </c>
      <c r="J182" s="8">
        <f>IF(AND(Таблицаx_2[[#This Row],[Месяц окончания]]=Таблицаx_2[[#This Row],[Месяц]],Таблицаx_2[[#This Row],[id]]=A183,EDATE(Таблицаx_2[[#This Row],[Месяц]],1)=D183),F183,0)</f>
        <v>0</v>
      </c>
      <c r="K182" s="8">
        <f>IF(AND(Таблицаx_2[[#This Row],[Месяц окончания]]=Таблицаx_2[[#This Row],[Месяц]],Таблицаx_2[[#This Row],[id]]=A183,EDATE(Таблицаx_2[[#This Row],[Месяц]],2)=D183),F183,0)</f>
        <v>0</v>
      </c>
    </row>
    <row r="183" spans="1:11" ht="12.75" hidden="1" customHeight="1" x14ac:dyDescent="0.2">
      <c r="A183" s="8">
        <v>509</v>
      </c>
      <c r="B183" s="8" t="s">
        <v>45</v>
      </c>
      <c r="C183" s="8" t="s">
        <v>6</v>
      </c>
      <c r="D183" s="12">
        <v>45108</v>
      </c>
      <c r="E183" s="8">
        <v>39600</v>
      </c>
      <c r="F183" s="10">
        <f>IF(ISTEXT(Таблицаx_2[[#This Row],[Значение]]), 0, Таблицаx_2[[#This Row],[Значение]])</f>
        <v>39600</v>
      </c>
      <c r="G183" s="12">
        <v>44927</v>
      </c>
      <c r="H183" s="10" t="str">
        <f>IFERROR(VLOOKUP(Таблицаx_2[[#This Row],[id]],prolongations!A:C,2,)," ")</f>
        <v>январь 2023</v>
      </c>
      <c r="I183" s="10">
        <f>IF(Таблицаx_2[[#This Row],[Месяц окончания]]=Таблицаx_2[[#This Row],[Месяц]],Таблицаx_2[[#This Row],[Значения числа]],0)</f>
        <v>0</v>
      </c>
      <c r="J183" s="8">
        <f>IF(AND(Таблицаx_2[[#This Row],[Месяц окончания]]=Таблицаx_2[[#This Row],[Месяц]],Таблицаx_2[[#This Row],[id]]=A184,EDATE(Таблицаx_2[[#This Row],[Месяц]],1)=D184),F184,0)</f>
        <v>0</v>
      </c>
      <c r="K183" s="8">
        <f>IF(AND(Таблицаx_2[[#This Row],[Месяц окончания]]=Таблицаx_2[[#This Row],[Месяц]],Таблицаx_2[[#This Row],[id]]=A184,EDATE(Таблицаx_2[[#This Row],[Месяц]],2)=D184),F184,0)</f>
        <v>0</v>
      </c>
    </row>
    <row r="184" spans="1:11" ht="12.75" hidden="1" customHeight="1" x14ac:dyDescent="0.2">
      <c r="A184" s="8">
        <v>509</v>
      </c>
      <c r="B184" s="8" t="s">
        <v>45</v>
      </c>
      <c r="C184" s="8" t="s">
        <v>6</v>
      </c>
      <c r="D184" s="12">
        <v>45139</v>
      </c>
      <c r="E184" s="8">
        <v>39600</v>
      </c>
      <c r="F184" s="10">
        <f>IF(ISTEXT(Таблицаx_2[[#This Row],[Значение]]), 0, Таблицаx_2[[#This Row],[Значение]])</f>
        <v>39600</v>
      </c>
      <c r="G184" s="12">
        <v>44927</v>
      </c>
      <c r="H184" s="10" t="str">
        <f>IFERROR(VLOOKUP(Таблицаx_2[[#This Row],[id]],prolongations!A:C,2,)," ")</f>
        <v>январь 2023</v>
      </c>
      <c r="I184" s="10">
        <f>IF(Таблицаx_2[[#This Row],[Месяц окончания]]=Таблицаx_2[[#This Row],[Месяц]],Таблицаx_2[[#This Row],[Значения числа]],0)</f>
        <v>0</v>
      </c>
      <c r="J184" s="8">
        <f>IF(AND(Таблицаx_2[[#This Row],[Месяц окончания]]=Таблицаx_2[[#This Row],[Месяц]],Таблицаx_2[[#This Row],[id]]=A185,EDATE(Таблицаx_2[[#This Row],[Месяц]],1)=D185),F185,0)</f>
        <v>0</v>
      </c>
      <c r="K184" s="8">
        <f>IF(AND(Таблицаx_2[[#This Row],[Месяц окончания]]=Таблицаx_2[[#This Row],[Месяц]],Таблицаx_2[[#This Row],[id]]=A185,EDATE(Таблицаx_2[[#This Row],[Месяц]],2)=D185),F185,0)</f>
        <v>0</v>
      </c>
    </row>
    <row r="185" spans="1:11" ht="12.75" hidden="1" customHeight="1" x14ac:dyDescent="0.2">
      <c r="A185" s="8">
        <v>509</v>
      </c>
      <c r="B185" s="8" t="s">
        <v>45</v>
      </c>
      <c r="C185" s="8" t="s">
        <v>6</v>
      </c>
      <c r="D185" s="12">
        <v>45170</v>
      </c>
      <c r="E185" s="8">
        <v>39600</v>
      </c>
      <c r="F185" s="10">
        <f>IF(ISTEXT(Таблицаx_2[[#This Row],[Значение]]), 0, Таблицаx_2[[#This Row],[Значение]])</f>
        <v>39600</v>
      </c>
      <c r="G185" s="12">
        <v>44927</v>
      </c>
      <c r="H185" s="10" t="str">
        <f>IFERROR(VLOOKUP(Таблицаx_2[[#This Row],[id]],prolongations!A:C,2,)," ")</f>
        <v>январь 2023</v>
      </c>
      <c r="I185" s="10">
        <f>IF(Таблицаx_2[[#This Row],[Месяц окончания]]=Таблицаx_2[[#This Row],[Месяц]],Таблицаx_2[[#This Row],[Значения числа]],0)</f>
        <v>0</v>
      </c>
      <c r="J185" s="8">
        <f>IF(AND(Таблицаx_2[[#This Row],[Месяц окончания]]=Таблицаx_2[[#This Row],[Месяц]],Таблицаx_2[[#This Row],[id]]=A186,EDATE(Таблицаx_2[[#This Row],[Месяц]],1)=D186),F186,0)</f>
        <v>0</v>
      </c>
      <c r="K185" s="8">
        <f>IF(AND(Таблицаx_2[[#This Row],[Месяц окончания]]=Таблицаx_2[[#This Row],[Месяц]],Таблицаx_2[[#This Row],[id]]=A186,EDATE(Таблицаx_2[[#This Row],[Месяц]],2)=D186),F186,0)</f>
        <v>0</v>
      </c>
    </row>
    <row r="186" spans="1:11" ht="12.75" hidden="1" customHeight="1" x14ac:dyDescent="0.2">
      <c r="A186" s="8">
        <v>509</v>
      </c>
      <c r="B186" s="8" t="s">
        <v>45</v>
      </c>
      <c r="C186" s="8" t="s">
        <v>6</v>
      </c>
      <c r="D186" s="12">
        <v>45200</v>
      </c>
      <c r="E186" s="8">
        <v>39600</v>
      </c>
      <c r="F186" s="10">
        <f>IF(ISTEXT(Таблицаx_2[[#This Row],[Значение]]), 0, Таблицаx_2[[#This Row],[Значение]])</f>
        <v>39600</v>
      </c>
      <c r="G186" s="12">
        <v>44927</v>
      </c>
      <c r="H186" s="10" t="str">
        <f>IFERROR(VLOOKUP(Таблицаx_2[[#This Row],[id]],prolongations!A:C,2,)," ")</f>
        <v>январь 2023</v>
      </c>
      <c r="I186" s="10">
        <f>IF(Таблицаx_2[[#This Row],[Месяц окончания]]=Таблицаx_2[[#This Row],[Месяц]],Таблицаx_2[[#This Row],[Значения числа]],0)</f>
        <v>0</v>
      </c>
      <c r="J186" s="8">
        <f>IF(AND(Таблицаx_2[[#This Row],[Месяц окончания]]=Таблицаx_2[[#This Row],[Месяц]],Таблицаx_2[[#This Row],[id]]=A187,EDATE(Таблицаx_2[[#This Row],[Месяц]],1)=D187),F187,0)</f>
        <v>0</v>
      </c>
      <c r="K186" s="8">
        <f>IF(AND(Таблицаx_2[[#This Row],[Месяц окончания]]=Таблицаx_2[[#This Row],[Месяц]],Таблицаx_2[[#This Row],[id]]=A187,EDATE(Таблицаx_2[[#This Row],[Месяц]],2)=D187),F187,0)</f>
        <v>0</v>
      </c>
    </row>
    <row r="187" spans="1:11" ht="12.75" hidden="1" customHeight="1" x14ac:dyDescent="0.2">
      <c r="A187" s="8">
        <v>509</v>
      </c>
      <c r="B187" s="8" t="s">
        <v>45</v>
      </c>
      <c r="C187" s="8" t="s">
        <v>6</v>
      </c>
      <c r="D187" s="12">
        <v>45231</v>
      </c>
      <c r="E187" s="8">
        <v>39600</v>
      </c>
      <c r="F187" s="10">
        <f>IF(ISTEXT(Таблицаx_2[[#This Row],[Значение]]), 0, Таблицаx_2[[#This Row],[Значение]])</f>
        <v>39600</v>
      </c>
      <c r="G187" s="12">
        <v>44927</v>
      </c>
      <c r="H187" s="10" t="str">
        <f>IFERROR(VLOOKUP(Таблицаx_2[[#This Row],[id]],prolongations!A:C,2,)," ")</f>
        <v>январь 2023</v>
      </c>
      <c r="I187" s="10">
        <f>IF(Таблицаx_2[[#This Row],[Месяц окончания]]=Таблицаx_2[[#This Row],[Месяц]],Таблицаx_2[[#This Row],[Значения числа]],0)</f>
        <v>0</v>
      </c>
      <c r="J187" s="8">
        <f>IF(AND(Таблицаx_2[[#This Row],[Месяц окончания]]=Таблицаx_2[[#This Row],[Месяц]],Таблицаx_2[[#This Row],[id]]=A188,EDATE(Таблицаx_2[[#This Row],[Месяц]],1)=D188),F188,0)</f>
        <v>0</v>
      </c>
      <c r="K187" s="8">
        <f>IF(AND(Таблицаx_2[[#This Row],[Месяц окончания]]=Таблицаx_2[[#This Row],[Месяц]],Таблицаx_2[[#This Row],[id]]=A188,EDATE(Таблицаx_2[[#This Row],[Месяц]],2)=D188),F188,0)</f>
        <v>0</v>
      </c>
    </row>
    <row r="188" spans="1:11" ht="12.75" hidden="1" customHeight="1" x14ac:dyDescent="0.2">
      <c r="A188" s="8">
        <v>509</v>
      </c>
      <c r="B188" s="8" t="s">
        <v>45</v>
      </c>
      <c r="C188" s="8" t="s">
        <v>6</v>
      </c>
      <c r="D188" s="12">
        <v>45261</v>
      </c>
      <c r="E188" s="8">
        <v>39600</v>
      </c>
      <c r="F188" s="10">
        <f>IF(ISTEXT(Таблицаx_2[[#This Row],[Значение]]), 0, Таблицаx_2[[#This Row],[Значение]])</f>
        <v>39600</v>
      </c>
      <c r="G188" s="12">
        <v>44927</v>
      </c>
      <c r="H188" s="10" t="str">
        <f>IFERROR(VLOOKUP(Таблицаx_2[[#This Row],[id]],prolongations!A:C,2,)," ")</f>
        <v>январь 2023</v>
      </c>
      <c r="I188" s="10">
        <f>IF(Таблицаx_2[[#This Row],[Месяц окончания]]=Таблицаx_2[[#This Row],[Месяц]],Таблицаx_2[[#This Row],[Значения числа]],0)</f>
        <v>0</v>
      </c>
      <c r="J188" s="8">
        <f>IF(AND(Таблицаx_2[[#This Row],[Месяц окончания]]=Таблицаx_2[[#This Row],[Месяц]],Таблицаx_2[[#This Row],[id]]=A189,EDATE(Таблицаx_2[[#This Row],[Месяц]],1)=D189),F189,0)</f>
        <v>0</v>
      </c>
      <c r="K188" s="8">
        <f>IF(AND(Таблицаx_2[[#This Row],[Месяц окончания]]=Таблицаx_2[[#This Row],[Месяц]],Таблицаx_2[[#This Row],[id]]=A189,EDATE(Таблицаx_2[[#This Row],[Месяц]],2)=D189),F189,0)</f>
        <v>0</v>
      </c>
    </row>
    <row r="189" spans="1:11" ht="12.75" hidden="1" customHeight="1" x14ac:dyDescent="0.2">
      <c r="A189" s="8">
        <v>509</v>
      </c>
      <c r="B189" s="8" t="s">
        <v>45</v>
      </c>
      <c r="C189" s="8" t="s">
        <v>6</v>
      </c>
      <c r="D189" s="12">
        <v>45292</v>
      </c>
      <c r="E189" s="8">
        <v>39600</v>
      </c>
      <c r="F189" s="10">
        <f>IF(ISTEXT(Таблицаx_2[[#This Row],[Значение]]), 0, Таблицаx_2[[#This Row],[Значение]])</f>
        <v>39600</v>
      </c>
      <c r="G189" s="12">
        <v>44927</v>
      </c>
      <c r="H189" s="10" t="str">
        <f>IFERROR(VLOOKUP(Таблицаx_2[[#This Row],[id]],prolongations!A:C,2,)," ")</f>
        <v>январь 2023</v>
      </c>
      <c r="I189" s="10">
        <f>IF(Таблицаx_2[[#This Row],[Месяц окончания]]=Таблицаx_2[[#This Row],[Месяц]],Таблицаx_2[[#This Row],[Значения числа]],0)</f>
        <v>0</v>
      </c>
      <c r="J189" s="8">
        <f>IF(AND(Таблицаx_2[[#This Row],[Месяц окончания]]=Таблицаx_2[[#This Row],[Месяц]],Таблицаx_2[[#This Row],[id]]=A190,EDATE(Таблицаx_2[[#This Row],[Месяц]],1)=D190),F190,0)</f>
        <v>0</v>
      </c>
      <c r="K189" s="8">
        <f>IF(AND(Таблицаx_2[[#This Row],[Месяц окончания]]=Таблицаx_2[[#This Row],[Месяц]],Таблицаx_2[[#This Row],[id]]=A190,EDATE(Таблицаx_2[[#This Row],[Месяц]],2)=D190),F190,0)</f>
        <v>0</v>
      </c>
    </row>
    <row r="190" spans="1:11" ht="12.75" hidden="1" customHeight="1" x14ac:dyDescent="0.2">
      <c r="A190" s="8">
        <v>509</v>
      </c>
      <c r="B190" s="8" t="s">
        <v>45</v>
      </c>
      <c r="C190" s="8" t="s">
        <v>6</v>
      </c>
      <c r="D190" s="12">
        <v>45323</v>
      </c>
      <c r="E190" s="8">
        <v>40100</v>
      </c>
      <c r="F190" s="10">
        <f>IF(ISTEXT(Таблицаx_2[[#This Row],[Значение]]), 0, Таблицаx_2[[#This Row],[Значение]])</f>
        <v>40100</v>
      </c>
      <c r="G190" s="12">
        <v>44927</v>
      </c>
      <c r="H190" s="10" t="str">
        <f>IFERROR(VLOOKUP(Таблицаx_2[[#This Row],[id]],prolongations!A:C,2,)," ")</f>
        <v>январь 2023</v>
      </c>
      <c r="I190" s="10">
        <f>IF(Таблицаx_2[[#This Row],[Месяц окончания]]=Таблицаx_2[[#This Row],[Месяц]],Таблицаx_2[[#This Row],[Значения числа]],0)</f>
        <v>0</v>
      </c>
      <c r="J190" s="8">
        <f>IF(AND(Таблицаx_2[[#This Row],[Месяц окончания]]=Таблицаx_2[[#This Row],[Месяц]],Таблицаx_2[[#This Row],[id]]=A191,EDATE(Таблицаx_2[[#This Row],[Месяц]],1)=D191),F191,0)</f>
        <v>0</v>
      </c>
      <c r="K190" s="8">
        <f>IF(AND(Таблицаx_2[[#This Row],[Месяц окончания]]=Таблицаx_2[[#This Row],[Месяц]],Таблицаx_2[[#This Row],[id]]=A191,EDATE(Таблицаx_2[[#This Row],[Месяц]],2)=D191),F191,0)</f>
        <v>0</v>
      </c>
    </row>
    <row r="191" spans="1:11" ht="12.75" hidden="1" customHeight="1" x14ac:dyDescent="0.2">
      <c r="A191" s="8">
        <v>509</v>
      </c>
      <c r="B191" s="8" t="s">
        <v>47</v>
      </c>
      <c r="C191" s="8" t="s">
        <v>6</v>
      </c>
      <c r="D191" s="12">
        <v>44866</v>
      </c>
      <c r="E191" s="8">
        <v>65450</v>
      </c>
      <c r="F191" s="10">
        <f>IF(ISTEXT(Таблицаx_2[[#This Row],[Значение]]), 0, Таблицаx_2[[#This Row],[Значение]])</f>
        <v>65450</v>
      </c>
      <c r="G191" s="12">
        <v>44927</v>
      </c>
      <c r="H191" s="10" t="str">
        <f>IFERROR(VLOOKUP(Таблицаx_2[[#This Row],[id]],prolongations!A:C,2,)," ")</f>
        <v>январь 2023</v>
      </c>
      <c r="I191" s="10">
        <f>IF(Таблицаx_2[[#This Row],[Месяц окончания]]=Таблицаx_2[[#This Row],[Месяц]],Таблицаx_2[[#This Row],[Значения числа]],0)</f>
        <v>0</v>
      </c>
      <c r="J191" s="8">
        <f>IF(AND(Таблицаx_2[[#This Row],[Месяц окончания]]=Таблицаx_2[[#This Row],[Месяц]],Таблицаx_2[[#This Row],[id]]=A192,EDATE(Таблицаx_2[[#This Row],[Месяц]],1)=D192),F192,0)</f>
        <v>0</v>
      </c>
      <c r="K191" s="8">
        <f>IF(AND(Таблицаx_2[[#This Row],[Месяц окончания]]=Таблицаx_2[[#This Row],[Месяц]],Таблицаx_2[[#This Row],[id]]=A192,EDATE(Таблицаx_2[[#This Row],[Месяц]],2)=D192),F192,0)</f>
        <v>0</v>
      </c>
    </row>
    <row r="192" spans="1:11" ht="12.75" hidden="1" customHeight="1" x14ac:dyDescent="0.2">
      <c r="A192" s="8">
        <v>509</v>
      </c>
      <c r="B192" s="8" t="s">
        <v>47</v>
      </c>
      <c r="C192" s="8" t="s">
        <v>6</v>
      </c>
      <c r="D192" s="12">
        <v>44896</v>
      </c>
      <c r="E192" s="8">
        <v>50150</v>
      </c>
      <c r="F192" s="10">
        <f>IF(ISTEXT(Таблицаx_2[[#This Row],[Значение]]), 0, Таблицаx_2[[#This Row],[Значение]])</f>
        <v>50150</v>
      </c>
      <c r="G192" s="12">
        <v>44927</v>
      </c>
      <c r="H192" s="10" t="str">
        <f>IFERROR(VLOOKUP(Таблицаx_2[[#This Row],[id]],prolongations!A:C,2,)," ")</f>
        <v>январь 2023</v>
      </c>
      <c r="I192" s="10">
        <f>IF(Таблицаx_2[[#This Row],[Месяц окончания]]=Таблицаx_2[[#This Row],[Месяц]],Таблицаx_2[[#This Row],[Значения числа]],0)</f>
        <v>0</v>
      </c>
      <c r="J192" s="8">
        <f>IF(AND(Таблицаx_2[[#This Row],[Месяц окончания]]=Таблицаx_2[[#This Row],[Месяц]],Таблицаx_2[[#This Row],[id]]=A193,EDATE(Таблицаx_2[[#This Row],[Месяц]],1)=D193),F193,0)</f>
        <v>0</v>
      </c>
      <c r="K192" s="8">
        <f>IF(AND(Таблицаx_2[[#This Row],[Месяц окончания]]=Таблицаx_2[[#This Row],[Месяц]],Таблицаx_2[[#This Row],[id]]=A193,EDATE(Таблицаx_2[[#This Row],[Месяц]],2)=D193),F193,0)</f>
        <v>0</v>
      </c>
    </row>
    <row r="193" spans="1:11" ht="12.75" hidden="1" customHeight="1" x14ac:dyDescent="0.2">
      <c r="A193" s="8">
        <v>509</v>
      </c>
      <c r="B193" s="8" t="s">
        <v>47</v>
      </c>
      <c r="C193" s="8" t="s">
        <v>6</v>
      </c>
      <c r="D193" s="12">
        <v>44927</v>
      </c>
      <c r="E193" s="8">
        <v>34000</v>
      </c>
      <c r="F193" s="10">
        <f>IF(ISTEXT(Таблицаx_2[[#This Row],[Значение]]), 0, Таблицаx_2[[#This Row],[Значение]])</f>
        <v>34000</v>
      </c>
      <c r="G193" s="12">
        <v>44927</v>
      </c>
      <c r="H193" s="10" t="str">
        <f>IFERROR(VLOOKUP(Таблицаx_2[[#This Row],[id]],prolongations!A:C,2,)," ")</f>
        <v>январь 2023</v>
      </c>
      <c r="I193" s="10">
        <f>IF(Таблицаx_2[[#This Row],[Месяц окончания]]=Таблицаx_2[[#This Row],[Месяц]],Таблицаx_2[[#This Row],[Значения числа]],0)</f>
        <v>34000</v>
      </c>
      <c r="J193" s="8">
        <f>IF(AND(Таблицаx_2[[#This Row],[Месяц окончания]]=Таблицаx_2[[#This Row],[Месяц]],Таблицаx_2[[#This Row],[id]]=A194,EDATE(Таблицаx_2[[#This Row],[Месяц]],1)=D194),F194,0)</f>
        <v>97555</v>
      </c>
      <c r="K193" s="8">
        <f>IF(AND(Таблицаx_2[[#This Row],[Месяц окончания]]=Таблицаx_2[[#This Row],[Месяц]],Таблицаx_2[[#This Row],[id]]=A194,EDATE(Таблицаx_2[[#This Row],[Месяц]],2)=D194),F194,0)</f>
        <v>0</v>
      </c>
    </row>
    <row r="194" spans="1:11" ht="12.75" hidden="1" customHeight="1" x14ac:dyDescent="0.2">
      <c r="A194" s="8">
        <v>509</v>
      </c>
      <c r="B194" s="8" t="s">
        <v>47</v>
      </c>
      <c r="C194" s="8" t="s">
        <v>6</v>
      </c>
      <c r="D194" s="12">
        <v>44958</v>
      </c>
      <c r="E194" s="8">
        <v>97555</v>
      </c>
      <c r="F194" s="10">
        <f>IF(ISTEXT(Таблицаx_2[[#This Row],[Значение]]), 0, Таблицаx_2[[#This Row],[Значение]])</f>
        <v>97555</v>
      </c>
      <c r="G194" s="12">
        <v>44927</v>
      </c>
      <c r="H194" s="10" t="str">
        <f>IFERROR(VLOOKUP(Таблицаx_2[[#This Row],[id]],prolongations!A:C,2,)," ")</f>
        <v>январь 2023</v>
      </c>
      <c r="I194" s="10">
        <f>IF(Таблицаx_2[[#This Row],[Месяц окончания]]=Таблицаx_2[[#This Row],[Месяц]],Таблицаx_2[[#This Row],[Значения числа]],0)</f>
        <v>0</v>
      </c>
      <c r="J194" s="8">
        <f>IF(AND(Таблицаx_2[[#This Row],[Месяц окончания]]=Таблицаx_2[[#This Row],[Месяц]],Таблицаx_2[[#This Row],[id]]=A195,EDATE(Таблицаx_2[[#This Row],[Месяц]],1)=D195),F195,0)</f>
        <v>0</v>
      </c>
      <c r="K194" s="8">
        <f>IF(AND(Таблицаx_2[[#This Row],[Месяц окончания]]=Таблицаx_2[[#This Row],[Месяц]],Таблицаx_2[[#This Row],[id]]=A195,EDATE(Таблицаx_2[[#This Row],[Месяц]],2)=D195),F195,0)</f>
        <v>0</v>
      </c>
    </row>
    <row r="195" spans="1:11" ht="12.75" hidden="1" customHeight="1" x14ac:dyDescent="0.2">
      <c r="A195" s="8">
        <v>509</v>
      </c>
      <c r="B195" s="8" t="s">
        <v>47</v>
      </c>
      <c r="C195" s="8" t="s">
        <v>6</v>
      </c>
      <c r="D195" s="12">
        <v>44986</v>
      </c>
      <c r="E195" s="8">
        <v>54595</v>
      </c>
      <c r="F195" s="10">
        <f>IF(ISTEXT(Таблицаx_2[[#This Row],[Значение]]), 0, Таблицаx_2[[#This Row],[Значение]])</f>
        <v>54595</v>
      </c>
      <c r="G195" s="12">
        <v>44927</v>
      </c>
      <c r="H195" s="10" t="str">
        <f>IFERROR(VLOOKUP(Таблицаx_2[[#This Row],[id]],prolongations!A:C,2,)," ")</f>
        <v>январь 2023</v>
      </c>
      <c r="I195" s="10">
        <f>IF(Таблицаx_2[[#This Row],[Месяц окончания]]=Таблицаx_2[[#This Row],[Месяц]],Таблицаx_2[[#This Row],[Значения числа]],0)</f>
        <v>0</v>
      </c>
      <c r="J195" s="8">
        <f>IF(AND(Таблицаx_2[[#This Row],[Месяц окончания]]=Таблицаx_2[[#This Row],[Месяц]],Таблицаx_2[[#This Row],[id]]=A196,EDATE(Таблицаx_2[[#This Row],[Месяц]],1)=D196),F196,0)</f>
        <v>0</v>
      </c>
      <c r="K195" s="8">
        <f>IF(AND(Таблицаx_2[[#This Row],[Месяц окончания]]=Таблицаx_2[[#This Row],[Месяц]],Таблицаx_2[[#This Row],[id]]=A196,EDATE(Таблицаx_2[[#This Row],[Месяц]],2)=D196),F196,0)</f>
        <v>0</v>
      </c>
    </row>
    <row r="196" spans="1:11" ht="12.75" hidden="1" customHeight="1" x14ac:dyDescent="0.2">
      <c r="A196" s="8">
        <v>509</v>
      </c>
      <c r="B196" s="8" t="s">
        <v>47</v>
      </c>
      <c r="C196" s="8" t="s">
        <v>6</v>
      </c>
      <c r="D196" s="12">
        <v>45017</v>
      </c>
      <c r="E196" s="8">
        <v>53700</v>
      </c>
      <c r="F196" s="10">
        <f>IF(ISTEXT(Таблицаx_2[[#This Row],[Значение]]), 0, Таблицаx_2[[#This Row],[Значение]])</f>
        <v>53700</v>
      </c>
      <c r="G196" s="12">
        <v>44927</v>
      </c>
      <c r="H196" s="10" t="str">
        <f>IFERROR(VLOOKUP(Таблицаx_2[[#This Row],[id]],prolongations!A:C,2,)," ")</f>
        <v>январь 2023</v>
      </c>
      <c r="I196" s="10">
        <f>IF(Таблицаx_2[[#This Row],[Месяц окончания]]=Таблицаx_2[[#This Row],[Месяц]],Таблицаx_2[[#This Row],[Значения числа]],0)</f>
        <v>0</v>
      </c>
      <c r="J196" s="8">
        <f>IF(AND(Таблицаx_2[[#This Row],[Месяц окончания]]=Таблицаx_2[[#This Row],[Месяц]],Таблицаx_2[[#This Row],[id]]=A197,EDATE(Таблицаx_2[[#This Row],[Месяц]],1)=D197),F197,0)</f>
        <v>0</v>
      </c>
      <c r="K196" s="8">
        <f>IF(AND(Таблицаx_2[[#This Row],[Месяц окончания]]=Таблицаx_2[[#This Row],[Месяц]],Таблицаx_2[[#This Row],[id]]=A197,EDATE(Таблицаx_2[[#This Row],[Месяц]],2)=D197),F197,0)</f>
        <v>0</v>
      </c>
    </row>
    <row r="197" spans="1:11" ht="12.75" hidden="1" customHeight="1" x14ac:dyDescent="0.2">
      <c r="A197" s="8">
        <v>509</v>
      </c>
      <c r="B197" s="8" t="s">
        <v>47</v>
      </c>
      <c r="C197" s="8" t="s">
        <v>6</v>
      </c>
      <c r="D197" s="12">
        <v>45047</v>
      </c>
      <c r="E197" s="8">
        <v>50120</v>
      </c>
      <c r="F197" s="10">
        <f>IF(ISTEXT(Таблицаx_2[[#This Row],[Значение]]), 0, Таблицаx_2[[#This Row],[Значение]])</f>
        <v>50120</v>
      </c>
      <c r="G197" s="12">
        <v>44927</v>
      </c>
      <c r="H197" s="10" t="str">
        <f>IFERROR(VLOOKUP(Таблицаx_2[[#This Row],[id]],prolongations!A:C,2,)," ")</f>
        <v>январь 2023</v>
      </c>
      <c r="I197" s="10">
        <f>IF(Таблицаx_2[[#This Row],[Месяц окончания]]=Таблицаx_2[[#This Row],[Месяц]],Таблицаx_2[[#This Row],[Значения числа]],0)</f>
        <v>0</v>
      </c>
      <c r="J197" s="8">
        <f>IF(AND(Таблицаx_2[[#This Row],[Месяц окончания]]=Таблицаx_2[[#This Row],[Месяц]],Таблицаx_2[[#This Row],[id]]=A198,EDATE(Таблицаx_2[[#This Row],[Месяц]],1)=D198),F198,0)</f>
        <v>0</v>
      </c>
      <c r="K197" s="8">
        <f>IF(AND(Таблицаx_2[[#This Row],[Месяц окончания]]=Таблицаx_2[[#This Row],[Месяц]],Таблицаx_2[[#This Row],[id]]=A198,EDATE(Таблицаx_2[[#This Row],[Месяц]],2)=D198),F198,0)</f>
        <v>0</v>
      </c>
    </row>
    <row r="198" spans="1:11" ht="12.75" hidden="1" customHeight="1" x14ac:dyDescent="0.2">
      <c r="A198" s="8">
        <v>509</v>
      </c>
      <c r="B198" s="8" t="s">
        <v>47</v>
      </c>
      <c r="C198" s="8" t="s">
        <v>6</v>
      </c>
      <c r="D198" s="12">
        <v>45078</v>
      </c>
      <c r="E198" s="8">
        <v>8055</v>
      </c>
      <c r="F198" s="10">
        <f>IF(ISTEXT(Таблицаx_2[[#This Row],[Значение]]), 0, Таблицаx_2[[#This Row],[Значение]])</f>
        <v>8055</v>
      </c>
      <c r="G198" s="12">
        <v>44927</v>
      </c>
      <c r="H198" s="10" t="str">
        <f>IFERROR(VLOOKUP(Таблицаx_2[[#This Row],[id]],prolongations!A:C,2,)," ")</f>
        <v>январь 2023</v>
      </c>
      <c r="I198" s="10">
        <f>IF(Таблицаx_2[[#This Row],[Месяц окончания]]=Таблицаx_2[[#This Row],[Месяц]],Таблицаx_2[[#This Row],[Значения числа]],0)</f>
        <v>0</v>
      </c>
      <c r="J198" s="8">
        <f>IF(AND(Таблицаx_2[[#This Row],[Месяц окончания]]=Таблицаx_2[[#This Row],[Месяц]],Таблицаx_2[[#This Row],[id]]=A199,EDATE(Таблицаx_2[[#This Row],[Месяц]],1)=D199),F199,0)</f>
        <v>0</v>
      </c>
      <c r="K198" s="8">
        <f>IF(AND(Таблицаx_2[[#This Row],[Месяц окончания]]=Таблицаx_2[[#This Row],[Месяц]],Таблицаx_2[[#This Row],[id]]=A199,EDATE(Таблицаx_2[[#This Row],[Месяц]],2)=D199),F199,0)</f>
        <v>0</v>
      </c>
    </row>
    <row r="199" spans="1:11" ht="12.75" hidden="1" customHeight="1" x14ac:dyDescent="0.2">
      <c r="A199" s="8">
        <v>509</v>
      </c>
      <c r="B199" s="8" t="s">
        <v>47</v>
      </c>
      <c r="C199" s="8" t="s">
        <v>6</v>
      </c>
      <c r="D199" s="12">
        <v>45108</v>
      </c>
      <c r="E199" s="8">
        <v>53700</v>
      </c>
      <c r="F199" s="10">
        <f>IF(ISTEXT(Таблицаx_2[[#This Row],[Значение]]), 0, Таблицаx_2[[#This Row],[Значение]])</f>
        <v>53700</v>
      </c>
      <c r="G199" s="12">
        <v>44927</v>
      </c>
      <c r="H199" s="10" t="str">
        <f>IFERROR(VLOOKUP(Таблицаx_2[[#This Row],[id]],prolongations!A:C,2,)," ")</f>
        <v>январь 2023</v>
      </c>
      <c r="I199" s="10">
        <f>IF(Таблицаx_2[[#This Row],[Месяц окончания]]=Таблицаx_2[[#This Row],[Месяц]],Таблицаx_2[[#This Row],[Значения числа]],0)</f>
        <v>0</v>
      </c>
      <c r="J199" s="8">
        <f>IF(AND(Таблицаx_2[[#This Row],[Месяц окончания]]=Таблицаx_2[[#This Row],[Месяц]],Таблицаx_2[[#This Row],[id]]=A200,EDATE(Таблицаx_2[[#This Row],[Месяц]],1)=D200),F200,0)</f>
        <v>0</v>
      </c>
      <c r="K199" s="8">
        <f>IF(AND(Таблицаx_2[[#This Row],[Месяц окончания]]=Таблицаx_2[[#This Row],[Месяц]],Таблицаx_2[[#This Row],[id]]=A200,EDATE(Таблицаx_2[[#This Row],[Месяц]],2)=D200),F200,0)</f>
        <v>0</v>
      </c>
    </row>
    <row r="200" spans="1:11" ht="12.75" hidden="1" customHeight="1" x14ac:dyDescent="0.2">
      <c r="A200" s="8">
        <v>509</v>
      </c>
      <c r="B200" s="8" t="s">
        <v>47</v>
      </c>
      <c r="C200" s="8" t="s">
        <v>6</v>
      </c>
      <c r="D200" s="12">
        <v>45139</v>
      </c>
      <c r="E200" s="8">
        <v>53700</v>
      </c>
      <c r="F200" s="10">
        <f>IF(ISTEXT(Таблицаx_2[[#This Row],[Значение]]), 0, Таблицаx_2[[#This Row],[Значение]])</f>
        <v>53700</v>
      </c>
      <c r="G200" s="12">
        <v>44927</v>
      </c>
      <c r="H200" s="10" t="str">
        <f>IFERROR(VLOOKUP(Таблицаx_2[[#This Row],[id]],prolongations!A:C,2,)," ")</f>
        <v>январь 2023</v>
      </c>
      <c r="I200" s="10">
        <f>IF(Таблицаx_2[[#This Row],[Месяц окончания]]=Таблицаx_2[[#This Row],[Месяц]],Таблицаx_2[[#This Row],[Значения числа]],0)</f>
        <v>0</v>
      </c>
      <c r="J200" s="8">
        <f>IF(AND(Таблицаx_2[[#This Row],[Месяц окончания]]=Таблицаx_2[[#This Row],[Месяц]],Таблицаx_2[[#This Row],[id]]=A201,EDATE(Таблицаx_2[[#This Row],[Месяц]],1)=D201),F201,0)</f>
        <v>0</v>
      </c>
      <c r="K200" s="8">
        <f>IF(AND(Таблицаx_2[[#This Row],[Месяц окончания]]=Таблицаx_2[[#This Row],[Месяц]],Таблицаx_2[[#This Row],[id]]=A201,EDATE(Таблицаx_2[[#This Row],[Месяц]],2)=D201),F201,0)</f>
        <v>0</v>
      </c>
    </row>
    <row r="201" spans="1:11" ht="12.75" hidden="1" customHeight="1" x14ac:dyDescent="0.2">
      <c r="A201" s="8">
        <v>509</v>
      </c>
      <c r="B201" s="8" t="s">
        <v>47</v>
      </c>
      <c r="C201" s="8" t="s">
        <v>6</v>
      </c>
      <c r="D201" s="12">
        <v>45170</v>
      </c>
      <c r="E201" s="8">
        <v>25060</v>
      </c>
      <c r="F201" s="10">
        <f>IF(ISTEXT(Таблицаx_2[[#This Row],[Значение]]), 0, Таблицаx_2[[#This Row],[Значение]])</f>
        <v>25060</v>
      </c>
      <c r="G201" s="12">
        <v>44927</v>
      </c>
      <c r="H201" s="10" t="str">
        <f>IFERROR(VLOOKUP(Таблицаx_2[[#This Row],[id]],prolongations!A:C,2,)," ")</f>
        <v>январь 2023</v>
      </c>
      <c r="I201" s="10">
        <f>IF(Таблицаx_2[[#This Row],[Месяц окончания]]=Таблицаx_2[[#This Row],[Месяц]],Таблицаx_2[[#This Row],[Значения числа]],0)</f>
        <v>0</v>
      </c>
      <c r="J201" s="8">
        <f>IF(AND(Таблицаx_2[[#This Row],[Месяц окончания]]=Таблицаx_2[[#This Row],[Месяц]],Таблицаx_2[[#This Row],[id]]=A202,EDATE(Таблицаx_2[[#This Row],[Месяц]],1)=D202),F202,0)</f>
        <v>0</v>
      </c>
      <c r="K201" s="8">
        <f>IF(AND(Таблицаx_2[[#This Row],[Месяц окончания]]=Таблицаx_2[[#This Row],[Месяц]],Таблицаx_2[[#This Row],[id]]=A202,EDATE(Таблицаx_2[[#This Row],[Месяц]],2)=D202),F202,0)</f>
        <v>0</v>
      </c>
    </row>
    <row r="202" spans="1:11" ht="12.75" hidden="1" customHeight="1" x14ac:dyDescent="0.2">
      <c r="A202" s="8">
        <v>509</v>
      </c>
      <c r="B202" s="8" t="s">
        <v>47</v>
      </c>
      <c r="C202" s="8" t="s">
        <v>6</v>
      </c>
      <c r="D202" s="12">
        <v>45200</v>
      </c>
      <c r="E202" s="8">
        <v>53700</v>
      </c>
      <c r="F202" s="10">
        <f>IF(ISTEXT(Таблицаx_2[[#This Row],[Значение]]), 0, Таблицаx_2[[#This Row],[Значение]])</f>
        <v>53700</v>
      </c>
      <c r="G202" s="12">
        <v>44927</v>
      </c>
      <c r="H202" s="10" t="str">
        <f>IFERROR(VLOOKUP(Таблицаx_2[[#This Row],[id]],prolongations!A:C,2,)," ")</f>
        <v>январь 2023</v>
      </c>
      <c r="I202" s="10">
        <f>IF(Таблицаx_2[[#This Row],[Месяц окончания]]=Таблицаx_2[[#This Row],[Месяц]],Таблицаx_2[[#This Row],[Значения числа]],0)</f>
        <v>0</v>
      </c>
      <c r="J202" s="8">
        <f>IF(AND(Таблицаx_2[[#This Row],[Месяц окончания]]=Таблицаx_2[[#This Row],[Месяц]],Таблицаx_2[[#This Row],[id]]=A203,EDATE(Таблицаx_2[[#This Row],[Месяц]],1)=D203),F203,0)</f>
        <v>0</v>
      </c>
      <c r="K202" s="8">
        <f>IF(AND(Таблицаx_2[[#This Row],[Месяц окончания]]=Таблицаx_2[[#This Row],[Месяц]],Таблицаx_2[[#This Row],[id]]=A203,EDATE(Таблицаx_2[[#This Row],[Месяц]],2)=D203),F203,0)</f>
        <v>0</v>
      </c>
    </row>
    <row r="203" spans="1:11" ht="12.75" hidden="1" customHeight="1" x14ac:dyDescent="0.2">
      <c r="A203" s="8">
        <v>509</v>
      </c>
      <c r="B203" s="8" t="s">
        <v>47</v>
      </c>
      <c r="C203" s="8" t="s">
        <v>6</v>
      </c>
      <c r="D203" s="12">
        <v>45231</v>
      </c>
      <c r="E203" s="8">
        <v>56385</v>
      </c>
      <c r="F203" s="10">
        <f>IF(ISTEXT(Таблицаx_2[[#This Row],[Значение]]), 0, Таблицаx_2[[#This Row],[Значение]])</f>
        <v>56385</v>
      </c>
      <c r="G203" s="12">
        <v>44927</v>
      </c>
      <c r="H203" s="10" t="str">
        <f>IFERROR(VLOOKUP(Таблицаx_2[[#This Row],[id]],prolongations!A:C,2,)," ")</f>
        <v>январь 2023</v>
      </c>
      <c r="I203" s="10">
        <f>IF(Таблицаx_2[[#This Row],[Месяц окончания]]=Таблицаx_2[[#This Row],[Месяц]],Таблицаx_2[[#This Row],[Значения числа]],0)</f>
        <v>0</v>
      </c>
      <c r="J203" s="8">
        <f>IF(AND(Таблицаx_2[[#This Row],[Месяц окончания]]=Таблицаx_2[[#This Row],[Месяц]],Таблицаx_2[[#This Row],[id]]=A204,EDATE(Таблицаx_2[[#This Row],[Месяц]],1)=D204),F204,0)</f>
        <v>0</v>
      </c>
      <c r="K203" s="8">
        <f>IF(AND(Таблицаx_2[[#This Row],[Месяц окончания]]=Таблицаx_2[[#This Row],[Месяц]],Таблицаx_2[[#This Row],[id]]=A204,EDATE(Таблицаx_2[[#This Row],[Месяц]],2)=D204),F204,0)</f>
        <v>0</v>
      </c>
    </row>
    <row r="204" spans="1:11" ht="12.75" hidden="1" customHeight="1" x14ac:dyDescent="0.2">
      <c r="A204" s="8">
        <v>509</v>
      </c>
      <c r="B204" s="8" t="s">
        <v>47</v>
      </c>
      <c r="C204" s="8" t="s">
        <v>6</v>
      </c>
      <c r="D204" s="12">
        <v>45261</v>
      </c>
      <c r="E204" s="8">
        <v>75180</v>
      </c>
      <c r="F204" s="10">
        <f>IF(ISTEXT(Таблицаx_2[[#This Row],[Значение]]), 0, Таблицаx_2[[#This Row],[Значение]])</f>
        <v>75180</v>
      </c>
      <c r="G204" s="12">
        <v>44927</v>
      </c>
      <c r="H204" s="10" t="str">
        <f>IFERROR(VLOOKUP(Таблицаx_2[[#This Row],[id]],prolongations!A:C,2,)," ")</f>
        <v>январь 2023</v>
      </c>
      <c r="I204" s="10">
        <f>IF(Таблицаx_2[[#This Row],[Месяц окончания]]=Таблицаx_2[[#This Row],[Месяц]],Таблицаx_2[[#This Row],[Значения числа]],0)</f>
        <v>0</v>
      </c>
      <c r="J204" s="8">
        <f>IF(AND(Таблицаx_2[[#This Row],[Месяц окончания]]=Таблицаx_2[[#This Row],[Месяц]],Таблицаx_2[[#This Row],[id]]=A205,EDATE(Таблицаx_2[[#This Row],[Месяц]],1)=D205),F205,0)</f>
        <v>0</v>
      </c>
      <c r="K204" s="8">
        <f>IF(AND(Таблицаx_2[[#This Row],[Месяц окончания]]=Таблицаx_2[[#This Row],[Месяц]],Таблицаx_2[[#This Row],[id]]=A205,EDATE(Таблицаx_2[[#This Row],[Месяц]],2)=D205),F205,0)</f>
        <v>0</v>
      </c>
    </row>
    <row r="205" spans="1:11" ht="12.75" hidden="1" customHeight="1" x14ac:dyDescent="0.2">
      <c r="A205" s="8">
        <v>509</v>
      </c>
      <c r="B205" s="8" t="s">
        <v>47</v>
      </c>
      <c r="C205" s="8" t="s">
        <v>6</v>
      </c>
      <c r="D205" s="12">
        <v>45292</v>
      </c>
      <c r="E205" s="8">
        <v>8950</v>
      </c>
      <c r="F205" s="10">
        <f>IF(ISTEXT(Таблицаx_2[[#This Row],[Значение]]), 0, Таблицаx_2[[#This Row],[Значение]])</f>
        <v>8950</v>
      </c>
      <c r="G205" s="12">
        <v>44927</v>
      </c>
      <c r="H205" s="10" t="str">
        <f>IFERROR(VLOOKUP(Таблицаx_2[[#This Row],[id]],prolongations!A:C,2,)," ")</f>
        <v>январь 2023</v>
      </c>
      <c r="I205" s="10">
        <f>IF(Таблицаx_2[[#This Row],[Месяц окончания]]=Таблицаx_2[[#This Row],[Месяц]],Таблицаx_2[[#This Row],[Значения числа]],0)</f>
        <v>0</v>
      </c>
      <c r="J205" s="8">
        <f>IF(AND(Таблицаx_2[[#This Row],[Месяц окончания]]=Таблицаx_2[[#This Row],[Месяц]],Таблицаx_2[[#This Row],[id]]=A206,EDATE(Таблицаx_2[[#This Row],[Месяц]],1)=D206),F206,0)</f>
        <v>0</v>
      </c>
      <c r="K205" s="8">
        <f>IF(AND(Таблицаx_2[[#This Row],[Месяц окончания]]=Таблицаx_2[[#This Row],[Месяц]],Таблицаx_2[[#This Row],[id]]=A206,EDATE(Таблицаx_2[[#This Row],[Месяц]],2)=D206),F206,0)</f>
        <v>0</v>
      </c>
    </row>
    <row r="206" spans="1:11" ht="12.75" hidden="1" customHeight="1" x14ac:dyDescent="0.2">
      <c r="A206" s="8">
        <v>509</v>
      </c>
      <c r="B206" s="8" t="s">
        <v>47</v>
      </c>
      <c r="C206" s="8" t="s">
        <v>6</v>
      </c>
      <c r="D206" s="12">
        <v>45323</v>
      </c>
      <c r="E206" s="8">
        <v>56385</v>
      </c>
      <c r="F206" s="10">
        <f>IF(ISTEXT(Таблицаx_2[[#This Row],[Значение]]), 0, Таблицаx_2[[#This Row],[Значение]])</f>
        <v>56385</v>
      </c>
      <c r="G206" s="12">
        <v>44927</v>
      </c>
      <c r="H206" s="10" t="str">
        <f>IFERROR(VLOOKUP(Таблицаx_2[[#This Row],[id]],prolongations!A:C,2,)," ")</f>
        <v>январь 2023</v>
      </c>
      <c r="I206" s="10">
        <f>IF(Таблицаx_2[[#This Row],[Месяц окончания]]=Таблицаx_2[[#This Row],[Месяц]],Таблицаx_2[[#This Row],[Значения числа]],0)</f>
        <v>0</v>
      </c>
      <c r="J206" s="8">
        <f>IF(AND(Таблицаx_2[[#This Row],[Месяц окончания]]=Таблицаx_2[[#This Row],[Месяц]],Таблицаx_2[[#This Row],[id]]=A207,EDATE(Таблицаx_2[[#This Row],[Месяц]],1)=D207),F207,0)</f>
        <v>0</v>
      </c>
      <c r="K206" s="8">
        <f>IF(AND(Таблицаx_2[[#This Row],[Месяц окончания]]=Таблицаx_2[[#This Row],[Месяц]],Таблицаx_2[[#This Row],[id]]=A207,EDATE(Таблицаx_2[[#This Row],[Месяц]],2)=D207),F207,0)</f>
        <v>0</v>
      </c>
    </row>
    <row r="207" spans="1:11" ht="12.75" hidden="1" customHeight="1" x14ac:dyDescent="0.2">
      <c r="A207" s="8">
        <v>509</v>
      </c>
      <c r="B207" s="8" t="s">
        <v>50</v>
      </c>
      <c r="C207" s="8" t="s">
        <v>6</v>
      </c>
      <c r="D207" s="12">
        <v>44866</v>
      </c>
      <c r="E207" s="8">
        <v>67485</v>
      </c>
      <c r="F207" s="10">
        <f>IF(ISTEXT(Таблицаx_2[[#This Row],[Значение]]), 0, Таблицаx_2[[#This Row],[Значение]])</f>
        <v>67485</v>
      </c>
      <c r="G207" s="12">
        <v>44927</v>
      </c>
      <c r="H207" s="10" t="str">
        <f>IFERROR(VLOOKUP(Таблицаx_2[[#This Row],[id]],prolongations!A:C,2,)," ")</f>
        <v>январь 2023</v>
      </c>
      <c r="I207" s="10">
        <f>IF(Таблицаx_2[[#This Row],[Месяц окончания]]=Таблицаx_2[[#This Row],[Месяц]],Таблицаx_2[[#This Row],[Значения числа]],0)</f>
        <v>0</v>
      </c>
      <c r="J207" s="8">
        <f>IF(AND(Таблицаx_2[[#This Row],[Месяц окончания]]=Таблицаx_2[[#This Row],[Месяц]],Таблицаx_2[[#This Row],[id]]=A208,EDATE(Таблицаx_2[[#This Row],[Месяц]],1)=D208),F208,0)</f>
        <v>0</v>
      </c>
      <c r="K207" s="8">
        <f>IF(AND(Таблицаx_2[[#This Row],[Месяц окончания]]=Таблицаx_2[[#This Row],[Месяц]],Таблицаx_2[[#This Row],[id]]=A208,EDATE(Таблицаx_2[[#This Row],[Месяц]],2)=D208),F208,0)</f>
        <v>0</v>
      </c>
    </row>
    <row r="208" spans="1:11" ht="12.75" hidden="1" customHeight="1" x14ac:dyDescent="0.2">
      <c r="A208" s="8">
        <v>509</v>
      </c>
      <c r="B208" s="8" t="s">
        <v>50</v>
      </c>
      <c r="C208" s="8" t="s">
        <v>6</v>
      </c>
      <c r="D208" s="12">
        <v>44896</v>
      </c>
      <c r="E208" s="8">
        <v>67485</v>
      </c>
      <c r="F208" s="10">
        <f>IF(ISTEXT(Таблицаx_2[[#This Row],[Значение]]), 0, Таблицаx_2[[#This Row],[Значение]])</f>
        <v>67485</v>
      </c>
      <c r="G208" s="12">
        <v>44927</v>
      </c>
      <c r="H208" s="10" t="str">
        <f>IFERROR(VLOOKUP(Таблицаx_2[[#This Row],[id]],prolongations!A:C,2,)," ")</f>
        <v>январь 2023</v>
      </c>
      <c r="I208" s="10">
        <f>IF(Таблицаx_2[[#This Row],[Месяц окончания]]=Таблицаx_2[[#This Row],[Месяц]],Таблицаx_2[[#This Row],[Значения числа]],0)</f>
        <v>0</v>
      </c>
      <c r="J208" s="8">
        <f>IF(AND(Таблицаx_2[[#This Row],[Месяц окончания]]=Таблицаx_2[[#This Row],[Месяц]],Таблицаx_2[[#This Row],[id]]=A209,EDATE(Таблицаx_2[[#This Row],[Месяц]],1)=D209),F209,0)</f>
        <v>0</v>
      </c>
      <c r="K208" s="8">
        <f>IF(AND(Таблицаx_2[[#This Row],[Месяц окончания]]=Таблицаx_2[[#This Row],[Месяц]],Таблицаx_2[[#This Row],[id]]=A209,EDATE(Таблицаx_2[[#This Row],[Месяц]],2)=D209),F209,0)</f>
        <v>0</v>
      </c>
    </row>
    <row r="209" spans="1:11" ht="12.75" hidden="1" customHeight="1" x14ac:dyDescent="0.2">
      <c r="A209" s="8">
        <v>509</v>
      </c>
      <c r="B209" s="8" t="s">
        <v>50</v>
      </c>
      <c r="C209" s="8" t="s">
        <v>6</v>
      </c>
      <c r="D209" s="12">
        <v>44927</v>
      </c>
      <c r="E209" s="8">
        <v>67485</v>
      </c>
      <c r="F209" s="10">
        <f>IF(ISTEXT(Таблицаx_2[[#This Row],[Значение]]), 0, Таблицаx_2[[#This Row],[Значение]])</f>
        <v>67485</v>
      </c>
      <c r="G209" s="12">
        <v>44927</v>
      </c>
      <c r="H209" s="10" t="str">
        <f>IFERROR(VLOOKUP(Таблицаx_2[[#This Row],[id]],prolongations!A:C,2,)," ")</f>
        <v>январь 2023</v>
      </c>
      <c r="I209" s="10">
        <f>IF(Таблицаx_2[[#This Row],[Месяц окончания]]=Таблицаx_2[[#This Row],[Месяц]],Таблицаx_2[[#This Row],[Значения числа]],0)</f>
        <v>67485</v>
      </c>
      <c r="J209" s="8">
        <f>IF(AND(Таблицаx_2[[#This Row],[Месяц окончания]]=Таблицаx_2[[#This Row],[Месяц]],Таблицаx_2[[#This Row],[id]]=A210,EDATE(Таблицаx_2[[#This Row],[Месяц]],1)=D210),F210,0)</f>
        <v>0</v>
      </c>
      <c r="K209" s="8">
        <f>IF(AND(Таблицаx_2[[#This Row],[Месяц окончания]]=Таблицаx_2[[#This Row],[Месяц]],Таблицаx_2[[#This Row],[id]]=A210,EDATE(Таблицаx_2[[#This Row],[Месяц]],2)=D210),F210,0)</f>
        <v>0</v>
      </c>
    </row>
    <row r="210" spans="1:11" ht="12.75" hidden="1" customHeight="1" x14ac:dyDescent="0.2">
      <c r="A210" s="8">
        <v>687</v>
      </c>
      <c r="B210" s="8"/>
      <c r="C210" s="8" t="s">
        <v>6</v>
      </c>
      <c r="D210" s="12">
        <v>44866</v>
      </c>
      <c r="E210" s="8">
        <v>99783</v>
      </c>
      <c r="F210" s="10">
        <f>IF(ISTEXT(Таблицаx_2[[#This Row],[Значение]]), 0, Таблицаx_2[[#This Row],[Значение]])</f>
        <v>99783</v>
      </c>
      <c r="G210" s="12">
        <v>44927</v>
      </c>
      <c r="H210" s="10" t="str">
        <f>IFERROR(VLOOKUP(Таблицаx_2[[#This Row],[id]],prolongations!A:C,2,)," ")</f>
        <v>январь 2023</v>
      </c>
      <c r="I210" s="10">
        <f>IF(Таблицаx_2[[#This Row],[Месяц окончания]]=Таблицаx_2[[#This Row],[Месяц]],Таблицаx_2[[#This Row],[Значения числа]],0)</f>
        <v>0</v>
      </c>
      <c r="J210" s="8">
        <f>IF(AND(Таблицаx_2[[#This Row],[Месяц окончания]]=Таблицаx_2[[#This Row],[Месяц]],Таблицаx_2[[#This Row],[id]]=A211,EDATE(Таблицаx_2[[#This Row],[Месяц]],1)=D211),F211,0)</f>
        <v>0</v>
      </c>
      <c r="K210" s="8">
        <f>IF(AND(Таблицаx_2[[#This Row],[Месяц окончания]]=Таблицаx_2[[#This Row],[Месяц]],Таблицаx_2[[#This Row],[id]]=A211,EDATE(Таблицаx_2[[#This Row],[Месяц]],2)=D211),F211,0)</f>
        <v>0</v>
      </c>
    </row>
    <row r="211" spans="1:11" ht="12.75" hidden="1" customHeight="1" x14ac:dyDescent="0.2">
      <c r="A211" s="8">
        <v>687</v>
      </c>
      <c r="B211" s="8"/>
      <c r="C211" s="8" t="s">
        <v>6</v>
      </c>
      <c r="D211" s="12">
        <v>44896</v>
      </c>
      <c r="E211" s="8">
        <v>99958.5</v>
      </c>
      <c r="F211" s="10">
        <f>IF(ISTEXT(Таблицаx_2[[#This Row],[Значение]]), 0, Таблицаx_2[[#This Row],[Значение]])</f>
        <v>99958.5</v>
      </c>
      <c r="G211" s="12">
        <v>44927</v>
      </c>
      <c r="H211" s="10" t="str">
        <f>IFERROR(VLOOKUP(Таблицаx_2[[#This Row],[id]],prolongations!A:C,2,)," ")</f>
        <v>январь 2023</v>
      </c>
      <c r="I211" s="10">
        <f>IF(Таблицаx_2[[#This Row],[Месяц окончания]]=Таблицаx_2[[#This Row],[Месяц]],Таблицаx_2[[#This Row],[Значения числа]],0)</f>
        <v>0</v>
      </c>
      <c r="J211" s="8">
        <f>IF(AND(Таблицаx_2[[#This Row],[Месяц окончания]]=Таблицаx_2[[#This Row],[Месяц]],Таблицаx_2[[#This Row],[id]]=A212,EDATE(Таблицаx_2[[#This Row],[Месяц]],1)=D212),F212,0)</f>
        <v>0</v>
      </c>
      <c r="K211" s="8">
        <f>IF(AND(Таблицаx_2[[#This Row],[Месяц окончания]]=Таблицаx_2[[#This Row],[Месяц]],Таблицаx_2[[#This Row],[id]]=A212,EDATE(Таблицаx_2[[#This Row],[Месяц]],2)=D212),F212,0)</f>
        <v>0</v>
      </c>
    </row>
    <row r="212" spans="1:11" ht="12.75" hidden="1" customHeight="1" x14ac:dyDescent="0.2">
      <c r="A212" s="8">
        <v>687</v>
      </c>
      <c r="B212" s="8"/>
      <c r="C212" s="8" t="s">
        <v>6</v>
      </c>
      <c r="D212" s="12">
        <v>44927</v>
      </c>
      <c r="E212" s="8">
        <v>99958.5</v>
      </c>
      <c r="F212" s="10">
        <f>IF(ISTEXT(Таблицаx_2[[#This Row],[Значение]]), 0, Таблицаx_2[[#This Row],[Значение]])</f>
        <v>99958.5</v>
      </c>
      <c r="G212" s="12">
        <v>44927</v>
      </c>
      <c r="H212" s="10" t="str">
        <f>IFERROR(VLOOKUP(Таблицаx_2[[#This Row],[id]],prolongations!A:C,2,)," ")</f>
        <v>январь 2023</v>
      </c>
      <c r="I212" s="10">
        <f>IF(Таблицаx_2[[#This Row],[Месяц окончания]]=Таблицаx_2[[#This Row],[Месяц]],Таблицаx_2[[#This Row],[Значения числа]],0)</f>
        <v>99958.5</v>
      </c>
      <c r="J212" s="8">
        <f>IF(AND(Таблицаx_2[[#This Row],[Месяц окончания]]=Таблицаx_2[[#This Row],[Месяц]],Таблицаx_2[[#This Row],[id]]=A213,EDATE(Таблицаx_2[[#This Row],[Месяц]],1)=D213),F213,0)</f>
        <v>0</v>
      </c>
      <c r="K212" s="8">
        <f>IF(AND(Таблицаx_2[[#This Row],[Месяц окончания]]=Таблицаx_2[[#This Row],[Месяц]],Таблицаx_2[[#This Row],[id]]=A213,EDATE(Таблицаx_2[[#This Row],[Месяц]],2)=D213),F213,0)</f>
        <v>0</v>
      </c>
    </row>
    <row r="213" spans="1:11" ht="12.75" hidden="1" customHeight="1" x14ac:dyDescent="0.2">
      <c r="A213" s="8">
        <v>230</v>
      </c>
      <c r="B213" s="8" t="s">
        <v>45</v>
      </c>
      <c r="C213" s="8" t="s">
        <v>6</v>
      </c>
      <c r="D213" s="12">
        <v>44866</v>
      </c>
      <c r="E213" s="8">
        <v>40745</v>
      </c>
      <c r="F213" s="10">
        <f>IF(ISTEXT(Таблицаx_2[[#This Row],[Значение]]), 0, Таблицаx_2[[#This Row],[Значение]])</f>
        <v>40745</v>
      </c>
      <c r="G213" s="12">
        <v>44927</v>
      </c>
      <c r="H213" s="10" t="str">
        <f>IFERROR(VLOOKUP(Таблицаx_2[[#This Row],[id]],prolongations!A:C,2,)," ")</f>
        <v>январь 2023</v>
      </c>
      <c r="I213" s="10">
        <f>IF(Таблицаx_2[[#This Row],[Месяц окончания]]=Таблицаx_2[[#This Row],[Месяц]],Таблицаx_2[[#This Row],[Значения числа]],0)</f>
        <v>0</v>
      </c>
      <c r="J213" s="8">
        <f>IF(AND(Таблицаx_2[[#This Row],[Месяц окончания]]=Таблицаx_2[[#This Row],[Месяц]],Таблицаx_2[[#This Row],[id]]=A214,EDATE(Таблицаx_2[[#This Row],[Месяц]],1)=D214),F214,0)</f>
        <v>0</v>
      </c>
      <c r="K213" s="8">
        <f>IF(AND(Таблицаx_2[[#This Row],[Месяц окончания]]=Таблицаx_2[[#This Row],[Месяц]],Таблицаx_2[[#This Row],[id]]=A214,EDATE(Таблицаx_2[[#This Row],[Месяц]],2)=D214),F214,0)</f>
        <v>0</v>
      </c>
    </row>
    <row r="214" spans="1:11" ht="12.75" hidden="1" customHeight="1" x14ac:dyDescent="0.2">
      <c r="A214" s="8">
        <v>230</v>
      </c>
      <c r="B214" s="8" t="s">
        <v>45</v>
      </c>
      <c r="C214" s="8" t="s">
        <v>6</v>
      </c>
      <c r="D214" s="12">
        <v>44896</v>
      </c>
      <c r="E214" s="8">
        <v>40745</v>
      </c>
      <c r="F214" s="10">
        <f>IF(ISTEXT(Таблицаx_2[[#This Row],[Значение]]), 0, Таблицаx_2[[#This Row],[Значение]])</f>
        <v>40745</v>
      </c>
      <c r="G214" s="12">
        <v>44927</v>
      </c>
      <c r="H214" s="10" t="str">
        <f>IFERROR(VLOOKUP(Таблицаx_2[[#This Row],[id]],prolongations!A:C,2,)," ")</f>
        <v>январь 2023</v>
      </c>
      <c r="I214" s="10">
        <f>IF(Таблицаx_2[[#This Row],[Месяц окончания]]=Таблицаx_2[[#This Row],[Месяц]],Таблицаx_2[[#This Row],[Значения числа]],0)</f>
        <v>0</v>
      </c>
      <c r="J214" s="8">
        <f>IF(AND(Таблицаx_2[[#This Row],[Месяц окончания]]=Таблицаx_2[[#This Row],[Месяц]],Таблицаx_2[[#This Row],[id]]=A215,EDATE(Таблицаx_2[[#This Row],[Месяц]],1)=D215),F215,0)</f>
        <v>0</v>
      </c>
      <c r="K214" s="8">
        <f>IF(AND(Таблицаx_2[[#This Row],[Месяц окончания]]=Таблицаx_2[[#This Row],[Месяц]],Таблицаx_2[[#This Row],[id]]=A215,EDATE(Таблицаx_2[[#This Row],[Месяц]],2)=D215),F215,0)</f>
        <v>0</v>
      </c>
    </row>
    <row r="215" spans="1:11" ht="12.75" hidden="1" customHeight="1" x14ac:dyDescent="0.2">
      <c r="A215" s="8">
        <v>230</v>
      </c>
      <c r="B215" s="8" t="s">
        <v>47</v>
      </c>
      <c r="C215" s="8" t="s">
        <v>6</v>
      </c>
      <c r="D215" s="12">
        <v>44866</v>
      </c>
      <c r="E215" s="8">
        <v>17325</v>
      </c>
      <c r="F215" s="10">
        <f>IF(ISTEXT(Таблицаx_2[[#This Row],[Значение]]), 0, Таблицаx_2[[#This Row],[Значение]])</f>
        <v>17325</v>
      </c>
      <c r="G215" s="12">
        <v>44927</v>
      </c>
      <c r="H215" s="10" t="str">
        <f>IFERROR(VLOOKUP(Таблицаx_2[[#This Row],[id]],prolongations!A:C,2,)," ")</f>
        <v>январь 2023</v>
      </c>
      <c r="I215" s="10">
        <f>IF(Таблицаx_2[[#This Row],[Месяц окончания]]=Таблицаx_2[[#This Row],[Месяц]],Таблицаx_2[[#This Row],[Значения числа]],0)</f>
        <v>0</v>
      </c>
      <c r="J215" s="8">
        <f>IF(AND(Таблицаx_2[[#This Row],[Месяц окончания]]=Таблицаx_2[[#This Row],[Месяц]],Таблицаx_2[[#This Row],[id]]=A216,EDATE(Таблицаx_2[[#This Row],[Месяц]],1)=D216),F216,0)</f>
        <v>0</v>
      </c>
      <c r="K215" s="8">
        <f>IF(AND(Таблицаx_2[[#This Row],[Месяц окончания]]=Таблицаx_2[[#This Row],[Месяц]],Таблицаx_2[[#This Row],[id]]=A216,EDATE(Таблицаx_2[[#This Row],[Месяц]],2)=D216),F216,0)</f>
        <v>0</v>
      </c>
    </row>
    <row r="216" spans="1:11" ht="12.75" hidden="1" customHeight="1" x14ac:dyDescent="0.2">
      <c r="A216" s="8">
        <v>230</v>
      </c>
      <c r="B216" s="8" t="s">
        <v>47</v>
      </c>
      <c r="C216" s="8" t="s">
        <v>6</v>
      </c>
      <c r="D216" s="12">
        <v>44896</v>
      </c>
      <c r="E216" s="8">
        <v>21480</v>
      </c>
      <c r="F216" s="10">
        <f>IF(ISTEXT(Таблицаx_2[[#This Row],[Значение]]), 0, Таблицаx_2[[#This Row],[Значение]])</f>
        <v>21480</v>
      </c>
      <c r="G216" s="12">
        <v>44927</v>
      </c>
      <c r="H216" s="10" t="str">
        <f>IFERROR(VLOOKUP(Таблицаx_2[[#This Row],[id]],prolongations!A:C,2,)," ")</f>
        <v>январь 2023</v>
      </c>
      <c r="I216" s="10">
        <f>IF(Таблицаx_2[[#This Row],[Месяц окончания]]=Таблицаx_2[[#This Row],[Месяц]],Таблицаx_2[[#This Row],[Значения числа]],0)</f>
        <v>0</v>
      </c>
      <c r="J216" s="8">
        <f>IF(AND(Таблицаx_2[[#This Row],[Месяц окончания]]=Таблицаx_2[[#This Row],[Месяц]],Таблицаx_2[[#This Row],[id]]=A217,EDATE(Таблицаx_2[[#This Row],[Месяц]],1)=D217),F217,0)</f>
        <v>0</v>
      </c>
      <c r="K216" s="8">
        <f>IF(AND(Таблицаx_2[[#This Row],[Месяц окончания]]=Таблицаx_2[[#This Row],[Месяц]],Таблицаx_2[[#This Row],[id]]=A217,EDATE(Таблицаx_2[[#This Row],[Месяц]],2)=D217),F217,0)</f>
        <v>0</v>
      </c>
    </row>
    <row r="217" spans="1:11" hidden="1" x14ac:dyDescent="0.2">
      <c r="A217" s="8">
        <v>703</v>
      </c>
      <c r="B217" s="8"/>
      <c r="C217" s="8" t="s">
        <v>4</v>
      </c>
      <c r="D217" s="12">
        <v>44896</v>
      </c>
      <c r="E217" s="8">
        <v>72900</v>
      </c>
      <c r="F217" s="10">
        <f>IF(ISTEXT(Таблицаx_2[[#This Row],[Значение]]), 0, Таблицаx_2[[#This Row],[Значение]])</f>
        <v>72900</v>
      </c>
      <c r="G217" s="12">
        <v>44896</v>
      </c>
      <c r="H217" s="10" t="str">
        <f>IFERROR(VLOOKUP(Таблицаx_2[[#This Row],[id]],prolongations!A:C,2,)," ")</f>
        <v>декабрь 2022</v>
      </c>
      <c r="I217" s="10">
        <f>IF(Таблицаx_2[[#This Row],[Месяц окончания]]=Таблицаx_2[[#This Row],[Месяц]],Таблицаx_2[[#This Row],[Значения числа]],0)</f>
        <v>72900</v>
      </c>
      <c r="J217" s="8">
        <f>IF(AND(Таблицаx_2[[#This Row],[Месяц окончания]]=Таблицаx_2[[#This Row],[Месяц]],Таблицаx_2[[#This Row],[id]]=A218,EDATE(Таблицаx_2[[#This Row],[Месяц]],1)=D218),F218,0)</f>
        <v>60900</v>
      </c>
      <c r="K217" s="8">
        <f>IF(AND(Таблицаx_2[[#This Row],[Месяц окончания]]=Таблицаx_2[[#This Row],[Месяц]],Таблицаx_2[[#This Row],[id]]=A218,EDATE(Таблицаx_2[[#This Row],[Месяц]],2)=D218),F218,0)</f>
        <v>0</v>
      </c>
    </row>
    <row r="218" spans="1:11" ht="12.75" hidden="1" customHeight="1" x14ac:dyDescent="0.2">
      <c r="A218" s="8">
        <v>703</v>
      </c>
      <c r="B218" s="8"/>
      <c r="C218" s="8" t="s">
        <v>4</v>
      </c>
      <c r="D218" s="12">
        <v>44927</v>
      </c>
      <c r="E218" s="8">
        <v>60900</v>
      </c>
      <c r="F218" s="10">
        <f>IF(ISTEXT(Таблицаx_2[[#This Row],[Значение]]), 0, Таблицаx_2[[#This Row],[Значение]])</f>
        <v>60900</v>
      </c>
      <c r="G218" s="12">
        <v>44896</v>
      </c>
      <c r="H218" s="10" t="str">
        <f>IFERROR(VLOOKUP(Таблицаx_2[[#This Row],[id]],prolongations!A:C,2,)," ")</f>
        <v>декабрь 2022</v>
      </c>
      <c r="I218" s="10">
        <f>IF(Таблицаx_2[[#This Row],[Месяц окончания]]=Таблицаx_2[[#This Row],[Месяц]],Таблицаx_2[[#This Row],[Значения числа]],0)</f>
        <v>0</v>
      </c>
      <c r="J218" s="8">
        <f>IF(AND(Таблицаx_2[[#This Row],[Месяц окончания]]=Таблицаx_2[[#This Row],[Месяц]],Таблицаx_2[[#This Row],[id]]=A219,EDATE(Таблицаx_2[[#This Row],[Месяц]],1)=D219),F219,0)</f>
        <v>0</v>
      </c>
      <c r="K218" s="8">
        <f>IF(AND(Таблицаx_2[[#This Row],[Месяц окончания]]=Таблицаx_2[[#This Row],[Месяц]],Таблицаx_2[[#This Row],[id]]=A219,EDATE(Таблицаx_2[[#This Row],[Месяц]],2)=D219),F219,0)</f>
        <v>0</v>
      </c>
    </row>
    <row r="219" spans="1:11" ht="12.75" hidden="1" customHeight="1" x14ac:dyDescent="0.2">
      <c r="A219" s="8">
        <v>529</v>
      </c>
      <c r="B219" s="8" t="s">
        <v>49</v>
      </c>
      <c r="C219" s="8" t="s">
        <v>4</v>
      </c>
      <c r="D219" s="12">
        <v>44866</v>
      </c>
      <c r="E219" s="8">
        <v>75310</v>
      </c>
      <c r="F219" s="10">
        <f>IF(ISTEXT(Таблицаx_2[[#This Row],[Значение]]), 0, Таблицаx_2[[#This Row],[Значение]])</f>
        <v>75310</v>
      </c>
      <c r="G219" s="12">
        <v>44958</v>
      </c>
      <c r="H219" s="10" t="str">
        <f>IFERROR(VLOOKUP(Таблицаx_2[[#This Row],[id]],prolongations!A:C,2,)," ")</f>
        <v>февраль 2023</v>
      </c>
      <c r="I219" s="10">
        <f>IF(Таблицаx_2[[#This Row],[Месяц окончания]]=Таблицаx_2[[#This Row],[Месяц]],Таблицаx_2[[#This Row],[Значения числа]],0)</f>
        <v>0</v>
      </c>
      <c r="J219" s="8">
        <f>IF(AND(Таблицаx_2[[#This Row],[Месяц окончания]]=Таблицаx_2[[#This Row],[Месяц]],Таблицаx_2[[#This Row],[id]]=A220,EDATE(Таблицаx_2[[#This Row],[Месяц]],1)=D220),F220,0)</f>
        <v>0</v>
      </c>
      <c r="K219" s="8">
        <f>IF(AND(Таблицаx_2[[#This Row],[Месяц окончания]]=Таблицаx_2[[#This Row],[Месяц]],Таблицаx_2[[#This Row],[id]]=A220,EDATE(Таблицаx_2[[#This Row],[Месяц]],2)=D220),F220,0)</f>
        <v>0</v>
      </c>
    </row>
    <row r="220" spans="1:11" ht="12.75" hidden="1" customHeight="1" x14ac:dyDescent="0.2">
      <c r="A220" s="8">
        <v>529</v>
      </c>
      <c r="B220" s="8" t="s">
        <v>49</v>
      </c>
      <c r="C220" s="8" t="s">
        <v>4</v>
      </c>
      <c r="D220" s="12">
        <v>44896</v>
      </c>
      <c r="E220" s="8">
        <v>71060</v>
      </c>
      <c r="F220" s="10">
        <f>IF(ISTEXT(Таблицаx_2[[#This Row],[Значение]]), 0, Таблицаx_2[[#This Row],[Значение]])</f>
        <v>71060</v>
      </c>
      <c r="G220" s="12">
        <v>44958</v>
      </c>
      <c r="H220" s="10" t="str">
        <f>IFERROR(VLOOKUP(Таблицаx_2[[#This Row],[id]],prolongations!A:C,2,)," ")</f>
        <v>февраль 2023</v>
      </c>
      <c r="I220" s="10">
        <f>IF(Таблицаx_2[[#This Row],[Месяц окончания]]=Таблицаx_2[[#This Row],[Месяц]],Таблицаx_2[[#This Row],[Значения числа]],0)</f>
        <v>0</v>
      </c>
      <c r="J220" s="8">
        <f>IF(AND(Таблицаx_2[[#This Row],[Месяц окончания]]=Таблицаx_2[[#This Row],[Месяц]],Таблицаx_2[[#This Row],[id]]=A221,EDATE(Таблицаx_2[[#This Row],[Месяц]],1)=D221),F221,0)</f>
        <v>0</v>
      </c>
      <c r="K220" s="8">
        <f>IF(AND(Таблицаx_2[[#This Row],[Месяц окончания]]=Таблицаx_2[[#This Row],[Месяц]],Таблицаx_2[[#This Row],[id]]=A221,EDATE(Таблицаx_2[[#This Row],[Месяц]],2)=D221),F221,0)</f>
        <v>0</v>
      </c>
    </row>
    <row r="221" spans="1:11" ht="12.75" hidden="1" customHeight="1" x14ac:dyDescent="0.2">
      <c r="A221" s="8">
        <v>529</v>
      </c>
      <c r="B221" s="8" t="s">
        <v>49</v>
      </c>
      <c r="C221" s="8" t="s">
        <v>4</v>
      </c>
      <c r="D221" s="12">
        <v>44927</v>
      </c>
      <c r="E221" s="8">
        <v>71060</v>
      </c>
      <c r="F221" s="10">
        <f>IF(ISTEXT(Таблицаx_2[[#This Row],[Значение]]), 0, Таблицаx_2[[#This Row],[Значение]])</f>
        <v>71060</v>
      </c>
      <c r="G221" s="12">
        <v>44958</v>
      </c>
      <c r="H221" s="10" t="str">
        <f>IFERROR(VLOOKUP(Таблицаx_2[[#This Row],[id]],prolongations!A:C,2,)," ")</f>
        <v>февраль 2023</v>
      </c>
      <c r="I221" s="10">
        <f>IF(Таблицаx_2[[#This Row],[Месяц окончания]]=Таблицаx_2[[#This Row],[Месяц]],Таблицаx_2[[#This Row],[Значения числа]],0)</f>
        <v>0</v>
      </c>
      <c r="J221" s="8">
        <f>IF(AND(Таблицаx_2[[#This Row],[Месяц окончания]]=Таблицаx_2[[#This Row],[Месяц]],Таблицаx_2[[#This Row],[id]]=A222,EDATE(Таблицаx_2[[#This Row],[Месяц]],1)=D222),F222,0)</f>
        <v>0</v>
      </c>
      <c r="K221" s="8">
        <f>IF(AND(Таблицаx_2[[#This Row],[Месяц окончания]]=Таблицаx_2[[#This Row],[Месяц]],Таблицаx_2[[#This Row],[id]]=A222,EDATE(Таблицаx_2[[#This Row],[Месяц]],2)=D222),F222,0)</f>
        <v>0</v>
      </c>
    </row>
    <row r="222" spans="1:11" ht="12.75" hidden="1" customHeight="1" x14ac:dyDescent="0.2">
      <c r="A222" s="8">
        <v>529</v>
      </c>
      <c r="B222" s="8" t="s">
        <v>49</v>
      </c>
      <c r="C222" s="8" t="s">
        <v>4</v>
      </c>
      <c r="D222" s="12">
        <v>44958</v>
      </c>
      <c r="E222" s="8">
        <v>76500</v>
      </c>
      <c r="F222" s="10">
        <f>IF(ISTEXT(Таблицаx_2[[#This Row],[Значение]]), 0, Таблицаx_2[[#This Row],[Значение]])</f>
        <v>76500</v>
      </c>
      <c r="G222" s="12">
        <v>44958</v>
      </c>
      <c r="H222" s="10" t="str">
        <f>IFERROR(VLOOKUP(Таблицаx_2[[#This Row],[id]],prolongations!A:C,2,)," ")</f>
        <v>февраль 2023</v>
      </c>
      <c r="I222" s="10">
        <f>IF(Таблицаx_2[[#This Row],[Месяц окончания]]=Таблицаx_2[[#This Row],[Месяц]],Таблицаx_2[[#This Row],[Значения числа]],0)</f>
        <v>76500</v>
      </c>
      <c r="J222" s="8">
        <f>IF(AND(Таблицаx_2[[#This Row],[Месяц окончания]]=Таблицаx_2[[#This Row],[Месяц]],Таблицаx_2[[#This Row],[id]]=A223,EDATE(Таблицаx_2[[#This Row],[Месяц]],1)=D223),F223,0)</f>
        <v>0</v>
      </c>
      <c r="K222" s="8">
        <f>IF(AND(Таблицаx_2[[#This Row],[Месяц окончания]]=Таблицаx_2[[#This Row],[Месяц]],Таблицаx_2[[#This Row],[id]]=A223,EDATE(Таблицаx_2[[#This Row],[Месяц]],2)=D223),F223,0)</f>
        <v>0</v>
      </c>
    </row>
    <row r="223" spans="1:11" ht="12.75" hidden="1" customHeight="1" x14ac:dyDescent="0.2">
      <c r="A223" s="8">
        <v>453</v>
      </c>
      <c r="B223" s="8"/>
      <c r="C223" s="8" t="s">
        <v>4</v>
      </c>
      <c r="D223" s="12">
        <v>44866</v>
      </c>
      <c r="E223" s="8" t="s">
        <v>48</v>
      </c>
      <c r="F223" s="10">
        <f>IF(ISTEXT(Таблицаx_2[[#This Row],[Значение]]), 0, Таблицаx_2[[#This Row],[Значение]])</f>
        <v>0</v>
      </c>
      <c r="G223" s="12">
        <v>44866</v>
      </c>
      <c r="H223" s="10" t="str">
        <f>IFERROR(VLOOKUP(Таблицаx_2[[#This Row],[id]],prolongations!A:C,2,)," ")</f>
        <v>ноябрь 2022</v>
      </c>
      <c r="I223" s="10">
        <f>IF(Таблицаx_2[[#This Row],[Месяц окончания]]=Таблицаx_2[[#This Row],[Месяц]],Таблицаx_2[[#This Row],[Значения числа]],0)</f>
        <v>0</v>
      </c>
      <c r="J223" s="8">
        <f>IF(AND(Таблицаx_2[[#This Row],[Месяц окончания]]=Таблицаx_2[[#This Row],[Месяц]],Таблицаx_2[[#This Row],[id]]=A224,EDATE(Таблицаx_2[[#This Row],[Месяц]],1)=D224),F224,0)</f>
        <v>39245</v>
      </c>
      <c r="K223" s="8">
        <f>IF(AND(Таблицаx_2[[#This Row],[Месяц окончания]]=Таблицаx_2[[#This Row],[Месяц]],Таблицаx_2[[#This Row],[id]]=A224,EDATE(Таблицаx_2[[#This Row],[Месяц]],2)=D224),F224,0)</f>
        <v>0</v>
      </c>
    </row>
    <row r="224" spans="1:11" ht="12.75" hidden="1" customHeight="1" x14ac:dyDescent="0.2">
      <c r="A224" s="8">
        <v>453</v>
      </c>
      <c r="B224" s="8"/>
      <c r="C224" s="8" t="s">
        <v>4</v>
      </c>
      <c r="D224" s="12">
        <v>44896</v>
      </c>
      <c r="E224" s="8">
        <v>39245</v>
      </c>
      <c r="F224" s="10">
        <f>IF(ISTEXT(Таблицаx_2[[#This Row],[Значение]]), 0, Таблицаx_2[[#This Row],[Значение]])</f>
        <v>39245</v>
      </c>
      <c r="G224" s="12">
        <v>44866</v>
      </c>
      <c r="H224" s="10" t="str">
        <f>IFERROR(VLOOKUP(Таблицаx_2[[#This Row],[id]],prolongations!A:C,2,)," ")</f>
        <v>ноябрь 2022</v>
      </c>
      <c r="I224" s="10">
        <f>IF(Таблицаx_2[[#This Row],[Месяц окончания]]=Таблицаx_2[[#This Row],[Месяц]],Таблицаx_2[[#This Row],[Значения числа]],0)</f>
        <v>0</v>
      </c>
      <c r="J224" s="8">
        <f>IF(AND(Таблицаx_2[[#This Row],[Месяц окончания]]=Таблицаx_2[[#This Row],[Месяц]],Таблицаx_2[[#This Row],[id]]=A225,EDATE(Таблицаx_2[[#This Row],[Месяц]],1)=D225),F225,0)</f>
        <v>0</v>
      </c>
      <c r="K224" s="8">
        <f>IF(AND(Таблицаx_2[[#This Row],[Месяц окончания]]=Таблицаx_2[[#This Row],[Месяц]],Таблицаx_2[[#This Row],[id]]=A225,EDATE(Таблицаx_2[[#This Row],[Месяц]],2)=D225),F225,0)</f>
        <v>0</v>
      </c>
    </row>
    <row r="225" spans="1:11" ht="12.75" hidden="1" customHeight="1" x14ac:dyDescent="0.2">
      <c r="A225" s="8">
        <v>453</v>
      </c>
      <c r="B225" s="8"/>
      <c r="C225" s="8" t="s">
        <v>4</v>
      </c>
      <c r="D225" s="12">
        <v>44927</v>
      </c>
      <c r="E225" s="8">
        <v>44320</v>
      </c>
      <c r="F225" s="10">
        <f>IF(ISTEXT(Таблицаx_2[[#This Row],[Значение]]), 0, Таблицаx_2[[#This Row],[Значение]])</f>
        <v>44320</v>
      </c>
      <c r="G225" s="12">
        <v>44866</v>
      </c>
      <c r="H225" s="10" t="str">
        <f>IFERROR(VLOOKUP(Таблицаx_2[[#This Row],[id]],prolongations!A:C,2,)," ")</f>
        <v>ноябрь 2022</v>
      </c>
      <c r="I225" s="10">
        <f>IF(Таблицаx_2[[#This Row],[Месяц окончания]]=Таблицаx_2[[#This Row],[Месяц]],Таблицаx_2[[#This Row],[Значения числа]],0)</f>
        <v>0</v>
      </c>
      <c r="J225" s="8">
        <f>IF(AND(Таблицаx_2[[#This Row],[Месяц окончания]]=Таблицаx_2[[#This Row],[Месяц]],Таблицаx_2[[#This Row],[id]]=A226,EDATE(Таблицаx_2[[#This Row],[Месяц]],1)=D226),F226,0)</f>
        <v>0</v>
      </c>
      <c r="K225" s="8">
        <f>IF(AND(Таблицаx_2[[#This Row],[Месяц окончания]]=Таблицаx_2[[#This Row],[Месяц]],Таблицаx_2[[#This Row],[id]]=A226,EDATE(Таблицаx_2[[#This Row],[Месяц]],2)=D226),F226,0)</f>
        <v>0</v>
      </c>
    </row>
    <row r="226" spans="1:11" ht="12.75" hidden="1" customHeight="1" x14ac:dyDescent="0.2">
      <c r="A226" s="8">
        <v>453</v>
      </c>
      <c r="B226" s="8"/>
      <c r="C226" s="8" t="s">
        <v>4</v>
      </c>
      <c r="D226" s="12">
        <v>44958</v>
      </c>
      <c r="E226" s="8">
        <v>177635</v>
      </c>
      <c r="F226" s="10">
        <f>IF(ISTEXT(Таблицаx_2[[#This Row],[Значение]]), 0, Таблицаx_2[[#This Row],[Значение]])</f>
        <v>177635</v>
      </c>
      <c r="G226" s="12">
        <v>44866</v>
      </c>
      <c r="H226" s="10" t="str">
        <f>IFERROR(VLOOKUP(Таблицаx_2[[#This Row],[id]],prolongations!A:C,2,)," ")</f>
        <v>ноябрь 2022</v>
      </c>
      <c r="I226" s="10">
        <f>IF(Таблицаx_2[[#This Row],[Месяц окончания]]=Таблицаx_2[[#This Row],[Месяц]],Таблицаx_2[[#This Row],[Значения числа]],0)</f>
        <v>0</v>
      </c>
      <c r="J226" s="8">
        <f>IF(AND(Таблицаx_2[[#This Row],[Месяц окончания]]=Таблицаx_2[[#This Row],[Месяц]],Таблицаx_2[[#This Row],[id]]=A227,EDATE(Таблицаx_2[[#This Row],[Месяц]],1)=D227),F227,0)</f>
        <v>0</v>
      </c>
      <c r="K226" s="8">
        <f>IF(AND(Таблицаx_2[[#This Row],[Месяц окончания]]=Таблицаx_2[[#This Row],[Месяц]],Таблицаx_2[[#This Row],[id]]=A227,EDATE(Таблицаx_2[[#This Row],[Месяц]],2)=D227),F227,0)</f>
        <v>0</v>
      </c>
    </row>
    <row r="227" spans="1:11" ht="12.75" hidden="1" customHeight="1" x14ac:dyDescent="0.2">
      <c r="A227" s="8">
        <v>429</v>
      </c>
      <c r="B227" s="8"/>
      <c r="C227" s="8" t="s">
        <v>6</v>
      </c>
      <c r="D227" s="12">
        <v>44866</v>
      </c>
      <c r="E227" s="8">
        <v>30280</v>
      </c>
      <c r="F227" s="10">
        <f>IF(ISTEXT(Таблицаx_2[[#This Row],[Значение]]), 0, Таблицаx_2[[#This Row],[Значение]])</f>
        <v>30280</v>
      </c>
      <c r="G227" s="12">
        <v>44866</v>
      </c>
      <c r="H227" s="10" t="str">
        <f>IFERROR(VLOOKUP(Таблицаx_2[[#This Row],[id]],prolongations!A:C,2,)," ")</f>
        <v>ноябрь 2022</v>
      </c>
      <c r="I227" s="10">
        <f>IF(Таблицаx_2[[#This Row],[Месяц окончания]]=Таблицаx_2[[#This Row],[Месяц]],Таблицаx_2[[#This Row],[Значения числа]],0)</f>
        <v>30280</v>
      </c>
      <c r="J227" s="8">
        <f>IF(AND(Таблицаx_2[[#This Row],[Месяц окончания]]=Таблицаx_2[[#This Row],[Месяц]],Таблицаx_2[[#This Row],[id]]=A228,EDATE(Таблицаx_2[[#This Row],[Месяц]],1)=D228),F228,0)</f>
        <v>35580</v>
      </c>
      <c r="K227" s="8">
        <f>IF(AND(Таблицаx_2[[#This Row],[Месяц окончания]]=Таблицаx_2[[#This Row],[Месяц]],Таблицаx_2[[#This Row],[id]]=A228,EDATE(Таблицаx_2[[#This Row],[Месяц]],2)=D228),F228,0)</f>
        <v>0</v>
      </c>
    </row>
    <row r="228" spans="1:11" ht="12.75" hidden="1" customHeight="1" x14ac:dyDescent="0.2">
      <c r="A228" s="8">
        <v>429</v>
      </c>
      <c r="B228" s="8"/>
      <c r="C228" s="8" t="s">
        <v>6</v>
      </c>
      <c r="D228" s="12">
        <v>44896</v>
      </c>
      <c r="E228" s="8">
        <v>35580</v>
      </c>
      <c r="F228" s="10">
        <f>IF(ISTEXT(Таблицаx_2[[#This Row],[Значение]]), 0, Таблицаx_2[[#This Row],[Значение]])</f>
        <v>35580</v>
      </c>
      <c r="G228" s="12">
        <v>44866</v>
      </c>
      <c r="H228" s="10" t="str">
        <f>IFERROR(VLOOKUP(Таблицаx_2[[#This Row],[id]],prolongations!A:C,2,)," ")</f>
        <v>ноябрь 2022</v>
      </c>
      <c r="I228" s="10">
        <f>IF(Таблицаx_2[[#This Row],[Месяц окончания]]=Таблицаx_2[[#This Row],[Месяц]],Таблицаx_2[[#This Row],[Значения числа]],0)</f>
        <v>0</v>
      </c>
      <c r="J228" s="8">
        <f>IF(AND(Таблицаx_2[[#This Row],[Месяц окончания]]=Таблицаx_2[[#This Row],[Месяц]],Таблицаx_2[[#This Row],[id]]=A229,EDATE(Таблицаx_2[[#This Row],[Месяц]],1)=D229),F229,0)</f>
        <v>0</v>
      </c>
      <c r="K228" s="8">
        <f>IF(AND(Таблицаx_2[[#This Row],[Месяц окончания]]=Таблицаx_2[[#This Row],[Месяц]],Таблицаx_2[[#This Row],[id]]=A229,EDATE(Таблицаx_2[[#This Row],[Месяц]],2)=D229),F229,0)</f>
        <v>0</v>
      </c>
    </row>
    <row r="229" spans="1:11" ht="12.75" hidden="1" customHeight="1" x14ac:dyDescent="0.2">
      <c r="A229" s="8">
        <v>429</v>
      </c>
      <c r="B229" s="8"/>
      <c r="C229" s="8" t="s">
        <v>6</v>
      </c>
      <c r="D229" s="12">
        <v>44927</v>
      </c>
      <c r="E229" s="8">
        <v>35830</v>
      </c>
      <c r="F229" s="10">
        <f>IF(ISTEXT(Таблицаx_2[[#This Row],[Значение]]), 0, Таблицаx_2[[#This Row],[Значение]])</f>
        <v>35830</v>
      </c>
      <c r="G229" s="12">
        <v>44866</v>
      </c>
      <c r="H229" s="10" t="str">
        <f>IFERROR(VLOOKUP(Таблицаx_2[[#This Row],[id]],prolongations!A:C,2,)," ")</f>
        <v>ноябрь 2022</v>
      </c>
      <c r="I229" s="10">
        <f>IF(Таблицаx_2[[#This Row],[Месяц окончания]]=Таблицаx_2[[#This Row],[Месяц]],Таблицаx_2[[#This Row],[Значения числа]],0)</f>
        <v>0</v>
      </c>
      <c r="J229" s="8">
        <f>IF(AND(Таблицаx_2[[#This Row],[Месяц окончания]]=Таблицаx_2[[#This Row],[Месяц]],Таблицаx_2[[#This Row],[id]]=A230,EDATE(Таблицаx_2[[#This Row],[Месяц]],1)=D230),F230,0)</f>
        <v>0</v>
      </c>
      <c r="K229" s="8">
        <f>IF(AND(Таблицаx_2[[#This Row],[Месяц окончания]]=Таблицаx_2[[#This Row],[Месяц]],Таблицаx_2[[#This Row],[id]]=A230,EDATE(Таблицаx_2[[#This Row],[Месяц]],2)=D230),F230,0)</f>
        <v>0</v>
      </c>
    </row>
    <row r="230" spans="1:11" ht="12.75" hidden="1" customHeight="1" x14ac:dyDescent="0.2">
      <c r="A230" s="8">
        <v>429</v>
      </c>
      <c r="B230" s="8"/>
      <c r="C230" s="8" t="s">
        <v>6</v>
      </c>
      <c r="D230" s="12">
        <v>44958</v>
      </c>
      <c r="E230" s="8">
        <v>42830</v>
      </c>
      <c r="F230" s="10">
        <f>IF(ISTEXT(Таблицаx_2[[#This Row],[Значение]]), 0, Таблицаx_2[[#This Row],[Значение]])</f>
        <v>42830</v>
      </c>
      <c r="G230" s="12">
        <v>44866</v>
      </c>
      <c r="H230" s="10" t="str">
        <f>IFERROR(VLOOKUP(Таблицаx_2[[#This Row],[id]],prolongations!A:C,2,)," ")</f>
        <v>ноябрь 2022</v>
      </c>
      <c r="I230" s="10">
        <f>IF(Таблицаx_2[[#This Row],[Месяц окончания]]=Таблицаx_2[[#This Row],[Месяц]],Таблицаx_2[[#This Row],[Значения числа]],0)</f>
        <v>0</v>
      </c>
      <c r="J230" s="8">
        <f>IF(AND(Таблицаx_2[[#This Row],[Месяц окончания]]=Таблицаx_2[[#This Row],[Месяц]],Таблицаx_2[[#This Row],[id]]=A231,EDATE(Таблицаx_2[[#This Row],[Месяц]],1)=D231),F231,0)</f>
        <v>0</v>
      </c>
      <c r="K230" s="8">
        <f>IF(AND(Таблицаx_2[[#This Row],[Месяц окончания]]=Таблицаx_2[[#This Row],[Месяц]],Таблицаx_2[[#This Row],[id]]=A231,EDATE(Таблицаx_2[[#This Row],[Месяц]],2)=D231),F231,0)</f>
        <v>0</v>
      </c>
    </row>
    <row r="231" spans="1:11" ht="12.75" hidden="1" customHeight="1" x14ac:dyDescent="0.2">
      <c r="A231" s="8">
        <v>556</v>
      </c>
      <c r="B231" s="8"/>
      <c r="C231" s="8" t="s">
        <v>7</v>
      </c>
      <c r="D231" s="12">
        <v>44866</v>
      </c>
      <c r="E231" s="8">
        <v>34225</v>
      </c>
      <c r="F231" s="10">
        <f>IF(ISTEXT(Таблицаx_2[[#This Row],[Значение]]), 0, Таблицаx_2[[#This Row],[Значение]])</f>
        <v>34225</v>
      </c>
      <c r="G231" s="12">
        <v>44958</v>
      </c>
      <c r="H231" s="10" t="str">
        <f>IFERROR(VLOOKUP(Таблицаx_2[[#This Row],[id]],prolongations!A:C,2,)," ")</f>
        <v>февраль 2023</v>
      </c>
      <c r="I231" s="10">
        <f>IF(Таблицаx_2[[#This Row],[Месяц окончания]]=Таблицаx_2[[#This Row],[Месяц]],Таблицаx_2[[#This Row],[Значения числа]],0)</f>
        <v>0</v>
      </c>
      <c r="J231" s="8">
        <f>IF(AND(Таблицаx_2[[#This Row],[Месяц окончания]]=Таблицаx_2[[#This Row],[Месяц]],Таблицаx_2[[#This Row],[id]]=A232,EDATE(Таблицаx_2[[#This Row],[Месяц]],1)=D232),F232,0)</f>
        <v>0</v>
      </c>
      <c r="K231" s="8">
        <f>IF(AND(Таблицаx_2[[#This Row],[Месяц окончания]]=Таблицаx_2[[#This Row],[Месяц]],Таблицаx_2[[#This Row],[id]]=A232,EDATE(Таблицаx_2[[#This Row],[Месяц]],2)=D232),F232,0)</f>
        <v>0</v>
      </c>
    </row>
    <row r="232" spans="1:11" ht="12.75" hidden="1" customHeight="1" x14ac:dyDescent="0.2">
      <c r="A232" s="8">
        <v>556</v>
      </c>
      <c r="B232" s="8"/>
      <c r="C232" s="8" t="s">
        <v>7</v>
      </c>
      <c r="D232" s="12">
        <v>44896</v>
      </c>
      <c r="E232" s="8" t="s">
        <v>46</v>
      </c>
      <c r="F232" s="10">
        <f>IF(ISTEXT(Таблицаx_2[[#This Row],[Значение]]), 0, Таблицаx_2[[#This Row],[Значение]])</f>
        <v>0</v>
      </c>
      <c r="G232" s="12">
        <v>44958</v>
      </c>
      <c r="H232" s="10" t="str">
        <f>IFERROR(VLOOKUP(Таблицаx_2[[#This Row],[id]],prolongations!A:C,2,)," ")</f>
        <v>февраль 2023</v>
      </c>
      <c r="I232" s="10">
        <f>IF(Таблицаx_2[[#This Row],[Месяц окончания]]=Таблицаx_2[[#This Row],[Месяц]],Таблицаx_2[[#This Row],[Значения числа]],0)</f>
        <v>0</v>
      </c>
      <c r="J232" s="8">
        <f>IF(AND(Таблицаx_2[[#This Row],[Месяц окончания]]=Таблицаx_2[[#This Row],[Месяц]],Таблицаx_2[[#This Row],[id]]=A233,EDATE(Таблицаx_2[[#This Row],[Месяц]],1)=D233),F233,0)</f>
        <v>0</v>
      </c>
      <c r="K232" s="8">
        <f>IF(AND(Таблицаx_2[[#This Row],[Месяц окончания]]=Таблицаx_2[[#This Row],[Месяц]],Таблицаx_2[[#This Row],[id]]=A233,EDATE(Таблицаx_2[[#This Row],[Месяц]],2)=D233),F233,0)</f>
        <v>0</v>
      </c>
    </row>
    <row r="233" spans="1:11" ht="12.75" hidden="1" customHeight="1" x14ac:dyDescent="0.2">
      <c r="A233" s="8">
        <v>640</v>
      </c>
      <c r="B233" s="8" t="s">
        <v>45</v>
      </c>
      <c r="C233" s="8" t="s">
        <v>8</v>
      </c>
      <c r="D233" s="12">
        <v>44866</v>
      </c>
      <c r="E233" s="8">
        <v>65820</v>
      </c>
      <c r="F233" s="10">
        <f>IF(ISTEXT(Таблицаx_2[[#This Row],[Значение]]), 0, Таблицаx_2[[#This Row],[Значение]])</f>
        <v>65820</v>
      </c>
      <c r="G233" s="12">
        <v>44958</v>
      </c>
      <c r="H233" s="10" t="str">
        <f>IFERROR(VLOOKUP(Таблицаx_2[[#This Row],[id]],prolongations!A:C,2,)," ")</f>
        <v>февраль 2023</v>
      </c>
      <c r="I233" s="10">
        <f>IF(Таблицаx_2[[#This Row],[Месяц окончания]]=Таблицаx_2[[#This Row],[Месяц]],Таблицаx_2[[#This Row],[Значения числа]],0)</f>
        <v>0</v>
      </c>
      <c r="J233" s="8">
        <f>IF(AND(Таблицаx_2[[#This Row],[Месяц окончания]]=Таблицаx_2[[#This Row],[Месяц]],Таблицаx_2[[#This Row],[id]]=A234,EDATE(Таблицаx_2[[#This Row],[Месяц]],1)=D234),F234,0)</f>
        <v>0</v>
      </c>
      <c r="K233" s="8">
        <f>IF(AND(Таблицаx_2[[#This Row],[Месяц окончания]]=Таблицаx_2[[#This Row],[Месяц]],Таблицаx_2[[#This Row],[id]]=A234,EDATE(Таблицаx_2[[#This Row],[Месяц]],2)=D234),F234,0)</f>
        <v>0</v>
      </c>
    </row>
    <row r="234" spans="1:11" ht="12.75" hidden="1" customHeight="1" x14ac:dyDescent="0.2">
      <c r="A234" s="8">
        <v>640</v>
      </c>
      <c r="B234" s="8" t="s">
        <v>45</v>
      </c>
      <c r="C234" s="8" t="s">
        <v>8</v>
      </c>
      <c r="D234" s="12">
        <v>44896</v>
      </c>
      <c r="E234" s="8">
        <v>65820</v>
      </c>
      <c r="F234" s="10">
        <f>IF(ISTEXT(Таблицаx_2[[#This Row],[Значение]]), 0, Таблицаx_2[[#This Row],[Значение]])</f>
        <v>65820</v>
      </c>
      <c r="G234" s="12">
        <v>44958</v>
      </c>
      <c r="H234" s="10" t="str">
        <f>IFERROR(VLOOKUP(Таблицаx_2[[#This Row],[id]],prolongations!A:C,2,)," ")</f>
        <v>февраль 2023</v>
      </c>
      <c r="I234" s="10">
        <f>IF(Таблицаx_2[[#This Row],[Месяц окончания]]=Таблицаx_2[[#This Row],[Месяц]],Таблицаx_2[[#This Row],[Значения числа]],0)</f>
        <v>0</v>
      </c>
      <c r="J234" s="8">
        <f>IF(AND(Таблицаx_2[[#This Row],[Месяц окончания]]=Таблицаx_2[[#This Row],[Месяц]],Таблицаx_2[[#This Row],[id]]=A235,EDATE(Таблицаx_2[[#This Row],[Месяц]],1)=D235),F235,0)</f>
        <v>0</v>
      </c>
      <c r="K234" s="8">
        <f>IF(AND(Таблицаx_2[[#This Row],[Месяц окончания]]=Таблицаx_2[[#This Row],[Месяц]],Таблицаx_2[[#This Row],[id]]=A235,EDATE(Таблицаx_2[[#This Row],[Месяц]],2)=D235),F235,0)</f>
        <v>0</v>
      </c>
    </row>
    <row r="235" spans="1:11" ht="12.75" hidden="1" customHeight="1" x14ac:dyDescent="0.2">
      <c r="A235" s="8">
        <v>640</v>
      </c>
      <c r="B235" s="8" t="s">
        <v>45</v>
      </c>
      <c r="C235" s="8" t="s">
        <v>8</v>
      </c>
      <c r="D235" s="12">
        <v>44927</v>
      </c>
      <c r="E235" s="8">
        <v>71735</v>
      </c>
      <c r="F235" s="10">
        <f>IF(ISTEXT(Таблицаx_2[[#This Row],[Значение]]), 0, Таблицаx_2[[#This Row],[Значение]])</f>
        <v>71735</v>
      </c>
      <c r="G235" s="12">
        <v>44958</v>
      </c>
      <c r="H235" s="10" t="str">
        <f>IFERROR(VLOOKUP(Таблицаx_2[[#This Row],[id]],prolongations!A:C,2,)," ")</f>
        <v>февраль 2023</v>
      </c>
      <c r="I235" s="10">
        <f>IF(Таблицаx_2[[#This Row],[Месяц окончания]]=Таблицаx_2[[#This Row],[Месяц]],Таблицаx_2[[#This Row],[Значения числа]],0)</f>
        <v>0</v>
      </c>
      <c r="J235" s="8">
        <f>IF(AND(Таблицаx_2[[#This Row],[Месяц окончания]]=Таблицаx_2[[#This Row],[Месяц]],Таблицаx_2[[#This Row],[id]]=A236,EDATE(Таблицаx_2[[#This Row],[Месяц]],1)=D236),F236,0)</f>
        <v>0</v>
      </c>
      <c r="K235" s="8">
        <f>IF(AND(Таблицаx_2[[#This Row],[Месяц окончания]]=Таблицаx_2[[#This Row],[Месяц]],Таблицаx_2[[#This Row],[id]]=A236,EDATE(Таблицаx_2[[#This Row],[Месяц]],2)=D236),F236,0)</f>
        <v>0</v>
      </c>
    </row>
    <row r="236" spans="1:11" ht="12.75" hidden="1" customHeight="1" x14ac:dyDescent="0.2">
      <c r="A236" s="8">
        <v>640</v>
      </c>
      <c r="B236" s="8" t="s">
        <v>45</v>
      </c>
      <c r="C236" s="8" t="s">
        <v>8</v>
      </c>
      <c r="D236" s="12">
        <v>44958</v>
      </c>
      <c r="E236" s="8">
        <v>71735</v>
      </c>
      <c r="F236" s="10">
        <f>IF(ISTEXT(Таблицаx_2[[#This Row],[Значение]]), 0, Таблицаx_2[[#This Row],[Значение]])</f>
        <v>71735</v>
      </c>
      <c r="G236" s="12">
        <v>44958</v>
      </c>
      <c r="H236" s="10" t="str">
        <f>IFERROR(VLOOKUP(Таблицаx_2[[#This Row],[id]],prolongations!A:C,2,)," ")</f>
        <v>февраль 2023</v>
      </c>
      <c r="I236" s="10">
        <f>IF(Таблицаx_2[[#This Row],[Месяц окончания]]=Таблицаx_2[[#This Row],[Месяц]],Таблицаx_2[[#This Row],[Значения числа]],0)</f>
        <v>71735</v>
      </c>
      <c r="J236" s="8">
        <f>IF(AND(Таблицаx_2[[#This Row],[Месяц окончания]]=Таблицаx_2[[#This Row],[Месяц]],Таблицаx_2[[#This Row],[id]]=A237,EDATE(Таблицаx_2[[#This Row],[Месяц]],1)=D237),F237,0)</f>
        <v>0</v>
      </c>
      <c r="K236" s="8">
        <f>IF(AND(Таблицаx_2[[#This Row],[Месяц окончания]]=Таблицаx_2[[#This Row],[Месяц]],Таблицаx_2[[#This Row],[id]]=A237,EDATE(Таблицаx_2[[#This Row],[Месяц]],2)=D237),F237,0)</f>
        <v>0</v>
      </c>
    </row>
    <row r="237" spans="1:11" ht="12.75" hidden="1" customHeight="1" x14ac:dyDescent="0.2">
      <c r="A237" s="8">
        <v>640</v>
      </c>
      <c r="B237" s="8" t="s">
        <v>47</v>
      </c>
      <c r="C237" s="8" t="s">
        <v>8</v>
      </c>
      <c r="D237" s="12">
        <v>44866</v>
      </c>
      <c r="E237" s="8">
        <v>4220</v>
      </c>
      <c r="F237" s="10">
        <f>IF(ISTEXT(Таблицаx_2[[#This Row],[Значение]]), 0, Таблицаx_2[[#This Row],[Значение]])</f>
        <v>4220</v>
      </c>
      <c r="G237" s="12">
        <v>44958</v>
      </c>
      <c r="H237" s="10" t="str">
        <f>IFERROR(VLOOKUP(Таблицаx_2[[#This Row],[id]],prolongations!A:C,2,)," ")</f>
        <v>февраль 2023</v>
      </c>
      <c r="I237" s="10">
        <f>IF(Таблицаx_2[[#This Row],[Месяц окончания]]=Таблицаx_2[[#This Row],[Месяц]],Таблицаx_2[[#This Row],[Значения числа]],0)</f>
        <v>0</v>
      </c>
      <c r="J237" s="8">
        <f>IF(AND(Таблицаx_2[[#This Row],[Месяц окончания]]=Таблицаx_2[[#This Row],[Месяц]],Таблицаx_2[[#This Row],[id]]=A238,EDATE(Таблицаx_2[[#This Row],[Месяц]],1)=D238),F238,0)</f>
        <v>0</v>
      </c>
      <c r="K237" s="8">
        <f>IF(AND(Таблицаx_2[[#This Row],[Месяц окончания]]=Таблицаx_2[[#This Row],[Месяц]],Таблицаx_2[[#This Row],[id]]=A238,EDATE(Таблицаx_2[[#This Row],[Месяц]],2)=D238),F238,0)</f>
        <v>0</v>
      </c>
    </row>
    <row r="238" spans="1:11" ht="12.75" hidden="1" customHeight="1" x14ac:dyDescent="0.2">
      <c r="A238" s="8">
        <v>640</v>
      </c>
      <c r="B238" s="8" t="s">
        <v>47</v>
      </c>
      <c r="C238" s="8" t="s">
        <v>8</v>
      </c>
      <c r="D238" s="12">
        <v>44896</v>
      </c>
      <c r="E238" s="8">
        <v>3165</v>
      </c>
      <c r="F238" s="10">
        <f>IF(ISTEXT(Таблицаx_2[[#This Row],[Значение]]), 0, Таблицаx_2[[#This Row],[Значение]])</f>
        <v>3165</v>
      </c>
      <c r="G238" s="12">
        <v>44958</v>
      </c>
      <c r="H238" s="10" t="str">
        <f>IFERROR(VLOOKUP(Таблицаx_2[[#This Row],[id]],prolongations!A:C,2,)," ")</f>
        <v>февраль 2023</v>
      </c>
      <c r="I238" s="10">
        <f>IF(Таблицаx_2[[#This Row],[Месяц окончания]]=Таблицаx_2[[#This Row],[Месяц]],Таблицаx_2[[#This Row],[Значения числа]],0)</f>
        <v>0</v>
      </c>
      <c r="J238" s="8">
        <f>IF(AND(Таблицаx_2[[#This Row],[Месяц окончания]]=Таблицаx_2[[#This Row],[Месяц]],Таблицаx_2[[#This Row],[id]]=A239,EDATE(Таблицаx_2[[#This Row],[Месяц]],1)=D239),F239,0)</f>
        <v>0</v>
      </c>
      <c r="K238" s="8">
        <f>IF(AND(Таблицаx_2[[#This Row],[Месяц окончания]]=Таблицаx_2[[#This Row],[Месяц]],Таблицаx_2[[#This Row],[id]]=A239,EDATE(Таблицаx_2[[#This Row],[Месяц]],2)=D239),F239,0)</f>
        <v>0</v>
      </c>
    </row>
    <row r="239" spans="1:11" ht="12.75" hidden="1" customHeight="1" x14ac:dyDescent="0.2">
      <c r="A239" s="8">
        <v>640</v>
      </c>
      <c r="B239" s="8" t="s">
        <v>47</v>
      </c>
      <c r="C239" s="8" t="s">
        <v>8</v>
      </c>
      <c r="D239" s="12">
        <v>44927</v>
      </c>
      <c r="E239" s="8">
        <v>3165</v>
      </c>
      <c r="F239" s="10">
        <f>IF(ISTEXT(Таблицаx_2[[#This Row],[Значение]]), 0, Таблицаx_2[[#This Row],[Значение]])</f>
        <v>3165</v>
      </c>
      <c r="G239" s="12">
        <v>44958</v>
      </c>
      <c r="H239" s="10" t="str">
        <f>IFERROR(VLOOKUP(Таблицаx_2[[#This Row],[id]],prolongations!A:C,2,)," ")</f>
        <v>февраль 2023</v>
      </c>
      <c r="I239" s="10">
        <f>IF(Таблицаx_2[[#This Row],[Месяц окончания]]=Таблицаx_2[[#This Row],[Месяц]],Таблицаx_2[[#This Row],[Значения числа]],0)</f>
        <v>0</v>
      </c>
      <c r="J239" s="8">
        <f>IF(AND(Таблицаx_2[[#This Row],[Месяц окончания]]=Таблицаx_2[[#This Row],[Месяц]],Таблицаx_2[[#This Row],[id]]=A240,EDATE(Таблицаx_2[[#This Row],[Месяц]],1)=D240),F240,0)</f>
        <v>0</v>
      </c>
      <c r="K239" s="8">
        <f>IF(AND(Таблицаx_2[[#This Row],[Месяц окончания]]=Таблицаx_2[[#This Row],[Месяц]],Таблицаx_2[[#This Row],[id]]=A240,EDATE(Таблицаx_2[[#This Row],[Месяц]],2)=D240),F240,0)</f>
        <v>0</v>
      </c>
    </row>
    <row r="240" spans="1:11" ht="12.75" hidden="1" customHeight="1" x14ac:dyDescent="0.2">
      <c r="A240" s="8">
        <v>640</v>
      </c>
      <c r="B240" s="8" t="s">
        <v>47</v>
      </c>
      <c r="C240" s="8" t="s">
        <v>8</v>
      </c>
      <c r="D240" s="12">
        <v>44958</v>
      </c>
      <c r="E240" s="8">
        <v>6330</v>
      </c>
      <c r="F240" s="10">
        <f>IF(ISTEXT(Таблицаx_2[[#This Row],[Значение]]), 0, Таблицаx_2[[#This Row],[Значение]])</f>
        <v>6330</v>
      </c>
      <c r="G240" s="12">
        <v>44958</v>
      </c>
      <c r="H240" s="10" t="str">
        <f>IFERROR(VLOOKUP(Таблицаx_2[[#This Row],[id]],prolongations!A:C,2,)," ")</f>
        <v>февраль 2023</v>
      </c>
      <c r="I240" s="10">
        <f>IF(Таблицаx_2[[#This Row],[Месяц окончания]]=Таблицаx_2[[#This Row],[Месяц]],Таблицаx_2[[#This Row],[Значения числа]],0)</f>
        <v>6330</v>
      </c>
      <c r="J240" s="8">
        <f>IF(AND(Таблицаx_2[[#This Row],[Месяц окончания]]=Таблицаx_2[[#This Row],[Месяц]],Таблицаx_2[[#This Row],[id]]=A241,EDATE(Таблицаx_2[[#This Row],[Месяц]],1)=D241),F241,0)</f>
        <v>0</v>
      </c>
      <c r="K240" s="8">
        <f>IF(AND(Таблицаx_2[[#This Row],[Месяц окончания]]=Таблицаx_2[[#This Row],[Месяц]],Таблицаx_2[[#This Row],[id]]=A241,EDATE(Таблицаx_2[[#This Row],[Месяц]],2)=D241),F241,0)</f>
        <v>0</v>
      </c>
    </row>
    <row r="241" spans="1:11" ht="12.75" hidden="1" customHeight="1" x14ac:dyDescent="0.2">
      <c r="A241" s="8">
        <v>101</v>
      </c>
      <c r="B241" s="8"/>
      <c r="C241" s="8" t="s">
        <v>8</v>
      </c>
      <c r="D241" s="12">
        <v>44866</v>
      </c>
      <c r="E241" s="8">
        <v>43800</v>
      </c>
      <c r="F241" s="10">
        <f>IF(ISTEXT(Таблицаx_2[[#This Row],[Значение]]), 0, Таблицаx_2[[#This Row],[Значение]])</f>
        <v>43800</v>
      </c>
      <c r="G241" s="12">
        <v>44958</v>
      </c>
      <c r="H241" s="10" t="str">
        <f>IFERROR(VLOOKUP(Таблицаx_2[[#This Row],[id]],prolongations!A:C,2,)," ")</f>
        <v>февраль 2023</v>
      </c>
      <c r="I241" s="10">
        <f>IF(Таблицаx_2[[#This Row],[Месяц окончания]]=Таблицаx_2[[#This Row],[Месяц]],Таблицаx_2[[#This Row],[Значения числа]],0)</f>
        <v>0</v>
      </c>
      <c r="J241" s="8">
        <f>IF(AND(Таблицаx_2[[#This Row],[Месяц окончания]]=Таблицаx_2[[#This Row],[Месяц]],Таблицаx_2[[#This Row],[id]]=A242,EDATE(Таблицаx_2[[#This Row],[Месяц]],1)=D242),F242,0)</f>
        <v>0</v>
      </c>
      <c r="K241" s="8">
        <f>IF(AND(Таблицаx_2[[#This Row],[Месяц окончания]]=Таблицаx_2[[#This Row],[Месяц]],Таблицаx_2[[#This Row],[id]]=A242,EDATE(Таблицаx_2[[#This Row],[Месяц]],2)=D242),F242,0)</f>
        <v>0</v>
      </c>
    </row>
    <row r="242" spans="1:11" ht="12.75" hidden="1" customHeight="1" x14ac:dyDescent="0.2">
      <c r="A242" s="8">
        <v>101</v>
      </c>
      <c r="B242" s="8"/>
      <c r="C242" s="8" t="s">
        <v>8</v>
      </c>
      <c r="D242" s="12">
        <v>44896</v>
      </c>
      <c r="E242" s="8">
        <v>43800</v>
      </c>
      <c r="F242" s="10">
        <f>IF(ISTEXT(Таблицаx_2[[#This Row],[Значение]]), 0, Таблицаx_2[[#This Row],[Значение]])</f>
        <v>43800</v>
      </c>
      <c r="G242" s="12">
        <v>44958</v>
      </c>
      <c r="H242" s="10" t="str">
        <f>IFERROR(VLOOKUP(Таблицаx_2[[#This Row],[id]],prolongations!A:C,2,)," ")</f>
        <v>февраль 2023</v>
      </c>
      <c r="I242" s="10">
        <f>IF(Таблицаx_2[[#This Row],[Месяц окончания]]=Таблицаx_2[[#This Row],[Месяц]],Таблицаx_2[[#This Row],[Значения числа]],0)</f>
        <v>0</v>
      </c>
      <c r="J242" s="8">
        <f>IF(AND(Таблицаx_2[[#This Row],[Месяц окончания]]=Таблицаx_2[[#This Row],[Месяц]],Таблицаx_2[[#This Row],[id]]=A243,EDATE(Таблицаx_2[[#This Row],[Месяц]],1)=D243),F243,0)</f>
        <v>0</v>
      </c>
      <c r="K242" s="8">
        <f>IF(AND(Таблицаx_2[[#This Row],[Месяц окончания]]=Таблицаx_2[[#This Row],[Месяц]],Таблицаx_2[[#This Row],[id]]=A243,EDATE(Таблицаx_2[[#This Row],[Месяц]],2)=D243),F243,0)</f>
        <v>0</v>
      </c>
    </row>
    <row r="243" spans="1:11" ht="12.75" hidden="1" customHeight="1" x14ac:dyDescent="0.2">
      <c r="A243" s="8">
        <v>101</v>
      </c>
      <c r="B243" s="8"/>
      <c r="C243" s="8" t="s">
        <v>8</v>
      </c>
      <c r="D243" s="12">
        <v>44927</v>
      </c>
      <c r="E243" s="8">
        <v>43800</v>
      </c>
      <c r="F243" s="10">
        <f>IF(ISTEXT(Таблицаx_2[[#This Row],[Значение]]), 0, Таблицаx_2[[#This Row],[Значение]])</f>
        <v>43800</v>
      </c>
      <c r="G243" s="12">
        <v>44958</v>
      </c>
      <c r="H243" s="10" t="str">
        <f>IFERROR(VLOOKUP(Таблицаx_2[[#This Row],[id]],prolongations!A:C,2,)," ")</f>
        <v>февраль 2023</v>
      </c>
      <c r="I243" s="10">
        <f>IF(Таблицаx_2[[#This Row],[Месяц окончания]]=Таблицаx_2[[#This Row],[Месяц]],Таблицаx_2[[#This Row],[Значения числа]],0)</f>
        <v>0</v>
      </c>
      <c r="J243" s="8">
        <f>IF(AND(Таблицаx_2[[#This Row],[Месяц окончания]]=Таблицаx_2[[#This Row],[Месяц]],Таблицаx_2[[#This Row],[id]]=A244,EDATE(Таблицаx_2[[#This Row],[Месяц]],1)=D244),F244,0)</f>
        <v>0</v>
      </c>
      <c r="K243" s="8">
        <f>IF(AND(Таблицаx_2[[#This Row],[Месяц окончания]]=Таблицаx_2[[#This Row],[Месяц]],Таблицаx_2[[#This Row],[id]]=A244,EDATE(Таблицаx_2[[#This Row],[Месяц]],2)=D244),F244,0)</f>
        <v>0</v>
      </c>
    </row>
    <row r="244" spans="1:11" ht="12.75" hidden="1" customHeight="1" x14ac:dyDescent="0.2">
      <c r="A244" s="8">
        <v>101</v>
      </c>
      <c r="B244" s="8"/>
      <c r="C244" s="8" t="s">
        <v>8</v>
      </c>
      <c r="D244" s="12">
        <v>44958</v>
      </c>
      <c r="E244" s="8" t="s">
        <v>46</v>
      </c>
      <c r="F244" s="10">
        <f>IF(ISTEXT(Таблицаx_2[[#This Row],[Значение]]), 0, Таблицаx_2[[#This Row],[Значение]])</f>
        <v>0</v>
      </c>
      <c r="G244" s="12">
        <v>44958</v>
      </c>
      <c r="H244" s="10" t="str">
        <f>IFERROR(VLOOKUP(Таблицаx_2[[#This Row],[id]],prolongations!A:C,2,)," ")</f>
        <v>февраль 2023</v>
      </c>
      <c r="I244" s="10">
        <f>IF(Таблицаx_2[[#This Row],[Месяц окончания]]=Таблицаx_2[[#This Row],[Месяц]],Таблицаx_2[[#This Row],[Значения числа]],0)</f>
        <v>0</v>
      </c>
      <c r="J244" s="8">
        <f>IF(AND(Таблицаx_2[[#This Row],[Месяц окончания]]=Таблицаx_2[[#This Row],[Месяц]],Таблицаx_2[[#This Row],[id]]=A245,EDATE(Таблицаx_2[[#This Row],[Месяц]],1)=D245),F245,0)</f>
        <v>0</v>
      </c>
      <c r="K244" s="8">
        <f>IF(AND(Таблицаx_2[[#This Row],[Месяц окончания]]=Таблицаx_2[[#This Row],[Месяц]],Таблицаx_2[[#This Row],[id]]=A245,EDATE(Таблицаx_2[[#This Row],[Месяц]],2)=D245),F245,0)</f>
        <v>0</v>
      </c>
    </row>
    <row r="245" spans="1:11" ht="12.75" hidden="1" customHeight="1" x14ac:dyDescent="0.2">
      <c r="A245" s="8">
        <v>653</v>
      </c>
      <c r="B245" s="8"/>
      <c r="C245" s="8" t="s">
        <v>4</v>
      </c>
      <c r="D245" s="12">
        <v>44866</v>
      </c>
      <c r="E245" s="8">
        <v>68285</v>
      </c>
      <c r="F245" s="10">
        <f>IF(ISTEXT(Таблицаx_2[[#This Row],[Значение]]), 0, Таблицаx_2[[#This Row],[Значение]])</f>
        <v>68285</v>
      </c>
      <c r="G245" s="12">
        <v>44958</v>
      </c>
      <c r="H245" s="10" t="str">
        <f>IFERROR(VLOOKUP(Таблицаx_2[[#This Row],[id]],prolongations!A:C,2,)," ")</f>
        <v>февраль 2023</v>
      </c>
      <c r="I245" s="10">
        <f>IF(Таблицаx_2[[#This Row],[Месяц окончания]]=Таблицаx_2[[#This Row],[Месяц]],Таблицаx_2[[#This Row],[Значения числа]],0)</f>
        <v>0</v>
      </c>
      <c r="J245" s="8">
        <f>IF(AND(Таблицаx_2[[#This Row],[Месяц окончания]]=Таблицаx_2[[#This Row],[Месяц]],Таблицаx_2[[#This Row],[id]]=A246,EDATE(Таблицаx_2[[#This Row],[Месяц]],1)=D246),F246,0)</f>
        <v>0</v>
      </c>
      <c r="K245" s="8">
        <f>IF(AND(Таблицаx_2[[#This Row],[Месяц окончания]]=Таблицаx_2[[#This Row],[Месяц]],Таблицаx_2[[#This Row],[id]]=A246,EDATE(Таблицаx_2[[#This Row],[Месяц]],2)=D246),F246,0)</f>
        <v>0</v>
      </c>
    </row>
    <row r="246" spans="1:11" ht="12.75" hidden="1" customHeight="1" x14ac:dyDescent="0.2">
      <c r="A246" s="8">
        <v>653</v>
      </c>
      <c r="B246" s="8"/>
      <c r="C246" s="8" t="s">
        <v>4</v>
      </c>
      <c r="D246" s="12">
        <v>44896</v>
      </c>
      <c r="E246" s="8">
        <v>70445</v>
      </c>
      <c r="F246" s="10">
        <f>IF(ISTEXT(Таблицаx_2[[#This Row],[Значение]]), 0, Таблицаx_2[[#This Row],[Значение]])</f>
        <v>70445</v>
      </c>
      <c r="G246" s="12">
        <v>44958</v>
      </c>
      <c r="H246" s="10" t="str">
        <f>IFERROR(VLOOKUP(Таблицаx_2[[#This Row],[id]],prolongations!A:C,2,)," ")</f>
        <v>февраль 2023</v>
      </c>
      <c r="I246" s="10">
        <f>IF(Таблицаx_2[[#This Row],[Месяц окончания]]=Таблицаx_2[[#This Row],[Месяц]],Таблицаx_2[[#This Row],[Значения числа]],0)</f>
        <v>0</v>
      </c>
      <c r="J246" s="8">
        <f>IF(AND(Таблицаx_2[[#This Row],[Месяц окончания]]=Таблицаx_2[[#This Row],[Месяц]],Таблицаx_2[[#This Row],[id]]=A247,EDATE(Таблицаx_2[[#This Row],[Месяц]],1)=D247),F247,0)</f>
        <v>0</v>
      </c>
      <c r="K246" s="8">
        <f>IF(AND(Таблицаx_2[[#This Row],[Месяц окончания]]=Таблицаx_2[[#This Row],[Месяц]],Таблицаx_2[[#This Row],[id]]=A247,EDATE(Таблицаx_2[[#This Row],[Месяц]],2)=D247),F247,0)</f>
        <v>0</v>
      </c>
    </row>
    <row r="247" spans="1:11" ht="12.75" hidden="1" customHeight="1" x14ac:dyDescent="0.2">
      <c r="A247" s="8">
        <v>653</v>
      </c>
      <c r="B247" s="8"/>
      <c r="C247" s="8" t="s">
        <v>4</v>
      </c>
      <c r="D247" s="12">
        <v>44927</v>
      </c>
      <c r="E247" s="8">
        <v>70445</v>
      </c>
      <c r="F247" s="10">
        <f>IF(ISTEXT(Таблицаx_2[[#This Row],[Значение]]), 0, Таблицаx_2[[#This Row],[Значение]])</f>
        <v>70445</v>
      </c>
      <c r="G247" s="12">
        <v>44958</v>
      </c>
      <c r="H247" s="10" t="str">
        <f>IFERROR(VLOOKUP(Таблицаx_2[[#This Row],[id]],prolongations!A:C,2,)," ")</f>
        <v>февраль 2023</v>
      </c>
      <c r="I247" s="10">
        <f>IF(Таблицаx_2[[#This Row],[Месяц окончания]]=Таблицаx_2[[#This Row],[Месяц]],Таблицаx_2[[#This Row],[Значения числа]],0)</f>
        <v>0</v>
      </c>
      <c r="J247" s="8">
        <f>IF(AND(Таблицаx_2[[#This Row],[Месяц окончания]]=Таблицаx_2[[#This Row],[Месяц]],Таблицаx_2[[#This Row],[id]]=A248,EDATE(Таблицаx_2[[#This Row],[Месяц]],1)=D248),F248,0)</f>
        <v>0</v>
      </c>
      <c r="K247" s="8">
        <f>IF(AND(Таблицаx_2[[#This Row],[Месяц окончания]]=Таблицаx_2[[#This Row],[Месяц]],Таблицаx_2[[#This Row],[id]]=A248,EDATE(Таблицаx_2[[#This Row],[Месяц]],2)=D248),F248,0)</f>
        <v>0</v>
      </c>
    </row>
    <row r="248" spans="1:11" ht="12.75" hidden="1" customHeight="1" x14ac:dyDescent="0.2">
      <c r="A248" s="8">
        <v>653</v>
      </c>
      <c r="B248" s="8"/>
      <c r="C248" s="8" t="s">
        <v>4</v>
      </c>
      <c r="D248" s="12">
        <v>44958</v>
      </c>
      <c r="E248" s="8">
        <v>70445</v>
      </c>
      <c r="F248" s="10">
        <f>IF(ISTEXT(Таблицаx_2[[#This Row],[Значение]]), 0, Таблицаx_2[[#This Row],[Значение]])</f>
        <v>70445</v>
      </c>
      <c r="G248" s="12">
        <v>44958</v>
      </c>
      <c r="H248" s="10" t="str">
        <f>IFERROR(VLOOKUP(Таблицаx_2[[#This Row],[id]],prolongations!A:C,2,)," ")</f>
        <v>февраль 2023</v>
      </c>
      <c r="I248" s="10">
        <f>IF(Таблицаx_2[[#This Row],[Месяц окончания]]=Таблицаx_2[[#This Row],[Месяц]],Таблицаx_2[[#This Row],[Значения числа]],0)</f>
        <v>70445</v>
      </c>
      <c r="J248" s="8">
        <f>IF(AND(Таблицаx_2[[#This Row],[Месяц окончания]]=Таблицаx_2[[#This Row],[Месяц]],Таблицаx_2[[#This Row],[id]]=A249,EDATE(Таблицаx_2[[#This Row],[Месяц]],1)=D249),F249,0)</f>
        <v>0</v>
      </c>
      <c r="K248" s="8">
        <f>IF(AND(Таблицаx_2[[#This Row],[Месяц окончания]]=Таблицаx_2[[#This Row],[Месяц]],Таблицаx_2[[#This Row],[id]]=A249,EDATE(Таблицаx_2[[#This Row],[Месяц]],2)=D249),F249,0)</f>
        <v>0</v>
      </c>
    </row>
    <row r="249" spans="1:11" ht="12.75" hidden="1" customHeight="1" x14ac:dyDescent="0.2">
      <c r="A249" s="8">
        <v>174</v>
      </c>
      <c r="B249" s="8"/>
      <c r="C249" s="8" t="s">
        <v>7</v>
      </c>
      <c r="D249" s="12">
        <v>44866</v>
      </c>
      <c r="E249" s="8">
        <v>127200</v>
      </c>
      <c r="F249" s="10">
        <f>IF(ISTEXT(Таблицаx_2[[#This Row],[Значение]]), 0, Таблицаx_2[[#This Row],[Значение]])</f>
        <v>127200</v>
      </c>
      <c r="G249" s="12">
        <v>44958</v>
      </c>
      <c r="H249" s="10" t="str">
        <f>IFERROR(VLOOKUP(Таблицаx_2[[#This Row],[id]],prolongations!A:C,2,)," ")</f>
        <v>февраль 2023</v>
      </c>
      <c r="I249" s="10">
        <f>IF(Таблицаx_2[[#This Row],[Месяц окончания]]=Таблицаx_2[[#This Row],[Месяц]],Таблицаx_2[[#This Row],[Значения числа]],0)</f>
        <v>0</v>
      </c>
      <c r="J249" s="8">
        <f>IF(AND(Таблицаx_2[[#This Row],[Месяц окончания]]=Таблицаx_2[[#This Row],[Месяц]],Таблицаx_2[[#This Row],[id]]=A250,EDATE(Таблицаx_2[[#This Row],[Месяц]],1)=D250),F250,0)</f>
        <v>0</v>
      </c>
      <c r="K249" s="8">
        <f>IF(AND(Таблицаx_2[[#This Row],[Месяц окончания]]=Таблицаx_2[[#This Row],[Месяц]],Таблицаx_2[[#This Row],[id]]=A250,EDATE(Таблицаx_2[[#This Row],[Месяц]],2)=D250),F250,0)</f>
        <v>0</v>
      </c>
    </row>
    <row r="250" spans="1:11" ht="12.75" hidden="1" customHeight="1" x14ac:dyDescent="0.2">
      <c r="A250" s="8">
        <v>174</v>
      </c>
      <c r="B250" s="8"/>
      <c r="C250" s="8" t="s">
        <v>7</v>
      </c>
      <c r="D250" s="12">
        <v>44896</v>
      </c>
      <c r="E250" s="8">
        <v>127200</v>
      </c>
      <c r="F250" s="10">
        <f>IF(ISTEXT(Таблицаx_2[[#This Row],[Значение]]), 0, Таблицаx_2[[#This Row],[Значение]])</f>
        <v>127200</v>
      </c>
      <c r="G250" s="12">
        <v>44958</v>
      </c>
      <c r="H250" s="10" t="str">
        <f>IFERROR(VLOOKUP(Таблицаx_2[[#This Row],[id]],prolongations!A:C,2,)," ")</f>
        <v>февраль 2023</v>
      </c>
      <c r="I250" s="10">
        <f>IF(Таблицаx_2[[#This Row],[Месяц окончания]]=Таблицаx_2[[#This Row],[Месяц]],Таблицаx_2[[#This Row],[Значения числа]],0)</f>
        <v>0</v>
      </c>
      <c r="J250" s="8">
        <f>IF(AND(Таблицаx_2[[#This Row],[Месяц окончания]]=Таблицаx_2[[#This Row],[Месяц]],Таблицаx_2[[#This Row],[id]]=A251,EDATE(Таблицаx_2[[#This Row],[Месяц]],1)=D251),F251,0)</f>
        <v>0</v>
      </c>
      <c r="K250" s="8">
        <f>IF(AND(Таблицаx_2[[#This Row],[Месяц окончания]]=Таблицаx_2[[#This Row],[Месяц]],Таблицаx_2[[#This Row],[id]]=A251,EDATE(Таблицаx_2[[#This Row],[Месяц]],2)=D251),F251,0)</f>
        <v>0</v>
      </c>
    </row>
    <row r="251" spans="1:11" ht="12.75" hidden="1" customHeight="1" x14ac:dyDescent="0.2">
      <c r="A251" s="8">
        <v>174</v>
      </c>
      <c r="B251" s="8"/>
      <c r="C251" s="8" t="s">
        <v>7</v>
      </c>
      <c r="D251" s="12">
        <v>44927</v>
      </c>
      <c r="E251" s="8">
        <v>127200</v>
      </c>
      <c r="F251" s="10">
        <f>IF(ISTEXT(Таблицаx_2[[#This Row],[Значение]]), 0, Таблицаx_2[[#This Row],[Значение]])</f>
        <v>127200</v>
      </c>
      <c r="G251" s="12">
        <v>44958</v>
      </c>
      <c r="H251" s="10" t="str">
        <f>IFERROR(VLOOKUP(Таблицаx_2[[#This Row],[id]],prolongations!A:C,2,)," ")</f>
        <v>февраль 2023</v>
      </c>
      <c r="I251" s="10">
        <f>IF(Таблицаx_2[[#This Row],[Месяц окончания]]=Таблицаx_2[[#This Row],[Месяц]],Таблицаx_2[[#This Row],[Значения числа]],0)</f>
        <v>0</v>
      </c>
      <c r="J251" s="8">
        <f>IF(AND(Таблицаx_2[[#This Row],[Месяц окончания]]=Таблицаx_2[[#This Row],[Месяц]],Таблицаx_2[[#This Row],[id]]=A252,EDATE(Таблицаx_2[[#This Row],[Месяц]],1)=D252),F252,0)</f>
        <v>0</v>
      </c>
      <c r="K251" s="8">
        <f>IF(AND(Таблицаx_2[[#This Row],[Месяц окончания]]=Таблицаx_2[[#This Row],[Месяц]],Таблицаx_2[[#This Row],[id]]=A252,EDATE(Таблицаx_2[[#This Row],[Месяц]],2)=D252),F252,0)</f>
        <v>0</v>
      </c>
    </row>
    <row r="252" spans="1:11" ht="12.75" hidden="1" customHeight="1" x14ac:dyDescent="0.2">
      <c r="A252" s="8">
        <v>174</v>
      </c>
      <c r="B252" s="8"/>
      <c r="C252" s="8" t="s">
        <v>7</v>
      </c>
      <c r="D252" s="12">
        <v>44958</v>
      </c>
      <c r="E252" s="8">
        <v>127200</v>
      </c>
      <c r="F252" s="10">
        <f>IF(ISTEXT(Таблицаx_2[[#This Row],[Значение]]), 0, Таблицаx_2[[#This Row],[Значение]])</f>
        <v>127200</v>
      </c>
      <c r="G252" s="12">
        <v>44958</v>
      </c>
      <c r="H252" s="10" t="str">
        <f>IFERROR(VLOOKUP(Таблицаx_2[[#This Row],[id]],prolongations!A:C,2,)," ")</f>
        <v>февраль 2023</v>
      </c>
      <c r="I252" s="10">
        <f>IF(Таблицаx_2[[#This Row],[Месяц окончания]]=Таблицаx_2[[#This Row],[Месяц]],Таблицаx_2[[#This Row],[Значения числа]],0)</f>
        <v>127200</v>
      </c>
      <c r="J252" s="8">
        <f>IF(AND(Таблицаx_2[[#This Row],[Месяц окончания]]=Таблицаx_2[[#This Row],[Месяц]],Таблицаx_2[[#This Row],[id]]=A253,EDATE(Таблицаx_2[[#This Row],[Месяц]],1)=D253),F253,0)</f>
        <v>0</v>
      </c>
      <c r="K252" s="8">
        <f>IF(AND(Таблицаx_2[[#This Row],[Месяц окончания]]=Таблицаx_2[[#This Row],[Месяц]],Таблицаx_2[[#This Row],[id]]=A253,EDATE(Таблицаx_2[[#This Row],[Месяц]],2)=D253),F253,0)</f>
        <v>0</v>
      </c>
    </row>
    <row r="253" spans="1:11" ht="12.75" hidden="1" customHeight="1" x14ac:dyDescent="0.2">
      <c r="A253" s="8">
        <v>649</v>
      </c>
      <c r="B253" s="8" t="s">
        <v>45</v>
      </c>
      <c r="C253" s="8" t="s">
        <v>6</v>
      </c>
      <c r="D253" s="12">
        <v>44896</v>
      </c>
      <c r="E253" s="8">
        <v>83050</v>
      </c>
      <c r="F253" s="10">
        <f>IF(ISTEXT(Таблицаx_2[[#This Row],[Значение]]), 0, Таблицаx_2[[#This Row],[Значение]])</f>
        <v>83050</v>
      </c>
      <c r="G253" s="12">
        <v>44927</v>
      </c>
      <c r="H253" s="10" t="str">
        <f>IFERROR(VLOOKUP(Таблицаx_2[[#This Row],[id]],prolongations!A:C,2,)," ")</f>
        <v>январь 2023</v>
      </c>
      <c r="I253" s="10">
        <f>IF(Таблицаx_2[[#This Row],[Месяц окончания]]=Таблицаx_2[[#This Row],[Месяц]],Таблицаx_2[[#This Row],[Значения числа]],0)</f>
        <v>0</v>
      </c>
      <c r="J253" s="8">
        <f>IF(AND(Таблицаx_2[[#This Row],[Месяц окончания]]=Таблицаx_2[[#This Row],[Месяц]],Таблицаx_2[[#This Row],[id]]=A254,EDATE(Таблицаx_2[[#This Row],[Месяц]],1)=D254),F254,0)</f>
        <v>0</v>
      </c>
      <c r="K253" s="8">
        <f>IF(AND(Таблицаx_2[[#This Row],[Месяц окончания]]=Таблицаx_2[[#This Row],[Месяц]],Таблицаx_2[[#This Row],[id]]=A254,EDATE(Таблицаx_2[[#This Row],[Месяц]],2)=D254),F254,0)</f>
        <v>0</v>
      </c>
    </row>
    <row r="254" spans="1:11" ht="12.75" hidden="1" customHeight="1" x14ac:dyDescent="0.2">
      <c r="A254" s="8">
        <v>649</v>
      </c>
      <c r="B254" s="8" t="s">
        <v>45</v>
      </c>
      <c r="C254" s="8" t="s">
        <v>6</v>
      </c>
      <c r="D254" s="12">
        <v>44927</v>
      </c>
      <c r="E254" s="8">
        <v>96750</v>
      </c>
      <c r="F254" s="10">
        <f>IF(ISTEXT(Таблицаx_2[[#This Row],[Значение]]), 0, Таблицаx_2[[#This Row],[Значение]])</f>
        <v>96750</v>
      </c>
      <c r="G254" s="12">
        <v>44927</v>
      </c>
      <c r="H254" s="10" t="str">
        <f>IFERROR(VLOOKUP(Таблицаx_2[[#This Row],[id]],prolongations!A:C,2,)," ")</f>
        <v>январь 2023</v>
      </c>
      <c r="I254" s="10">
        <f>IF(Таблицаx_2[[#This Row],[Месяц окончания]]=Таблицаx_2[[#This Row],[Месяц]],Таблицаx_2[[#This Row],[Значения числа]],0)</f>
        <v>96750</v>
      </c>
      <c r="J254" s="8">
        <f>IF(AND(Таблицаx_2[[#This Row],[Месяц окончания]]=Таблицаx_2[[#This Row],[Месяц]],Таблицаx_2[[#This Row],[id]]=A255,EDATE(Таблицаx_2[[#This Row],[Месяц]],1)=D255),F255,0)</f>
        <v>0</v>
      </c>
      <c r="K254" s="8">
        <f>IF(AND(Таблицаx_2[[#This Row],[Месяц окончания]]=Таблицаx_2[[#This Row],[Месяц]],Таблицаx_2[[#This Row],[id]]=A255,EDATE(Таблицаx_2[[#This Row],[Месяц]],2)=D255),F255,0)</f>
        <v>0</v>
      </c>
    </row>
    <row r="255" spans="1:11" ht="12.75" hidden="1" customHeight="1" x14ac:dyDescent="0.2">
      <c r="A255" s="8">
        <v>649</v>
      </c>
      <c r="B255" s="8" t="s">
        <v>47</v>
      </c>
      <c r="C255" s="8" t="s">
        <v>6</v>
      </c>
      <c r="D255" s="12">
        <v>44896</v>
      </c>
      <c r="E255" s="8">
        <v>27820</v>
      </c>
      <c r="F255" s="10">
        <f>IF(ISTEXT(Таблицаx_2[[#This Row],[Значение]]), 0, Таблицаx_2[[#This Row],[Значение]])</f>
        <v>27820</v>
      </c>
      <c r="G255" s="12">
        <v>44927</v>
      </c>
      <c r="H255" s="10" t="str">
        <f>IFERROR(VLOOKUP(Таблицаx_2[[#This Row],[id]],prolongations!A:C,2,)," ")</f>
        <v>январь 2023</v>
      </c>
      <c r="I255" s="10">
        <f>IF(Таблицаx_2[[#This Row],[Месяц окончания]]=Таблицаx_2[[#This Row],[Месяц]],Таблицаx_2[[#This Row],[Значения числа]],0)</f>
        <v>0</v>
      </c>
      <c r="J255" s="8">
        <f>IF(AND(Таблицаx_2[[#This Row],[Месяц окончания]]=Таблицаx_2[[#This Row],[Месяц]],Таблицаx_2[[#This Row],[id]]=A256,EDATE(Таблицаx_2[[#This Row],[Месяц]],1)=D256),F256,0)</f>
        <v>0</v>
      </c>
      <c r="K255" s="8">
        <f>IF(AND(Таблицаx_2[[#This Row],[Месяц окончания]]=Таблицаx_2[[#This Row],[Месяц]],Таблицаx_2[[#This Row],[id]]=A256,EDATE(Таблицаx_2[[#This Row],[Месяц]],2)=D256),F256,0)</f>
        <v>0</v>
      </c>
    </row>
    <row r="256" spans="1:11" ht="12.75" hidden="1" customHeight="1" x14ac:dyDescent="0.2">
      <c r="A256" s="8">
        <v>649</v>
      </c>
      <c r="B256" s="8" t="s">
        <v>47</v>
      </c>
      <c r="C256" s="8" t="s">
        <v>6</v>
      </c>
      <c r="D256" s="12">
        <v>44927</v>
      </c>
      <c r="E256" s="8">
        <v>26555</v>
      </c>
      <c r="F256" s="10">
        <f>IF(ISTEXT(Таблицаx_2[[#This Row],[Значение]]), 0, Таблицаx_2[[#This Row],[Значение]])</f>
        <v>26555</v>
      </c>
      <c r="G256" s="12">
        <v>44927</v>
      </c>
      <c r="H256" s="10" t="str">
        <f>IFERROR(VLOOKUP(Таблицаx_2[[#This Row],[id]],prolongations!A:C,2,)," ")</f>
        <v>январь 2023</v>
      </c>
      <c r="I256" s="10">
        <f>IF(Таблицаx_2[[#This Row],[Месяц окончания]]=Таблицаx_2[[#This Row],[Месяц]],Таблицаx_2[[#This Row],[Значения числа]],0)</f>
        <v>26555</v>
      </c>
      <c r="J256" s="8">
        <f>IF(AND(Таблицаx_2[[#This Row],[Месяц окончания]]=Таблицаx_2[[#This Row],[Месяц]],Таблицаx_2[[#This Row],[id]]=A257,EDATE(Таблицаx_2[[#This Row],[Месяц]],1)=D257),F257,0)</f>
        <v>0</v>
      </c>
      <c r="K256" s="8">
        <f>IF(AND(Таблицаx_2[[#This Row],[Месяц окончания]]=Таблицаx_2[[#This Row],[Месяц]],Таблицаx_2[[#This Row],[id]]=A257,EDATE(Таблицаx_2[[#This Row],[Месяц]],2)=D257),F257,0)</f>
        <v>0</v>
      </c>
    </row>
    <row r="257" spans="1:11" ht="12.75" hidden="1" customHeight="1" x14ac:dyDescent="0.2">
      <c r="A257" s="8">
        <v>649</v>
      </c>
      <c r="B257" s="8" t="s">
        <v>47</v>
      </c>
      <c r="C257" s="8" t="s">
        <v>6</v>
      </c>
      <c r="D257" s="12">
        <v>44927</v>
      </c>
      <c r="E257" s="8">
        <v>2745</v>
      </c>
      <c r="F257" s="10">
        <f>IF(ISTEXT(Таблицаx_2[[#This Row],[Значение]]), 0, Таблицаx_2[[#This Row],[Значение]])</f>
        <v>2745</v>
      </c>
      <c r="G257" s="12">
        <v>44927</v>
      </c>
      <c r="H257" s="10" t="str">
        <f>IFERROR(VLOOKUP(Таблицаx_2[[#This Row],[id]],prolongations!A:C,2,)," ")</f>
        <v>январь 2023</v>
      </c>
      <c r="I257" s="10">
        <f>IF(Таблицаx_2[[#This Row],[Месяц окончания]]=Таблицаx_2[[#This Row],[Месяц]],Таблицаx_2[[#This Row],[Значения числа]],0)</f>
        <v>2745</v>
      </c>
      <c r="J257" s="8">
        <f>IF(AND(Таблицаx_2[[#This Row],[Месяц окончания]]=Таблицаx_2[[#This Row],[Месяц]],Таблицаx_2[[#This Row],[id]]=A258,EDATE(Таблицаx_2[[#This Row],[Месяц]],1)=D258),F258,0)</f>
        <v>0</v>
      </c>
      <c r="K257" s="8">
        <f>IF(AND(Таблицаx_2[[#This Row],[Месяц окончания]]=Таблицаx_2[[#This Row],[Месяц]],Таблицаx_2[[#This Row],[id]]=A258,EDATE(Таблицаx_2[[#This Row],[Месяц]],2)=D258),F258,0)</f>
        <v>0</v>
      </c>
    </row>
    <row r="258" spans="1:11" ht="12.75" hidden="1" customHeight="1" x14ac:dyDescent="0.2">
      <c r="A258" s="8">
        <v>671</v>
      </c>
      <c r="B258" s="8" t="s">
        <v>45</v>
      </c>
      <c r="C258" s="8" t="s">
        <v>6</v>
      </c>
      <c r="D258" s="12">
        <v>44866</v>
      </c>
      <c r="E258" s="8">
        <v>28000</v>
      </c>
      <c r="F258" s="10">
        <f>IF(ISTEXT(Таблицаx_2[[#This Row],[Значение]]), 0, Таблицаx_2[[#This Row],[Значение]])</f>
        <v>28000</v>
      </c>
      <c r="G258" s="12">
        <v>44866</v>
      </c>
      <c r="H258" s="10" t="str">
        <f>IFERROR(VLOOKUP(Таблицаx_2[[#This Row],[id]],prolongations!A:C,2,)," ")</f>
        <v>ноябрь 2022</v>
      </c>
      <c r="I258" s="10">
        <f>IF(Таблицаx_2[[#This Row],[Месяц окончания]]=Таблицаx_2[[#This Row],[Месяц]],Таблицаx_2[[#This Row],[Значения числа]],0)</f>
        <v>28000</v>
      </c>
      <c r="J258" s="8">
        <f>IF(AND(Таблицаx_2[[#This Row],[Месяц окончания]]=Таблицаx_2[[#This Row],[Месяц]],Таблицаx_2[[#This Row],[id]]=A259,EDATE(Таблицаx_2[[#This Row],[Месяц]],1)=D259),F259,0)</f>
        <v>37000</v>
      </c>
      <c r="K258" s="8">
        <f>IF(AND(Таблицаx_2[[#This Row],[Месяц окончания]]=Таблицаx_2[[#This Row],[Месяц]],Таблицаx_2[[#This Row],[id]]=A259,EDATE(Таблицаx_2[[#This Row],[Месяц]],2)=D259),F259,0)</f>
        <v>0</v>
      </c>
    </row>
    <row r="259" spans="1:11" ht="12.75" hidden="1" customHeight="1" x14ac:dyDescent="0.2">
      <c r="A259" s="8">
        <v>671</v>
      </c>
      <c r="B259" s="8" t="s">
        <v>45</v>
      </c>
      <c r="C259" s="8" t="s">
        <v>6</v>
      </c>
      <c r="D259" s="12">
        <v>44896</v>
      </c>
      <c r="E259" s="8">
        <v>37000</v>
      </c>
      <c r="F259" s="10">
        <f>IF(ISTEXT(Таблицаx_2[[#This Row],[Значение]]), 0, Таблицаx_2[[#This Row],[Значение]])</f>
        <v>37000</v>
      </c>
      <c r="G259" s="12">
        <v>44866</v>
      </c>
      <c r="H259" s="10" t="str">
        <f>IFERROR(VLOOKUP(Таблицаx_2[[#This Row],[id]],prolongations!A:C,2,)," ")</f>
        <v>ноябрь 2022</v>
      </c>
      <c r="I259" s="10">
        <f>IF(Таблицаx_2[[#This Row],[Месяц окончания]]=Таблицаx_2[[#This Row],[Месяц]],Таблицаx_2[[#This Row],[Значения числа]],0)</f>
        <v>0</v>
      </c>
      <c r="J259" s="8">
        <f>IF(AND(Таблицаx_2[[#This Row],[Месяц окончания]]=Таблицаx_2[[#This Row],[Месяц]],Таблицаx_2[[#This Row],[id]]=A260,EDATE(Таблицаx_2[[#This Row],[Месяц]],1)=D260),F260,0)</f>
        <v>0</v>
      </c>
      <c r="K259" s="8">
        <f>IF(AND(Таблицаx_2[[#This Row],[Месяц окончания]]=Таблицаx_2[[#This Row],[Месяц]],Таблицаx_2[[#This Row],[id]]=A260,EDATE(Таблицаx_2[[#This Row],[Месяц]],2)=D260),F260,0)</f>
        <v>0</v>
      </c>
    </row>
    <row r="260" spans="1:11" ht="12.75" hidden="1" customHeight="1" x14ac:dyDescent="0.2">
      <c r="A260" s="8">
        <v>671</v>
      </c>
      <c r="B260" s="8" t="s">
        <v>45</v>
      </c>
      <c r="C260" s="8" t="s">
        <v>6</v>
      </c>
      <c r="D260" s="12">
        <v>44927</v>
      </c>
      <c r="E260" s="8">
        <v>37000</v>
      </c>
      <c r="F260" s="10">
        <f>IF(ISTEXT(Таблицаx_2[[#This Row],[Значение]]), 0, Таблицаx_2[[#This Row],[Значение]])</f>
        <v>37000</v>
      </c>
      <c r="G260" s="12">
        <v>44866</v>
      </c>
      <c r="H260" s="10" t="str">
        <f>IFERROR(VLOOKUP(Таблицаx_2[[#This Row],[id]],prolongations!A:C,2,)," ")</f>
        <v>ноябрь 2022</v>
      </c>
      <c r="I260" s="10">
        <f>IF(Таблицаx_2[[#This Row],[Месяц окончания]]=Таблицаx_2[[#This Row],[Месяц]],Таблицаx_2[[#This Row],[Значения числа]],0)</f>
        <v>0</v>
      </c>
      <c r="J260" s="8">
        <f>IF(AND(Таблицаx_2[[#This Row],[Месяц окончания]]=Таблицаx_2[[#This Row],[Месяц]],Таблицаx_2[[#This Row],[id]]=A261,EDATE(Таблицаx_2[[#This Row],[Месяц]],1)=D261),F261,0)</f>
        <v>0</v>
      </c>
      <c r="K260" s="8">
        <f>IF(AND(Таблицаx_2[[#This Row],[Месяц окончания]]=Таблицаx_2[[#This Row],[Месяц]],Таблицаx_2[[#This Row],[id]]=A261,EDATE(Таблицаx_2[[#This Row],[Месяц]],2)=D261),F261,0)</f>
        <v>0</v>
      </c>
    </row>
    <row r="261" spans="1:11" ht="12.75" hidden="1" customHeight="1" x14ac:dyDescent="0.2">
      <c r="A261" s="8">
        <v>671</v>
      </c>
      <c r="B261" s="8" t="s">
        <v>47</v>
      </c>
      <c r="C261" s="8" t="s">
        <v>6</v>
      </c>
      <c r="D261" s="12">
        <v>44896</v>
      </c>
      <c r="E261" s="8">
        <v>68805</v>
      </c>
      <c r="F261" s="10">
        <f>IF(ISTEXT(Таблицаx_2[[#This Row],[Значение]]), 0, Таблицаx_2[[#This Row],[Значение]])</f>
        <v>68805</v>
      </c>
      <c r="G261" s="12">
        <v>44866</v>
      </c>
      <c r="H261" s="10" t="str">
        <f>IFERROR(VLOOKUP(Таблицаx_2[[#This Row],[id]],prolongations!A:C,2,)," ")</f>
        <v>ноябрь 2022</v>
      </c>
      <c r="I261" s="10">
        <f>IF(Таблицаx_2[[#This Row],[Месяц окончания]]=Таблицаx_2[[#This Row],[Месяц]],Таблицаx_2[[#This Row],[Значения числа]],0)</f>
        <v>0</v>
      </c>
      <c r="J261" s="8">
        <f>IF(AND(Таблицаx_2[[#This Row],[Месяц окончания]]=Таблицаx_2[[#This Row],[Месяц]],Таблицаx_2[[#This Row],[id]]=A262,EDATE(Таблицаx_2[[#This Row],[Месяц]],1)=D262),F262,0)</f>
        <v>0</v>
      </c>
      <c r="K261" s="8">
        <f>IF(AND(Таблицаx_2[[#This Row],[Месяц окончания]]=Таблицаx_2[[#This Row],[Месяц]],Таблицаx_2[[#This Row],[id]]=A262,EDATE(Таблицаx_2[[#This Row],[Месяц]],2)=D262),F262,0)</f>
        <v>0</v>
      </c>
    </row>
    <row r="262" spans="1:11" ht="12.75" hidden="1" customHeight="1" x14ac:dyDescent="0.2">
      <c r="A262" s="8">
        <v>671</v>
      </c>
      <c r="B262" s="8" t="s">
        <v>47</v>
      </c>
      <c r="C262" s="8" t="s">
        <v>6</v>
      </c>
      <c r="D262" s="12">
        <v>44927</v>
      </c>
      <c r="E262" s="8">
        <v>67835</v>
      </c>
      <c r="F262" s="10">
        <f>IF(ISTEXT(Таблицаx_2[[#This Row],[Значение]]), 0, Таблицаx_2[[#This Row],[Значение]])</f>
        <v>67835</v>
      </c>
      <c r="G262" s="12">
        <v>44866</v>
      </c>
      <c r="H262" s="10" t="str">
        <f>IFERROR(VLOOKUP(Таблицаx_2[[#This Row],[id]],prolongations!A:C,2,)," ")</f>
        <v>ноябрь 2022</v>
      </c>
      <c r="I262" s="10">
        <f>IF(Таблицаx_2[[#This Row],[Месяц окончания]]=Таблицаx_2[[#This Row],[Месяц]],Таблицаx_2[[#This Row],[Значения числа]],0)</f>
        <v>0</v>
      </c>
      <c r="J262" s="8">
        <f>IF(AND(Таблицаx_2[[#This Row],[Месяц окончания]]=Таблицаx_2[[#This Row],[Месяц]],Таблицаx_2[[#This Row],[id]]=A263,EDATE(Таблицаx_2[[#This Row],[Месяц]],1)=D263),F263,0)</f>
        <v>0</v>
      </c>
      <c r="K262" s="8">
        <f>IF(AND(Таблицаx_2[[#This Row],[Месяц окончания]]=Таблицаx_2[[#This Row],[Месяц]],Таблицаx_2[[#This Row],[id]]=A263,EDATE(Таблицаx_2[[#This Row],[Месяц]],2)=D263),F263,0)</f>
        <v>0</v>
      </c>
    </row>
    <row r="263" spans="1:11" ht="12.75" hidden="1" customHeight="1" x14ac:dyDescent="0.2">
      <c r="A263" s="8">
        <v>671</v>
      </c>
      <c r="B263" s="8" t="s">
        <v>47</v>
      </c>
      <c r="C263" s="8" t="s">
        <v>6</v>
      </c>
      <c r="D263" s="12">
        <v>44927</v>
      </c>
      <c r="E263" s="8">
        <v>3395</v>
      </c>
      <c r="F263" s="10">
        <f>IF(ISTEXT(Таблицаx_2[[#This Row],[Значение]]), 0, Таблицаx_2[[#This Row],[Значение]])</f>
        <v>3395</v>
      </c>
      <c r="G263" s="12">
        <v>44866</v>
      </c>
      <c r="H263" s="10" t="str">
        <f>IFERROR(VLOOKUP(Таблицаx_2[[#This Row],[id]],prolongations!A:C,2,)," ")</f>
        <v>ноябрь 2022</v>
      </c>
      <c r="I263" s="10">
        <f>IF(Таблицаx_2[[#This Row],[Месяц окончания]]=Таблицаx_2[[#This Row],[Месяц]],Таблицаx_2[[#This Row],[Значения числа]],0)</f>
        <v>0</v>
      </c>
      <c r="J263" s="8">
        <f>IF(AND(Таблицаx_2[[#This Row],[Месяц окончания]]=Таблицаx_2[[#This Row],[Месяц]],Таблицаx_2[[#This Row],[id]]=A264,EDATE(Таблицаx_2[[#This Row],[Месяц]],1)=D264),F264,0)</f>
        <v>0</v>
      </c>
      <c r="K263" s="8">
        <f>IF(AND(Таблицаx_2[[#This Row],[Месяц окончания]]=Таблицаx_2[[#This Row],[Месяц]],Таблицаx_2[[#This Row],[id]]=A264,EDATE(Таблицаx_2[[#This Row],[Месяц]],2)=D264),F264,0)</f>
        <v>0</v>
      </c>
    </row>
    <row r="264" spans="1:11" ht="12.75" hidden="1" customHeight="1" x14ac:dyDescent="0.2">
      <c r="A264" s="8">
        <v>732</v>
      </c>
      <c r="B264" s="8" t="s">
        <v>45</v>
      </c>
      <c r="C264" s="8" t="s">
        <v>11</v>
      </c>
      <c r="D264" s="12">
        <v>45047</v>
      </c>
      <c r="E264" s="8">
        <v>153212.5</v>
      </c>
      <c r="F264" s="10">
        <f>IF(ISTEXT(Таблицаx_2[[#This Row],[Значение]]), 0, Таблицаx_2[[#This Row],[Значение]])</f>
        <v>153212.5</v>
      </c>
      <c r="G264" s="12">
        <v>44927</v>
      </c>
      <c r="H264" s="10" t="str">
        <f>IFERROR(VLOOKUP(Таблицаx_2[[#This Row],[id]],prolongations!A:C,2,)," ")</f>
        <v>январь 2023</v>
      </c>
      <c r="I264" s="10">
        <f>IF(Таблицаx_2[[#This Row],[Месяц окончания]]=Таблицаx_2[[#This Row],[Месяц]],Таблицаx_2[[#This Row],[Значения числа]],0)</f>
        <v>0</v>
      </c>
      <c r="J264" s="8">
        <f>IF(AND(Таблицаx_2[[#This Row],[Месяц окончания]]=Таблицаx_2[[#This Row],[Месяц]],Таблицаx_2[[#This Row],[id]]=A265,EDATE(Таблицаx_2[[#This Row],[Месяц]],1)=D265),F265,0)</f>
        <v>0</v>
      </c>
      <c r="K264" s="8">
        <f>IF(AND(Таблицаx_2[[#This Row],[Месяц окончания]]=Таблицаx_2[[#This Row],[Месяц]],Таблицаx_2[[#This Row],[id]]=A265,EDATE(Таблицаx_2[[#This Row],[Месяц]],2)=D265),F265,0)</f>
        <v>0</v>
      </c>
    </row>
    <row r="265" spans="1:11" ht="12.75" hidden="1" customHeight="1" x14ac:dyDescent="0.2">
      <c r="A265" s="8">
        <v>732</v>
      </c>
      <c r="B265" s="8" t="s">
        <v>47</v>
      </c>
      <c r="C265" s="8" t="s">
        <v>11</v>
      </c>
      <c r="D265" s="12">
        <v>45047</v>
      </c>
      <c r="E265" s="8">
        <v>153212.5</v>
      </c>
      <c r="F265" s="10">
        <f>IF(ISTEXT(Таблицаx_2[[#This Row],[Значение]]), 0, Таблицаx_2[[#This Row],[Значение]])</f>
        <v>153212.5</v>
      </c>
      <c r="G265" s="12">
        <v>44927</v>
      </c>
      <c r="H265" s="10" t="str">
        <f>IFERROR(VLOOKUP(Таблицаx_2[[#This Row],[id]],prolongations!A:C,2,)," ")</f>
        <v>январь 2023</v>
      </c>
      <c r="I265" s="10">
        <f>IF(Таблицаx_2[[#This Row],[Месяц окончания]]=Таблицаx_2[[#This Row],[Месяц]],Таблицаx_2[[#This Row],[Значения числа]],0)</f>
        <v>0</v>
      </c>
      <c r="J265" s="8">
        <f>IF(AND(Таблицаx_2[[#This Row],[Месяц окончания]]=Таблицаx_2[[#This Row],[Месяц]],Таблицаx_2[[#This Row],[id]]=A266,EDATE(Таблицаx_2[[#This Row],[Месяц]],1)=D266),F266,0)</f>
        <v>0</v>
      </c>
      <c r="K265" s="8">
        <f>IF(AND(Таблицаx_2[[#This Row],[Месяц окончания]]=Таблицаx_2[[#This Row],[Месяц]],Таблицаx_2[[#This Row],[id]]=A266,EDATE(Таблицаx_2[[#This Row],[Месяц]],2)=D266),F266,0)</f>
        <v>0</v>
      </c>
    </row>
    <row r="266" spans="1:11" ht="12.75" hidden="1" customHeight="1" x14ac:dyDescent="0.2">
      <c r="A266" s="8">
        <v>530</v>
      </c>
      <c r="B266" s="8" t="s">
        <v>49</v>
      </c>
      <c r="C266" s="8" t="s">
        <v>4</v>
      </c>
      <c r="D266" s="12">
        <v>44866</v>
      </c>
      <c r="E266" s="8">
        <v>44030</v>
      </c>
      <c r="F266" s="10">
        <f>IF(ISTEXT(Таблицаx_2[[#This Row],[Значение]]), 0, Таблицаx_2[[#This Row],[Значение]])</f>
        <v>44030</v>
      </c>
      <c r="G266" s="12">
        <v>44986</v>
      </c>
      <c r="H266" s="10" t="str">
        <f>IFERROR(VLOOKUP(Таблицаx_2[[#This Row],[id]],prolongations!A:C,2,)," ")</f>
        <v>март 2023</v>
      </c>
      <c r="I266" s="10">
        <f>IF(Таблицаx_2[[#This Row],[Месяц окончания]]=Таблицаx_2[[#This Row],[Месяц]],Таблицаx_2[[#This Row],[Значения числа]],0)</f>
        <v>0</v>
      </c>
      <c r="J266" s="8">
        <f>IF(AND(Таблицаx_2[[#This Row],[Месяц окончания]]=Таблицаx_2[[#This Row],[Месяц]],Таблицаx_2[[#This Row],[id]]=A267,EDATE(Таблицаx_2[[#This Row],[Месяц]],1)=D267),F267,0)</f>
        <v>0</v>
      </c>
      <c r="K266" s="8">
        <f>IF(AND(Таблицаx_2[[#This Row],[Месяц окончания]]=Таблицаx_2[[#This Row],[Месяц]],Таблицаx_2[[#This Row],[id]]=A267,EDATE(Таблицаx_2[[#This Row],[Месяц]],2)=D267),F267,0)</f>
        <v>0</v>
      </c>
    </row>
    <row r="267" spans="1:11" ht="12.75" hidden="1" customHeight="1" x14ac:dyDescent="0.2">
      <c r="A267" s="8">
        <v>530</v>
      </c>
      <c r="B267" s="8" t="s">
        <v>49</v>
      </c>
      <c r="C267" s="8" t="s">
        <v>4</v>
      </c>
      <c r="D267" s="12">
        <v>44896</v>
      </c>
      <c r="E267" s="8">
        <v>48280</v>
      </c>
      <c r="F267" s="10">
        <f>IF(ISTEXT(Таблицаx_2[[#This Row],[Значение]]), 0, Таблицаx_2[[#This Row],[Значение]])</f>
        <v>48280</v>
      </c>
      <c r="G267" s="12">
        <v>44986</v>
      </c>
      <c r="H267" s="10" t="str">
        <f>IFERROR(VLOOKUP(Таблицаx_2[[#This Row],[id]],prolongations!A:C,2,)," ")</f>
        <v>март 2023</v>
      </c>
      <c r="I267" s="10">
        <f>IF(Таблицаx_2[[#This Row],[Месяц окончания]]=Таблицаx_2[[#This Row],[Месяц]],Таблицаx_2[[#This Row],[Значения числа]],0)</f>
        <v>0</v>
      </c>
      <c r="J267" s="8">
        <f>IF(AND(Таблицаx_2[[#This Row],[Месяц окончания]]=Таблицаx_2[[#This Row],[Месяц]],Таблицаx_2[[#This Row],[id]]=A268,EDATE(Таблицаx_2[[#This Row],[Месяц]],1)=D268),F268,0)</f>
        <v>0</v>
      </c>
      <c r="K267" s="8">
        <f>IF(AND(Таблицаx_2[[#This Row],[Месяц окончания]]=Таблицаx_2[[#This Row],[Месяц]],Таблицаx_2[[#This Row],[id]]=A268,EDATE(Таблицаx_2[[#This Row],[Месяц]],2)=D268),F268,0)</f>
        <v>0</v>
      </c>
    </row>
    <row r="268" spans="1:11" ht="12.75" hidden="1" customHeight="1" x14ac:dyDescent="0.2">
      <c r="A268" s="8">
        <v>530</v>
      </c>
      <c r="B268" s="8" t="s">
        <v>49</v>
      </c>
      <c r="C268" s="8" t="s">
        <v>4</v>
      </c>
      <c r="D268" s="12">
        <v>44927</v>
      </c>
      <c r="E268" s="8">
        <v>44030</v>
      </c>
      <c r="F268" s="10">
        <f>IF(ISTEXT(Таблицаx_2[[#This Row],[Значение]]), 0, Таблицаx_2[[#This Row],[Значение]])</f>
        <v>44030</v>
      </c>
      <c r="G268" s="12">
        <v>44986</v>
      </c>
      <c r="H268" s="10" t="str">
        <f>IFERROR(VLOOKUP(Таблицаx_2[[#This Row],[id]],prolongations!A:C,2,)," ")</f>
        <v>март 2023</v>
      </c>
      <c r="I268" s="10">
        <f>IF(Таблицаx_2[[#This Row],[Месяц окончания]]=Таблицаx_2[[#This Row],[Месяц]],Таблицаx_2[[#This Row],[Значения числа]],0)</f>
        <v>0</v>
      </c>
      <c r="J268" s="8">
        <f>IF(AND(Таблицаx_2[[#This Row],[Месяц окончания]]=Таблицаx_2[[#This Row],[Месяц]],Таблицаx_2[[#This Row],[id]]=A269,EDATE(Таблицаx_2[[#This Row],[Месяц]],1)=D269),F269,0)</f>
        <v>0</v>
      </c>
      <c r="K268" s="8">
        <f>IF(AND(Таблицаx_2[[#This Row],[Месяц окончания]]=Таблицаx_2[[#This Row],[Месяц]],Таблицаx_2[[#This Row],[id]]=A269,EDATE(Таблицаx_2[[#This Row],[Месяц]],2)=D269),F269,0)</f>
        <v>0</v>
      </c>
    </row>
    <row r="269" spans="1:11" ht="12.75" hidden="1" customHeight="1" x14ac:dyDescent="0.2">
      <c r="A269" s="8">
        <v>530</v>
      </c>
      <c r="B269" s="8" t="s">
        <v>49</v>
      </c>
      <c r="C269" s="8" t="s">
        <v>4</v>
      </c>
      <c r="D269" s="12">
        <v>44958</v>
      </c>
      <c r="E269" s="8">
        <v>44030</v>
      </c>
      <c r="F269" s="10">
        <f>IF(ISTEXT(Таблицаx_2[[#This Row],[Значение]]), 0, Таблицаx_2[[#This Row],[Значение]])</f>
        <v>44030</v>
      </c>
      <c r="G269" s="12">
        <v>44986</v>
      </c>
      <c r="H269" s="10" t="str">
        <f>IFERROR(VLOOKUP(Таблицаx_2[[#This Row],[id]],prolongations!A:C,2,)," ")</f>
        <v>март 2023</v>
      </c>
      <c r="I269" s="10">
        <f>IF(Таблицаx_2[[#This Row],[Месяц окончания]]=Таблицаx_2[[#This Row],[Месяц]],Таблицаx_2[[#This Row],[Значения числа]],0)</f>
        <v>0</v>
      </c>
      <c r="J269" s="8">
        <f>IF(AND(Таблицаx_2[[#This Row],[Месяц окончания]]=Таблицаx_2[[#This Row],[Месяц]],Таблицаx_2[[#This Row],[id]]=A270,EDATE(Таблицаx_2[[#This Row],[Месяц]],1)=D270),F270,0)</f>
        <v>0</v>
      </c>
      <c r="K269" s="8">
        <f>IF(AND(Таблицаx_2[[#This Row],[Месяц окончания]]=Таблицаx_2[[#This Row],[Месяц]],Таблицаx_2[[#This Row],[id]]=A270,EDATE(Таблицаx_2[[#This Row],[Месяц]],2)=D270),F270,0)</f>
        <v>0</v>
      </c>
    </row>
    <row r="270" spans="1:11" ht="12.75" hidden="1" customHeight="1" x14ac:dyDescent="0.2">
      <c r="A270" s="8">
        <v>530</v>
      </c>
      <c r="B270" s="8" t="s">
        <v>49</v>
      </c>
      <c r="C270" s="8" t="s">
        <v>4</v>
      </c>
      <c r="D270" s="12">
        <v>44986</v>
      </c>
      <c r="E270" s="8">
        <v>48280</v>
      </c>
      <c r="F270" s="10">
        <f>IF(ISTEXT(Таблицаx_2[[#This Row],[Значение]]), 0, Таблицаx_2[[#This Row],[Значение]])</f>
        <v>48280</v>
      </c>
      <c r="G270" s="12">
        <v>44986</v>
      </c>
      <c r="H270" s="10" t="str">
        <f>IFERROR(VLOOKUP(Таблицаx_2[[#This Row],[id]],prolongations!A:C,2,)," ")</f>
        <v>март 2023</v>
      </c>
      <c r="I270" s="10">
        <f>IF(Таблицаx_2[[#This Row],[Месяц окончания]]=Таблицаx_2[[#This Row],[Месяц]],Таблицаx_2[[#This Row],[Значения числа]],0)</f>
        <v>48280</v>
      </c>
      <c r="J270" s="8">
        <f>IF(AND(Таблицаx_2[[#This Row],[Месяц окончания]]=Таблицаx_2[[#This Row],[Месяц]],Таблицаx_2[[#This Row],[id]]=A271,EDATE(Таблицаx_2[[#This Row],[Месяц]],1)=D271),F271,0)</f>
        <v>0</v>
      </c>
      <c r="K270" s="8">
        <f>IF(AND(Таблицаx_2[[#This Row],[Месяц окончания]]=Таблицаx_2[[#This Row],[Месяц]],Таблицаx_2[[#This Row],[id]]=A271,EDATE(Таблицаx_2[[#This Row],[Месяц]],2)=D271),F271,0)</f>
        <v>0</v>
      </c>
    </row>
    <row r="271" spans="1:11" ht="12.75" hidden="1" customHeight="1" x14ac:dyDescent="0.2">
      <c r="A271" s="8">
        <v>549</v>
      </c>
      <c r="B271" s="8"/>
      <c r="C271" s="8" t="s">
        <v>4</v>
      </c>
      <c r="D271" s="12">
        <v>44866</v>
      </c>
      <c r="E271" s="8">
        <v>47234</v>
      </c>
      <c r="F271" s="10">
        <f>IF(ISTEXT(Таблицаx_2[[#This Row],[Значение]]), 0, Таблицаx_2[[#This Row],[Значение]])</f>
        <v>47234</v>
      </c>
      <c r="G271" s="12">
        <v>44986</v>
      </c>
      <c r="H271" s="10" t="str">
        <f>IFERROR(VLOOKUP(Таблицаx_2[[#This Row],[id]],prolongations!A:C,2,)," ")</f>
        <v>март 2023</v>
      </c>
      <c r="I271" s="10">
        <f>IF(Таблицаx_2[[#This Row],[Месяц окончания]]=Таблицаx_2[[#This Row],[Месяц]],Таблицаx_2[[#This Row],[Значения числа]],0)</f>
        <v>0</v>
      </c>
      <c r="J271" s="8">
        <f>IF(AND(Таблицаx_2[[#This Row],[Месяц окончания]]=Таблицаx_2[[#This Row],[Месяц]],Таблицаx_2[[#This Row],[id]]=A272,EDATE(Таблицаx_2[[#This Row],[Месяц]],1)=D272),F272,0)</f>
        <v>0</v>
      </c>
      <c r="K271" s="8">
        <f>IF(AND(Таблицаx_2[[#This Row],[Месяц окончания]]=Таблицаx_2[[#This Row],[Месяц]],Таблицаx_2[[#This Row],[id]]=A272,EDATE(Таблицаx_2[[#This Row],[Месяц]],2)=D272),F272,0)</f>
        <v>0</v>
      </c>
    </row>
    <row r="272" spans="1:11" ht="12.75" hidden="1" customHeight="1" x14ac:dyDescent="0.2">
      <c r="A272" s="8">
        <v>549</v>
      </c>
      <c r="B272" s="8"/>
      <c r="C272" s="8" t="s">
        <v>4</v>
      </c>
      <c r="D272" s="12">
        <v>44896</v>
      </c>
      <c r="E272" s="8">
        <v>53608.5</v>
      </c>
      <c r="F272" s="10">
        <f>IF(ISTEXT(Таблицаx_2[[#This Row],[Значение]]), 0, Таблицаx_2[[#This Row],[Значение]])</f>
        <v>53608.5</v>
      </c>
      <c r="G272" s="12">
        <v>44986</v>
      </c>
      <c r="H272" s="10" t="str">
        <f>IFERROR(VLOOKUP(Таблицаx_2[[#This Row],[id]],prolongations!A:C,2,)," ")</f>
        <v>март 2023</v>
      </c>
      <c r="I272" s="10">
        <f>IF(Таблицаx_2[[#This Row],[Месяц окончания]]=Таблицаx_2[[#This Row],[Месяц]],Таблицаx_2[[#This Row],[Значения числа]],0)</f>
        <v>0</v>
      </c>
      <c r="J272" s="8">
        <f>IF(AND(Таблицаx_2[[#This Row],[Месяц окончания]]=Таблицаx_2[[#This Row],[Месяц]],Таблицаx_2[[#This Row],[id]]=A273,EDATE(Таблицаx_2[[#This Row],[Месяц]],1)=D273),F273,0)</f>
        <v>0</v>
      </c>
      <c r="K272" s="8">
        <f>IF(AND(Таблицаx_2[[#This Row],[Месяц окончания]]=Таблицаx_2[[#This Row],[Месяц]],Таблицаx_2[[#This Row],[id]]=A273,EDATE(Таблицаx_2[[#This Row],[Месяц]],2)=D273),F273,0)</f>
        <v>0</v>
      </c>
    </row>
    <row r="273" spans="1:11" ht="12.75" hidden="1" customHeight="1" x14ac:dyDescent="0.2">
      <c r="A273" s="8">
        <v>549</v>
      </c>
      <c r="B273" s="8"/>
      <c r="C273" s="8" t="s">
        <v>4</v>
      </c>
      <c r="D273" s="12">
        <v>44927</v>
      </c>
      <c r="E273" s="8">
        <v>47234</v>
      </c>
      <c r="F273" s="10">
        <f>IF(ISTEXT(Таблицаx_2[[#This Row],[Значение]]), 0, Таблицаx_2[[#This Row],[Значение]])</f>
        <v>47234</v>
      </c>
      <c r="G273" s="12">
        <v>44986</v>
      </c>
      <c r="H273" s="10" t="str">
        <f>IFERROR(VLOOKUP(Таблицаx_2[[#This Row],[id]],prolongations!A:C,2,)," ")</f>
        <v>март 2023</v>
      </c>
      <c r="I273" s="10">
        <f>IF(Таблицаx_2[[#This Row],[Месяц окончания]]=Таблицаx_2[[#This Row],[Месяц]],Таблицаx_2[[#This Row],[Значения числа]],0)</f>
        <v>0</v>
      </c>
      <c r="J273" s="8">
        <f>IF(AND(Таблицаx_2[[#This Row],[Месяц окончания]]=Таблицаx_2[[#This Row],[Месяц]],Таблицаx_2[[#This Row],[id]]=A274,EDATE(Таблицаx_2[[#This Row],[Месяц]],1)=D274),F274,0)</f>
        <v>0</v>
      </c>
      <c r="K273" s="8">
        <f>IF(AND(Таблицаx_2[[#This Row],[Месяц окончания]]=Таблицаx_2[[#This Row],[Месяц]],Таблицаx_2[[#This Row],[id]]=A274,EDATE(Таблицаx_2[[#This Row],[Месяц]],2)=D274),F274,0)</f>
        <v>0</v>
      </c>
    </row>
    <row r="274" spans="1:11" ht="12.75" hidden="1" customHeight="1" x14ac:dyDescent="0.2">
      <c r="A274" s="8">
        <v>549</v>
      </c>
      <c r="B274" s="8"/>
      <c r="C274" s="8" t="s">
        <v>4</v>
      </c>
      <c r="D274" s="12">
        <v>44958</v>
      </c>
      <c r="E274" s="8">
        <v>46958.5</v>
      </c>
      <c r="F274" s="10">
        <f>IF(ISTEXT(Таблицаx_2[[#This Row],[Значение]]), 0, Таблицаx_2[[#This Row],[Значение]])</f>
        <v>46958.5</v>
      </c>
      <c r="G274" s="12">
        <v>44986</v>
      </c>
      <c r="H274" s="10" t="str">
        <f>IFERROR(VLOOKUP(Таблицаx_2[[#This Row],[id]],prolongations!A:C,2,)," ")</f>
        <v>март 2023</v>
      </c>
      <c r="I274" s="10">
        <f>IF(Таблицаx_2[[#This Row],[Месяц окончания]]=Таблицаx_2[[#This Row],[Месяц]],Таблицаx_2[[#This Row],[Значения числа]],0)</f>
        <v>0</v>
      </c>
      <c r="J274" s="8">
        <f>IF(AND(Таблицаx_2[[#This Row],[Месяц окончания]]=Таблицаx_2[[#This Row],[Месяц]],Таблицаx_2[[#This Row],[id]]=A275,EDATE(Таблицаx_2[[#This Row],[Месяц]],1)=D275),F275,0)</f>
        <v>0</v>
      </c>
      <c r="K274" s="8">
        <f>IF(AND(Таблицаx_2[[#This Row],[Месяц окончания]]=Таблицаx_2[[#This Row],[Месяц]],Таблицаx_2[[#This Row],[id]]=A275,EDATE(Таблицаx_2[[#This Row],[Месяц]],2)=D275),F275,0)</f>
        <v>0</v>
      </c>
    </row>
    <row r="275" spans="1:11" ht="12.75" hidden="1" customHeight="1" x14ac:dyDescent="0.2">
      <c r="A275" s="8">
        <v>549</v>
      </c>
      <c r="B275" s="8"/>
      <c r="C275" s="8" t="s">
        <v>4</v>
      </c>
      <c r="D275" s="12">
        <v>44986</v>
      </c>
      <c r="E275" s="8">
        <v>53884</v>
      </c>
      <c r="F275" s="10">
        <f>IF(ISTEXT(Таблицаx_2[[#This Row],[Значение]]), 0, Таблицаx_2[[#This Row],[Значение]])</f>
        <v>53884</v>
      </c>
      <c r="G275" s="12">
        <v>44986</v>
      </c>
      <c r="H275" s="10" t="str">
        <f>IFERROR(VLOOKUP(Таблицаx_2[[#This Row],[id]],prolongations!A:C,2,)," ")</f>
        <v>март 2023</v>
      </c>
      <c r="I275" s="10">
        <f>IF(Таблицаx_2[[#This Row],[Месяц окончания]]=Таблицаx_2[[#This Row],[Месяц]],Таблицаx_2[[#This Row],[Значения числа]],0)</f>
        <v>53884</v>
      </c>
      <c r="J275" s="8">
        <f>IF(AND(Таблицаx_2[[#This Row],[Месяц окончания]]=Таблицаx_2[[#This Row],[Месяц]],Таблицаx_2[[#This Row],[id]]=A276,EDATE(Таблицаx_2[[#This Row],[Месяц]],1)=D276),F276,0)</f>
        <v>0</v>
      </c>
      <c r="K275" s="8">
        <f>IF(AND(Таблицаx_2[[#This Row],[Месяц окончания]]=Таблицаx_2[[#This Row],[Месяц]],Таблицаx_2[[#This Row],[id]]=A276,EDATE(Таблицаx_2[[#This Row],[Месяц]],2)=D276),F276,0)</f>
        <v>0</v>
      </c>
    </row>
    <row r="276" spans="1:11" ht="12.75" hidden="1" customHeight="1" x14ac:dyDescent="0.2">
      <c r="A276" s="8">
        <v>686</v>
      </c>
      <c r="B276" s="8"/>
      <c r="C276" s="8" t="s">
        <v>4</v>
      </c>
      <c r="D276" s="12">
        <v>44866</v>
      </c>
      <c r="E276" s="8">
        <v>108866.5</v>
      </c>
      <c r="F276" s="10">
        <f>IF(ISTEXT(Таблицаx_2[[#This Row],[Значение]]), 0, Таблицаx_2[[#This Row],[Значение]])</f>
        <v>108866.5</v>
      </c>
      <c r="G276" s="12">
        <v>44986</v>
      </c>
      <c r="H276" s="10" t="str">
        <f>IFERROR(VLOOKUP(Таблицаx_2[[#This Row],[id]],prolongations!A:C,2,)," ")</f>
        <v>март 2023</v>
      </c>
      <c r="I276" s="10">
        <f>IF(Таблицаx_2[[#This Row],[Месяц окончания]]=Таблицаx_2[[#This Row],[Месяц]],Таблицаx_2[[#This Row],[Значения числа]],0)</f>
        <v>0</v>
      </c>
      <c r="J276" s="8">
        <f>IF(AND(Таблицаx_2[[#This Row],[Месяц окончания]]=Таблицаx_2[[#This Row],[Месяц]],Таблицаx_2[[#This Row],[id]]=A277,EDATE(Таблицаx_2[[#This Row],[Месяц]],1)=D277),F277,0)</f>
        <v>0</v>
      </c>
      <c r="K276" s="8">
        <f>IF(AND(Таблицаx_2[[#This Row],[Месяц окончания]]=Таблицаx_2[[#This Row],[Месяц]],Таблицаx_2[[#This Row],[id]]=A277,EDATE(Таблицаx_2[[#This Row],[Месяц]],2)=D277),F277,0)</f>
        <v>0</v>
      </c>
    </row>
    <row r="277" spans="1:11" ht="12.75" hidden="1" customHeight="1" x14ac:dyDescent="0.2">
      <c r="A277" s="8">
        <v>686</v>
      </c>
      <c r="B277" s="8"/>
      <c r="C277" s="8" t="s">
        <v>4</v>
      </c>
      <c r="D277" s="12">
        <v>44896</v>
      </c>
      <c r="E277" s="8">
        <v>42297</v>
      </c>
      <c r="F277" s="10">
        <f>IF(ISTEXT(Таблицаx_2[[#This Row],[Значение]]), 0, Таблицаx_2[[#This Row],[Значение]])</f>
        <v>42297</v>
      </c>
      <c r="G277" s="12">
        <v>44986</v>
      </c>
      <c r="H277" s="10" t="str">
        <f>IFERROR(VLOOKUP(Таблицаx_2[[#This Row],[id]],prolongations!A:C,2,)," ")</f>
        <v>март 2023</v>
      </c>
      <c r="I277" s="10">
        <f>IF(Таблицаx_2[[#This Row],[Месяц окончания]]=Таблицаx_2[[#This Row],[Месяц]],Таблицаx_2[[#This Row],[Значения числа]],0)</f>
        <v>0</v>
      </c>
      <c r="J277" s="8">
        <f>IF(AND(Таблицаx_2[[#This Row],[Месяц окончания]]=Таблицаx_2[[#This Row],[Месяц]],Таблицаx_2[[#This Row],[id]]=A278,EDATE(Таблицаx_2[[#This Row],[Месяц]],1)=D278),F278,0)</f>
        <v>0</v>
      </c>
      <c r="K277" s="8">
        <f>IF(AND(Таблицаx_2[[#This Row],[Месяц окончания]]=Таблицаx_2[[#This Row],[Месяц]],Таблицаx_2[[#This Row],[id]]=A278,EDATE(Таблицаx_2[[#This Row],[Месяц]],2)=D278),F278,0)</f>
        <v>0</v>
      </c>
    </row>
    <row r="278" spans="1:11" ht="12.75" hidden="1" customHeight="1" x14ac:dyDescent="0.2">
      <c r="A278" s="8">
        <v>686</v>
      </c>
      <c r="B278" s="8"/>
      <c r="C278" s="8" t="s">
        <v>4</v>
      </c>
      <c r="D278" s="12">
        <v>44927</v>
      </c>
      <c r="E278" s="8">
        <v>77784.5</v>
      </c>
      <c r="F278" s="10">
        <f>IF(ISTEXT(Таблицаx_2[[#This Row],[Значение]]), 0, Таблицаx_2[[#This Row],[Значение]])</f>
        <v>77784.5</v>
      </c>
      <c r="G278" s="12">
        <v>44986</v>
      </c>
      <c r="H278" s="10" t="str">
        <f>IFERROR(VLOOKUP(Таблицаx_2[[#This Row],[id]],prolongations!A:C,2,)," ")</f>
        <v>март 2023</v>
      </c>
      <c r="I278" s="10">
        <f>IF(Таблицаx_2[[#This Row],[Месяц окончания]]=Таблицаx_2[[#This Row],[Месяц]],Таблицаx_2[[#This Row],[Значения числа]],0)</f>
        <v>0</v>
      </c>
      <c r="J278" s="8">
        <f>IF(AND(Таблицаx_2[[#This Row],[Месяц окончания]]=Таблицаx_2[[#This Row],[Месяц]],Таблицаx_2[[#This Row],[id]]=A279,EDATE(Таблицаx_2[[#This Row],[Месяц]],1)=D279),F279,0)</f>
        <v>0</v>
      </c>
      <c r="K278" s="8">
        <f>IF(AND(Таблицаx_2[[#This Row],[Месяц окончания]]=Таблицаx_2[[#This Row],[Месяц]],Таблицаx_2[[#This Row],[id]]=A279,EDATE(Таблицаx_2[[#This Row],[Месяц]],2)=D279),F279,0)</f>
        <v>0</v>
      </c>
    </row>
    <row r="279" spans="1:11" ht="12.75" hidden="1" customHeight="1" x14ac:dyDescent="0.2">
      <c r="A279" s="8">
        <v>686</v>
      </c>
      <c r="B279" s="8"/>
      <c r="C279" s="8" t="s">
        <v>4</v>
      </c>
      <c r="D279" s="12">
        <v>44958</v>
      </c>
      <c r="E279" s="8">
        <v>48173.5</v>
      </c>
      <c r="F279" s="10">
        <f>IF(ISTEXT(Таблицаx_2[[#This Row],[Значение]]), 0, Таблицаx_2[[#This Row],[Значение]])</f>
        <v>48173.5</v>
      </c>
      <c r="G279" s="12">
        <v>44986</v>
      </c>
      <c r="H279" s="10" t="str">
        <f>IFERROR(VLOOKUP(Таблицаx_2[[#This Row],[id]],prolongations!A:C,2,)," ")</f>
        <v>март 2023</v>
      </c>
      <c r="I279" s="10">
        <f>IF(Таблицаx_2[[#This Row],[Месяц окончания]]=Таблицаx_2[[#This Row],[Месяц]],Таблицаx_2[[#This Row],[Значения числа]],0)</f>
        <v>0</v>
      </c>
      <c r="J279" s="8">
        <f>IF(AND(Таблицаx_2[[#This Row],[Месяц окончания]]=Таблицаx_2[[#This Row],[Месяц]],Таблицаx_2[[#This Row],[id]]=A280,EDATE(Таблицаx_2[[#This Row],[Месяц]],1)=D280),F280,0)</f>
        <v>0</v>
      </c>
      <c r="K279" s="8">
        <f>IF(AND(Таблицаx_2[[#This Row],[Месяц окончания]]=Таблицаx_2[[#This Row],[Месяц]],Таблицаx_2[[#This Row],[id]]=A280,EDATE(Таблицаx_2[[#This Row],[Месяц]],2)=D280),F280,0)</f>
        <v>0</v>
      </c>
    </row>
    <row r="280" spans="1:11" ht="12.75" hidden="1" customHeight="1" x14ac:dyDescent="0.2">
      <c r="A280" s="8">
        <v>686</v>
      </c>
      <c r="B280" s="8"/>
      <c r="C280" s="8" t="s">
        <v>4</v>
      </c>
      <c r="D280" s="12">
        <v>44986</v>
      </c>
      <c r="E280" s="8">
        <v>86496.5</v>
      </c>
      <c r="F280" s="10">
        <f>IF(ISTEXT(Таблицаx_2[[#This Row],[Значение]]), 0, Таблицаx_2[[#This Row],[Значение]])</f>
        <v>86496.5</v>
      </c>
      <c r="G280" s="12">
        <v>44986</v>
      </c>
      <c r="H280" s="10" t="str">
        <f>IFERROR(VLOOKUP(Таблицаx_2[[#This Row],[id]],prolongations!A:C,2,)," ")</f>
        <v>март 2023</v>
      </c>
      <c r="I280" s="10">
        <f>IF(Таблицаx_2[[#This Row],[Месяц окончания]]=Таблицаx_2[[#This Row],[Месяц]],Таблицаx_2[[#This Row],[Значения числа]],0)</f>
        <v>86496.5</v>
      </c>
      <c r="J280" s="8">
        <f>IF(AND(Таблицаx_2[[#This Row],[Месяц окончания]]=Таблицаx_2[[#This Row],[Месяц]],Таблицаx_2[[#This Row],[id]]=A281,EDATE(Таблицаx_2[[#This Row],[Месяц]],1)=D281),F281,0)</f>
        <v>0</v>
      </c>
      <c r="K280" s="8">
        <f>IF(AND(Таблицаx_2[[#This Row],[Месяц окончания]]=Таблицаx_2[[#This Row],[Месяц]],Таблицаx_2[[#This Row],[id]]=A281,EDATE(Таблицаx_2[[#This Row],[Месяц]],2)=D281),F281,0)</f>
        <v>0</v>
      </c>
    </row>
    <row r="281" spans="1:11" ht="12.75" hidden="1" customHeight="1" x14ac:dyDescent="0.2">
      <c r="A281" s="8">
        <v>56</v>
      </c>
      <c r="B281" s="8"/>
      <c r="C281" s="8" t="s">
        <v>4</v>
      </c>
      <c r="D281" s="12">
        <v>44927</v>
      </c>
      <c r="E281" s="8">
        <v>24615</v>
      </c>
      <c r="F281" s="10">
        <f>IF(ISTEXT(Таблицаx_2[[#This Row],[Значение]]), 0, Таблицаx_2[[#This Row],[Значение]])</f>
        <v>24615</v>
      </c>
      <c r="G281" s="12">
        <v>44986</v>
      </c>
      <c r="H281" s="10" t="str">
        <f>IFERROR(VLOOKUP(Таблицаx_2[[#This Row],[id]],prolongations!A:C,2,)," ")</f>
        <v>март 2023</v>
      </c>
      <c r="I281" s="10">
        <f>IF(Таблицаx_2[[#This Row],[Месяц окончания]]=Таблицаx_2[[#This Row],[Месяц]],Таблицаx_2[[#This Row],[Значения числа]],0)</f>
        <v>0</v>
      </c>
      <c r="J281" s="8">
        <f>IF(AND(Таблицаx_2[[#This Row],[Месяц окончания]]=Таблицаx_2[[#This Row],[Месяц]],Таблицаx_2[[#This Row],[id]]=A282,EDATE(Таблицаx_2[[#This Row],[Месяц]],1)=D282),F282,0)</f>
        <v>0</v>
      </c>
      <c r="K281" s="8">
        <f>IF(AND(Таблицаx_2[[#This Row],[Месяц окончания]]=Таблицаx_2[[#This Row],[Месяц]],Таблицаx_2[[#This Row],[id]]=A282,EDATE(Таблицаx_2[[#This Row],[Месяц]],2)=D282),F282,0)</f>
        <v>0</v>
      </c>
    </row>
    <row r="282" spans="1:11" ht="12.75" hidden="1" customHeight="1" x14ac:dyDescent="0.2">
      <c r="A282" s="8">
        <v>56</v>
      </c>
      <c r="B282" s="8"/>
      <c r="C282" s="8" t="s">
        <v>4</v>
      </c>
      <c r="D282" s="12">
        <v>44958</v>
      </c>
      <c r="E282" s="8">
        <v>25672.5</v>
      </c>
      <c r="F282" s="10">
        <f>IF(ISTEXT(Таблицаx_2[[#This Row],[Значение]]), 0, Таблицаx_2[[#This Row],[Значение]])</f>
        <v>25672.5</v>
      </c>
      <c r="G282" s="12">
        <v>44986</v>
      </c>
      <c r="H282" s="10" t="str">
        <f>IFERROR(VLOOKUP(Таблицаx_2[[#This Row],[id]],prolongations!A:C,2,)," ")</f>
        <v>март 2023</v>
      </c>
      <c r="I282" s="10">
        <f>IF(Таблицаx_2[[#This Row],[Месяц окончания]]=Таблицаx_2[[#This Row],[Месяц]],Таблицаx_2[[#This Row],[Значения числа]],0)</f>
        <v>0</v>
      </c>
      <c r="J282" s="8">
        <f>IF(AND(Таблицаx_2[[#This Row],[Месяц окончания]]=Таблицаx_2[[#This Row],[Месяц]],Таблицаx_2[[#This Row],[id]]=A283,EDATE(Таблицаx_2[[#This Row],[Месяц]],1)=D283),F283,0)</f>
        <v>0</v>
      </c>
      <c r="K282" s="8">
        <f>IF(AND(Таблицаx_2[[#This Row],[Месяц окончания]]=Таблицаx_2[[#This Row],[Месяц]],Таблицаx_2[[#This Row],[id]]=A283,EDATE(Таблицаx_2[[#This Row],[Месяц]],2)=D283),F283,0)</f>
        <v>0</v>
      </c>
    </row>
    <row r="283" spans="1:11" ht="12.75" hidden="1" customHeight="1" x14ac:dyDescent="0.2">
      <c r="A283" s="8">
        <v>56</v>
      </c>
      <c r="B283" s="8"/>
      <c r="C283" s="8" t="s">
        <v>4</v>
      </c>
      <c r="D283" s="12">
        <v>44986</v>
      </c>
      <c r="E283" s="8">
        <v>25672.5</v>
      </c>
      <c r="F283" s="10">
        <f>IF(ISTEXT(Таблицаx_2[[#This Row],[Значение]]), 0, Таблицаx_2[[#This Row],[Значение]])</f>
        <v>25672.5</v>
      </c>
      <c r="G283" s="12">
        <v>44986</v>
      </c>
      <c r="H283" s="10" t="str">
        <f>IFERROR(VLOOKUP(Таблицаx_2[[#This Row],[id]],prolongations!A:C,2,)," ")</f>
        <v>март 2023</v>
      </c>
      <c r="I283" s="10">
        <f>IF(Таблицаx_2[[#This Row],[Месяц окончания]]=Таблицаx_2[[#This Row],[Месяц]],Таблицаx_2[[#This Row],[Значения числа]],0)</f>
        <v>25672.5</v>
      </c>
      <c r="J283" s="8">
        <f>IF(AND(Таблицаx_2[[#This Row],[Месяц окончания]]=Таблицаx_2[[#This Row],[Месяц]],Таблицаx_2[[#This Row],[id]]=A284,EDATE(Таблицаx_2[[#This Row],[Месяц]],1)=D284),F284,0)</f>
        <v>0</v>
      </c>
      <c r="K283" s="8">
        <f>IF(AND(Таблицаx_2[[#This Row],[Месяц окончания]]=Таблицаx_2[[#This Row],[Месяц]],Таблицаx_2[[#This Row],[id]]=A284,EDATE(Таблицаx_2[[#This Row],[Месяц]],2)=D284),F284,0)</f>
        <v>0</v>
      </c>
    </row>
    <row r="284" spans="1:11" ht="12.75" hidden="1" customHeight="1" x14ac:dyDescent="0.2">
      <c r="A284" s="8">
        <v>56</v>
      </c>
      <c r="B284" s="8"/>
      <c r="C284" s="8" t="s">
        <v>4</v>
      </c>
      <c r="D284" s="12">
        <v>45292</v>
      </c>
      <c r="E284" s="8">
        <v>41409</v>
      </c>
      <c r="F284" s="10">
        <f>IF(ISTEXT(Таблицаx_2[[#This Row],[Значение]]), 0, Таблицаx_2[[#This Row],[Значение]])</f>
        <v>41409</v>
      </c>
      <c r="G284" s="12">
        <v>44986</v>
      </c>
      <c r="H284" s="10" t="str">
        <f>IFERROR(VLOOKUP(Таблицаx_2[[#This Row],[id]],prolongations!A:C,2,)," ")</f>
        <v>март 2023</v>
      </c>
      <c r="I284" s="10">
        <f>IF(Таблицаx_2[[#This Row],[Месяц окончания]]=Таблицаx_2[[#This Row],[Месяц]],Таблицаx_2[[#This Row],[Значения числа]],0)</f>
        <v>0</v>
      </c>
      <c r="J284" s="8">
        <f>IF(AND(Таблицаx_2[[#This Row],[Месяц окончания]]=Таблицаx_2[[#This Row],[Месяц]],Таблицаx_2[[#This Row],[id]]=A285,EDATE(Таблицаx_2[[#This Row],[Месяц]],1)=D285),F285,0)</f>
        <v>0</v>
      </c>
      <c r="K284" s="8">
        <f>IF(AND(Таблицаx_2[[#This Row],[Месяц окончания]]=Таблицаx_2[[#This Row],[Месяц]],Таблицаx_2[[#This Row],[id]]=A285,EDATE(Таблицаx_2[[#This Row],[Месяц]],2)=D285),F285,0)</f>
        <v>0</v>
      </c>
    </row>
    <row r="285" spans="1:11" ht="12.75" hidden="1" customHeight="1" x14ac:dyDescent="0.2">
      <c r="A285" s="8">
        <v>56</v>
      </c>
      <c r="B285" s="8"/>
      <c r="C285" s="8" t="s">
        <v>4</v>
      </c>
      <c r="D285" s="12">
        <v>45323</v>
      </c>
      <c r="E285" s="8">
        <v>40869</v>
      </c>
      <c r="F285" s="10">
        <f>IF(ISTEXT(Таблицаx_2[[#This Row],[Значение]]), 0, Таблицаx_2[[#This Row],[Значение]])</f>
        <v>40869</v>
      </c>
      <c r="G285" s="12">
        <v>44986</v>
      </c>
      <c r="H285" s="10" t="str">
        <f>IFERROR(VLOOKUP(Таблицаx_2[[#This Row],[id]],prolongations!A:C,2,)," ")</f>
        <v>март 2023</v>
      </c>
      <c r="I285" s="10">
        <f>IF(Таблицаx_2[[#This Row],[Месяц окончания]]=Таблицаx_2[[#This Row],[Месяц]],Таблицаx_2[[#This Row],[Значения числа]],0)</f>
        <v>0</v>
      </c>
      <c r="J285" s="8">
        <f>IF(AND(Таблицаx_2[[#This Row],[Месяц окончания]]=Таблицаx_2[[#This Row],[Месяц]],Таблицаx_2[[#This Row],[id]]=A286,EDATE(Таблицаx_2[[#This Row],[Месяц]],1)=D286),F286,0)</f>
        <v>0</v>
      </c>
      <c r="K285" s="8">
        <f>IF(AND(Таблицаx_2[[#This Row],[Месяц окончания]]=Таблицаx_2[[#This Row],[Месяц]],Таблицаx_2[[#This Row],[id]]=A286,EDATE(Таблицаx_2[[#This Row],[Месяц]],2)=D286),F286,0)</f>
        <v>0</v>
      </c>
    </row>
    <row r="286" spans="1:11" ht="12.75" hidden="1" customHeight="1" x14ac:dyDescent="0.2">
      <c r="A286" s="8">
        <v>692</v>
      </c>
      <c r="B286" s="8" t="s">
        <v>49</v>
      </c>
      <c r="C286" s="8" t="s">
        <v>8</v>
      </c>
      <c r="D286" s="12">
        <v>44866</v>
      </c>
      <c r="E286" s="8">
        <v>47540</v>
      </c>
      <c r="F286" s="10">
        <f>IF(ISTEXT(Таблицаx_2[[#This Row],[Значение]]), 0, Таблицаx_2[[#This Row],[Значение]])</f>
        <v>47540</v>
      </c>
      <c r="G286" s="12">
        <v>44986</v>
      </c>
      <c r="H286" s="10" t="str">
        <f>IFERROR(VLOOKUP(Таблицаx_2[[#This Row],[id]],prolongations!A:C,2,)," ")</f>
        <v>март 2023</v>
      </c>
      <c r="I286" s="10">
        <f>IF(Таблицаx_2[[#This Row],[Месяц окончания]]=Таблицаx_2[[#This Row],[Месяц]],Таблицаx_2[[#This Row],[Значения числа]],0)</f>
        <v>0</v>
      </c>
      <c r="J286" s="8">
        <f>IF(AND(Таблицаx_2[[#This Row],[Месяц окончания]]=Таблицаx_2[[#This Row],[Месяц]],Таблицаx_2[[#This Row],[id]]=A287,EDATE(Таблицаx_2[[#This Row],[Месяц]],1)=D287),F287,0)</f>
        <v>0</v>
      </c>
      <c r="K286" s="8">
        <f>IF(AND(Таблицаx_2[[#This Row],[Месяц окончания]]=Таблицаx_2[[#This Row],[Месяц]],Таблицаx_2[[#This Row],[id]]=A287,EDATE(Таблицаx_2[[#This Row],[Месяц]],2)=D287),F287,0)</f>
        <v>0</v>
      </c>
    </row>
    <row r="287" spans="1:11" ht="12.75" hidden="1" customHeight="1" x14ac:dyDescent="0.2">
      <c r="A287" s="8">
        <v>692</v>
      </c>
      <c r="B287" s="8" t="s">
        <v>49</v>
      </c>
      <c r="C287" s="8" t="s">
        <v>8</v>
      </c>
      <c r="D287" s="12">
        <v>44896</v>
      </c>
      <c r="E287" s="8">
        <v>48410</v>
      </c>
      <c r="F287" s="10">
        <f>IF(ISTEXT(Таблицаx_2[[#This Row],[Значение]]), 0, Таблицаx_2[[#This Row],[Значение]])</f>
        <v>48410</v>
      </c>
      <c r="G287" s="12">
        <v>44986</v>
      </c>
      <c r="H287" s="10" t="str">
        <f>IFERROR(VLOOKUP(Таблицаx_2[[#This Row],[id]],prolongations!A:C,2,)," ")</f>
        <v>март 2023</v>
      </c>
      <c r="I287" s="10">
        <f>IF(Таблицаx_2[[#This Row],[Месяц окончания]]=Таблицаx_2[[#This Row],[Месяц]],Таблицаx_2[[#This Row],[Значения числа]],0)</f>
        <v>0</v>
      </c>
      <c r="J287" s="8">
        <f>IF(AND(Таблицаx_2[[#This Row],[Месяц окончания]]=Таблицаx_2[[#This Row],[Месяц]],Таблицаx_2[[#This Row],[id]]=A288,EDATE(Таблицаx_2[[#This Row],[Месяц]],1)=D288),F288,0)</f>
        <v>0</v>
      </c>
      <c r="K287" s="8">
        <f>IF(AND(Таблицаx_2[[#This Row],[Месяц окончания]]=Таблицаx_2[[#This Row],[Месяц]],Таблицаx_2[[#This Row],[id]]=A288,EDATE(Таблицаx_2[[#This Row],[Месяц]],2)=D288),F288,0)</f>
        <v>0</v>
      </c>
    </row>
    <row r="288" spans="1:11" ht="12.75" hidden="1" customHeight="1" x14ac:dyDescent="0.2">
      <c r="A288" s="8">
        <v>692</v>
      </c>
      <c r="B288" s="8" t="s">
        <v>49</v>
      </c>
      <c r="C288" s="8" t="s">
        <v>8</v>
      </c>
      <c r="D288" s="12">
        <v>44927</v>
      </c>
      <c r="E288" s="8">
        <v>52180</v>
      </c>
      <c r="F288" s="10">
        <f>IF(ISTEXT(Таблицаx_2[[#This Row],[Значение]]), 0, Таблицаx_2[[#This Row],[Значение]])</f>
        <v>52180</v>
      </c>
      <c r="G288" s="12">
        <v>44986</v>
      </c>
      <c r="H288" s="10" t="str">
        <f>IFERROR(VLOOKUP(Таблицаx_2[[#This Row],[id]],prolongations!A:C,2,)," ")</f>
        <v>март 2023</v>
      </c>
      <c r="I288" s="10">
        <f>IF(Таблицаx_2[[#This Row],[Месяц окончания]]=Таблицаx_2[[#This Row],[Месяц]],Таблицаx_2[[#This Row],[Значения числа]],0)</f>
        <v>0</v>
      </c>
      <c r="J288" s="8">
        <f>IF(AND(Таблицаx_2[[#This Row],[Месяц окончания]]=Таблицаx_2[[#This Row],[Месяц]],Таблицаx_2[[#This Row],[id]]=A289,EDATE(Таблицаx_2[[#This Row],[Месяц]],1)=D289),F289,0)</f>
        <v>0</v>
      </c>
      <c r="K288" s="8">
        <f>IF(AND(Таблицаx_2[[#This Row],[Месяц окончания]]=Таблицаx_2[[#This Row],[Месяц]],Таблицаx_2[[#This Row],[id]]=A289,EDATE(Таблицаx_2[[#This Row],[Месяц]],2)=D289),F289,0)</f>
        <v>0</v>
      </c>
    </row>
    <row r="289" spans="1:11" ht="12.75" hidden="1" customHeight="1" x14ac:dyDescent="0.2">
      <c r="A289" s="8">
        <v>692</v>
      </c>
      <c r="B289" s="8" t="s">
        <v>49</v>
      </c>
      <c r="C289" s="8" t="s">
        <v>8</v>
      </c>
      <c r="D289" s="12">
        <v>44958</v>
      </c>
      <c r="E289" s="8">
        <v>45800</v>
      </c>
      <c r="F289" s="10">
        <f>IF(ISTEXT(Таблицаx_2[[#This Row],[Значение]]), 0, Таблицаx_2[[#This Row],[Значение]])</f>
        <v>45800</v>
      </c>
      <c r="G289" s="12">
        <v>44986</v>
      </c>
      <c r="H289" s="10" t="str">
        <f>IFERROR(VLOOKUP(Таблицаx_2[[#This Row],[id]],prolongations!A:C,2,)," ")</f>
        <v>март 2023</v>
      </c>
      <c r="I289" s="10">
        <f>IF(Таблицаx_2[[#This Row],[Месяц окончания]]=Таблицаx_2[[#This Row],[Месяц]],Таблицаx_2[[#This Row],[Значения числа]],0)</f>
        <v>0</v>
      </c>
      <c r="J289" s="8">
        <f>IF(AND(Таблицаx_2[[#This Row],[Месяц окончания]]=Таблицаx_2[[#This Row],[Месяц]],Таблицаx_2[[#This Row],[id]]=A290,EDATE(Таблицаx_2[[#This Row],[Месяц]],1)=D290),F290,0)</f>
        <v>0</v>
      </c>
      <c r="K289" s="8">
        <f>IF(AND(Таблицаx_2[[#This Row],[Месяц окончания]]=Таблицаx_2[[#This Row],[Месяц]],Таблицаx_2[[#This Row],[id]]=A290,EDATE(Таблицаx_2[[#This Row],[Месяц]],2)=D290),F290,0)</f>
        <v>0</v>
      </c>
    </row>
    <row r="290" spans="1:11" ht="12.75" hidden="1" customHeight="1" x14ac:dyDescent="0.2">
      <c r="A290" s="8">
        <v>692</v>
      </c>
      <c r="B290" s="8" t="s">
        <v>49</v>
      </c>
      <c r="C290" s="8" t="s">
        <v>8</v>
      </c>
      <c r="D290" s="12">
        <v>44986</v>
      </c>
      <c r="E290" s="8">
        <v>46380</v>
      </c>
      <c r="F290" s="10">
        <f>IF(ISTEXT(Таблицаx_2[[#This Row],[Значение]]), 0, Таблицаx_2[[#This Row],[Значение]])</f>
        <v>46380</v>
      </c>
      <c r="G290" s="12">
        <v>44986</v>
      </c>
      <c r="H290" s="10" t="str">
        <f>IFERROR(VLOOKUP(Таблицаx_2[[#This Row],[id]],prolongations!A:C,2,)," ")</f>
        <v>март 2023</v>
      </c>
      <c r="I290" s="10">
        <f>IF(Таблицаx_2[[#This Row],[Месяц окончания]]=Таблицаx_2[[#This Row],[Месяц]],Таблицаx_2[[#This Row],[Значения числа]],0)</f>
        <v>46380</v>
      </c>
      <c r="J290" s="8">
        <f>IF(AND(Таблицаx_2[[#This Row],[Месяц окончания]]=Таблицаx_2[[#This Row],[Месяц]],Таблицаx_2[[#This Row],[id]]=A291,EDATE(Таблицаx_2[[#This Row],[Месяц]],1)=D291),F291,0)</f>
        <v>0</v>
      </c>
      <c r="K290" s="8">
        <f>IF(AND(Таблицаx_2[[#This Row],[Месяц окончания]]=Таблицаx_2[[#This Row],[Месяц]],Таблицаx_2[[#This Row],[id]]=A291,EDATE(Таблицаx_2[[#This Row],[Месяц]],2)=D291),F291,0)</f>
        <v>0</v>
      </c>
    </row>
    <row r="291" spans="1:11" ht="12.75" hidden="1" customHeight="1" x14ac:dyDescent="0.2">
      <c r="A291" s="8">
        <v>692</v>
      </c>
      <c r="B291" s="8" t="s">
        <v>49</v>
      </c>
      <c r="C291" s="8" t="s">
        <v>8</v>
      </c>
      <c r="D291" s="12">
        <v>45017</v>
      </c>
      <c r="E291" s="8" t="s">
        <v>51</v>
      </c>
      <c r="F291" s="10">
        <f>IF(ISTEXT(Таблицаx_2[[#This Row],[Значение]]), 0, Таблицаx_2[[#This Row],[Значение]])</f>
        <v>0</v>
      </c>
      <c r="G291" s="12">
        <v>44986</v>
      </c>
      <c r="H291" s="10" t="str">
        <f>IFERROR(VLOOKUP(Таблицаx_2[[#This Row],[id]],prolongations!A:C,2,)," ")</f>
        <v>март 2023</v>
      </c>
      <c r="I291" s="10">
        <f>IF(Таблицаx_2[[#This Row],[Месяц окончания]]=Таблицаx_2[[#This Row],[Месяц]],Таблицаx_2[[#This Row],[Значения числа]],0)</f>
        <v>0</v>
      </c>
      <c r="J291" s="8">
        <f>IF(AND(Таблицаx_2[[#This Row],[Месяц окончания]]=Таблицаx_2[[#This Row],[Месяц]],Таблицаx_2[[#This Row],[id]]=A292,EDATE(Таблицаx_2[[#This Row],[Месяц]],1)=D292),F292,0)</f>
        <v>0</v>
      </c>
      <c r="K291" s="8">
        <f>IF(AND(Таблицаx_2[[#This Row],[Месяц окончания]]=Таблицаx_2[[#This Row],[Месяц]],Таблицаx_2[[#This Row],[id]]=A292,EDATE(Таблицаx_2[[#This Row],[Месяц]],2)=D292),F292,0)</f>
        <v>0</v>
      </c>
    </row>
    <row r="292" spans="1:11" ht="12.75" hidden="1" customHeight="1" x14ac:dyDescent="0.2">
      <c r="A292" s="8">
        <v>647</v>
      </c>
      <c r="B292" s="8" t="s">
        <v>45</v>
      </c>
      <c r="C292" s="8" t="s">
        <v>8</v>
      </c>
      <c r="D292" s="12">
        <v>44866</v>
      </c>
      <c r="E292" s="8">
        <v>153424</v>
      </c>
      <c r="F292" s="10">
        <f>IF(ISTEXT(Таблицаx_2[[#This Row],[Значение]]), 0, Таблицаx_2[[#This Row],[Значение]])</f>
        <v>153424</v>
      </c>
      <c r="G292" s="12">
        <v>44986</v>
      </c>
      <c r="H292" s="10" t="str">
        <f>IFERROR(VLOOKUP(Таблицаx_2[[#This Row],[id]],prolongations!A:C,2,)," ")</f>
        <v>март 2023</v>
      </c>
      <c r="I292" s="10">
        <f>IF(Таблицаx_2[[#This Row],[Месяц окончания]]=Таблицаx_2[[#This Row],[Месяц]],Таблицаx_2[[#This Row],[Значения числа]],0)</f>
        <v>0</v>
      </c>
      <c r="J292" s="8">
        <f>IF(AND(Таблицаx_2[[#This Row],[Месяц окончания]]=Таблицаx_2[[#This Row],[Месяц]],Таблицаx_2[[#This Row],[id]]=A293,EDATE(Таблицаx_2[[#This Row],[Месяц]],1)=D293),F293,0)</f>
        <v>0</v>
      </c>
      <c r="K292" s="8">
        <f>IF(AND(Таблицаx_2[[#This Row],[Месяц окончания]]=Таблицаx_2[[#This Row],[Месяц]],Таблицаx_2[[#This Row],[id]]=A293,EDATE(Таблицаx_2[[#This Row],[Месяц]],2)=D293),F293,0)</f>
        <v>0</v>
      </c>
    </row>
    <row r="293" spans="1:11" ht="12.75" hidden="1" customHeight="1" x14ac:dyDescent="0.2">
      <c r="A293" s="8">
        <v>647</v>
      </c>
      <c r="B293" s="8" t="s">
        <v>45</v>
      </c>
      <c r="C293" s="8" t="s">
        <v>8</v>
      </c>
      <c r="D293" s="12">
        <v>44896</v>
      </c>
      <c r="E293" s="8">
        <v>180056</v>
      </c>
      <c r="F293" s="10">
        <f>IF(ISTEXT(Таблицаx_2[[#This Row],[Значение]]), 0, Таблицаx_2[[#This Row],[Значение]])</f>
        <v>180056</v>
      </c>
      <c r="G293" s="12">
        <v>44986</v>
      </c>
      <c r="H293" s="10" t="str">
        <f>IFERROR(VLOOKUP(Таблицаx_2[[#This Row],[id]],prolongations!A:C,2,)," ")</f>
        <v>март 2023</v>
      </c>
      <c r="I293" s="10">
        <f>IF(Таблицаx_2[[#This Row],[Месяц окончания]]=Таблицаx_2[[#This Row],[Месяц]],Таблицаx_2[[#This Row],[Значения числа]],0)</f>
        <v>0</v>
      </c>
      <c r="J293" s="8">
        <f>IF(AND(Таблицаx_2[[#This Row],[Месяц окончания]]=Таблицаx_2[[#This Row],[Месяц]],Таблицаx_2[[#This Row],[id]]=A294,EDATE(Таблицаx_2[[#This Row],[Месяц]],1)=D294),F294,0)</f>
        <v>0</v>
      </c>
      <c r="K293" s="8">
        <f>IF(AND(Таблицаx_2[[#This Row],[Месяц окончания]]=Таблицаx_2[[#This Row],[Месяц]],Таблицаx_2[[#This Row],[id]]=A294,EDATE(Таблицаx_2[[#This Row],[Месяц]],2)=D294),F294,0)</f>
        <v>0</v>
      </c>
    </row>
    <row r="294" spans="1:11" ht="12.75" hidden="1" customHeight="1" x14ac:dyDescent="0.2">
      <c r="A294" s="8">
        <v>647</v>
      </c>
      <c r="B294" s="8" t="s">
        <v>45</v>
      </c>
      <c r="C294" s="8" t="s">
        <v>8</v>
      </c>
      <c r="D294" s="12">
        <v>44927</v>
      </c>
      <c r="E294" s="8">
        <v>68919.679999999993</v>
      </c>
      <c r="F294" s="10">
        <f>IF(ISTEXT(Таблицаx_2[[#This Row],[Значение]]), 0, Таблицаx_2[[#This Row],[Значение]])</f>
        <v>68919.679999999993</v>
      </c>
      <c r="G294" s="12">
        <v>44986</v>
      </c>
      <c r="H294" s="10" t="str">
        <f>IFERROR(VLOOKUP(Таблицаx_2[[#This Row],[id]],prolongations!A:C,2,)," ")</f>
        <v>март 2023</v>
      </c>
      <c r="I294" s="10">
        <f>IF(Таблицаx_2[[#This Row],[Месяц окончания]]=Таблицаx_2[[#This Row],[Месяц]],Таблицаx_2[[#This Row],[Значения числа]],0)</f>
        <v>0</v>
      </c>
      <c r="J294" s="8">
        <f>IF(AND(Таблицаx_2[[#This Row],[Месяц окончания]]=Таблицаx_2[[#This Row],[Месяц]],Таблицаx_2[[#This Row],[id]]=A295,EDATE(Таблицаx_2[[#This Row],[Месяц]],1)=D295),F295,0)</f>
        <v>0</v>
      </c>
      <c r="K294" s="8">
        <f>IF(AND(Таблицаx_2[[#This Row],[Месяц окончания]]=Таблицаx_2[[#This Row],[Месяц]],Таблицаx_2[[#This Row],[id]]=A295,EDATE(Таблицаx_2[[#This Row],[Месяц]],2)=D295),F295,0)</f>
        <v>0</v>
      </c>
    </row>
    <row r="295" spans="1:11" ht="12.75" hidden="1" customHeight="1" x14ac:dyDescent="0.2">
      <c r="A295" s="8">
        <v>647</v>
      </c>
      <c r="B295" s="8" t="s">
        <v>45</v>
      </c>
      <c r="C295" s="8" t="s">
        <v>8</v>
      </c>
      <c r="D295" s="12">
        <v>44958</v>
      </c>
      <c r="E295" s="8">
        <v>84605</v>
      </c>
      <c r="F295" s="10">
        <f>IF(ISTEXT(Таблицаx_2[[#This Row],[Значение]]), 0, Таблицаx_2[[#This Row],[Значение]])</f>
        <v>84605</v>
      </c>
      <c r="G295" s="12">
        <v>44986</v>
      </c>
      <c r="H295" s="10" t="str">
        <f>IFERROR(VLOOKUP(Таблицаx_2[[#This Row],[id]],prolongations!A:C,2,)," ")</f>
        <v>март 2023</v>
      </c>
      <c r="I295" s="10">
        <f>IF(Таблицаx_2[[#This Row],[Месяц окончания]]=Таблицаx_2[[#This Row],[Месяц]],Таблицаx_2[[#This Row],[Значения числа]],0)</f>
        <v>0</v>
      </c>
      <c r="J295" s="8">
        <f>IF(AND(Таблицаx_2[[#This Row],[Месяц окончания]]=Таблицаx_2[[#This Row],[Месяц]],Таблицаx_2[[#This Row],[id]]=A296,EDATE(Таблицаx_2[[#This Row],[Месяц]],1)=D296),F296,0)</f>
        <v>0</v>
      </c>
      <c r="K295" s="8">
        <f>IF(AND(Таблицаx_2[[#This Row],[Месяц окончания]]=Таблицаx_2[[#This Row],[Месяц]],Таблицаx_2[[#This Row],[id]]=A296,EDATE(Таблицаx_2[[#This Row],[Месяц]],2)=D296),F296,0)</f>
        <v>0</v>
      </c>
    </row>
    <row r="296" spans="1:11" ht="12.75" hidden="1" customHeight="1" x14ac:dyDescent="0.2">
      <c r="A296" s="8">
        <v>647</v>
      </c>
      <c r="B296" s="8" t="s">
        <v>45</v>
      </c>
      <c r="C296" s="8" t="s">
        <v>8</v>
      </c>
      <c r="D296" s="12">
        <v>44986</v>
      </c>
      <c r="E296" s="8">
        <v>85135</v>
      </c>
      <c r="F296" s="10">
        <f>IF(ISTEXT(Таблицаx_2[[#This Row],[Значение]]), 0, Таблицаx_2[[#This Row],[Значение]])</f>
        <v>85135</v>
      </c>
      <c r="G296" s="12">
        <v>44986</v>
      </c>
      <c r="H296" s="10" t="str">
        <f>IFERROR(VLOOKUP(Таблицаx_2[[#This Row],[id]],prolongations!A:C,2,)," ")</f>
        <v>март 2023</v>
      </c>
      <c r="I296" s="10">
        <f>IF(Таблицаx_2[[#This Row],[Месяц окончания]]=Таблицаx_2[[#This Row],[Месяц]],Таблицаx_2[[#This Row],[Значения числа]],0)</f>
        <v>85135</v>
      </c>
      <c r="J296" s="8">
        <f>IF(AND(Таблицаx_2[[#This Row],[Месяц окончания]]=Таблицаx_2[[#This Row],[Месяц]],Таблицаx_2[[#This Row],[id]]=A297,EDATE(Таблицаx_2[[#This Row],[Месяц]],1)=D297),F297,0)</f>
        <v>0</v>
      </c>
      <c r="K296" s="8">
        <f>IF(AND(Таблицаx_2[[#This Row],[Месяц окончания]]=Таблицаx_2[[#This Row],[Месяц]],Таблицаx_2[[#This Row],[id]]=A297,EDATE(Таблицаx_2[[#This Row],[Месяц]],2)=D297),F297,0)</f>
        <v>0</v>
      </c>
    </row>
    <row r="297" spans="1:11" ht="12.75" hidden="1" customHeight="1" x14ac:dyDescent="0.2">
      <c r="A297" s="8">
        <v>683</v>
      </c>
      <c r="B297" s="8" t="s">
        <v>45</v>
      </c>
      <c r="C297" s="8" t="s">
        <v>6</v>
      </c>
      <c r="D297" s="12">
        <v>44866</v>
      </c>
      <c r="E297" s="8">
        <v>41060</v>
      </c>
      <c r="F297" s="10">
        <f>IF(ISTEXT(Таблицаx_2[[#This Row],[Значение]]), 0, Таблицаx_2[[#This Row],[Значение]])</f>
        <v>41060</v>
      </c>
      <c r="G297" s="12">
        <v>44986</v>
      </c>
      <c r="H297" s="10" t="str">
        <f>IFERROR(VLOOKUP(Таблицаx_2[[#This Row],[id]],prolongations!A:C,2,)," ")</f>
        <v>март 2023</v>
      </c>
      <c r="I297" s="10">
        <f>IF(Таблицаx_2[[#This Row],[Месяц окончания]]=Таблицаx_2[[#This Row],[Месяц]],Таблицаx_2[[#This Row],[Значения числа]],0)</f>
        <v>0</v>
      </c>
      <c r="J297" s="8">
        <f>IF(AND(Таблицаx_2[[#This Row],[Месяц окончания]]=Таблицаx_2[[#This Row],[Месяц]],Таблицаx_2[[#This Row],[id]]=A298,EDATE(Таблицаx_2[[#This Row],[Месяц]],1)=D298),F298,0)</f>
        <v>0</v>
      </c>
      <c r="K297" s="8">
        <f>IF(AND(Таблицаx_2[[#This Row],[Месяц окончания]]=Таблицаx_2[[#This Row],[Месяц]],Таблицаx_2[[#This Row],[id]]=A298,EDATE(Таблицаx_2[[#This Row],[Месяц]],2)=D298),F298,0)</f>
        <v>0</v>
      </c>
    </row>
    <row r="298" spans="1:11" ht="12.75" hidden="1" customHeight="1" x14ac:dyDescent="0.2">
      <c r="A298" s="8">
        <v>683</v>
      </c>
      <c r="B298" s="8" t="s">
        <v>45</v>
      </c>
      <c r="C298" s="8" t="s">
        <v>6</v>
      </c>
      <c r="D298" s="12">
        <v>44896</v>
      </c>
      <c r="E298" s="8">
        <v>41020</v>
      </c>
      <c r="F298" s="10">
        <f>IF(ISTEXT(Таблицаx_2[[#This Row],[Значение]]), 0, Таблицаx_2[[#This Row],[Значение]])</f>
        <v>41020</v>
      </c>
      <c r="G298" s="12">
        <v>44986</v>
      </c>
      <c r="H298" s="10" t="str">
        <f>IFERROR(VLOOKUP(Таблицаx_2[[#This Row],[id]],prolongations!A:C,2,)," ")</f>
        <v>март 2023</v>
      </c>
      <c r="I298" s="10">
        <f>IF(Таблицаx_2[[#This Row],[Месяц окончания]]=Таблицаx_2[[#This Row],[Месяц]],Таблицаx_2[[#This Row],[Значения числа]],0)</f>
        <v>0</v>
      </c>
      <c r="J298" s="8">
        <f>IF(AND(Таблицаx_2[[#This Row],[Месяц окончания]]=Таблицаx_2[[#This Row],[Месяц]],Таблицаx_2[[#This Row],[id]]=A299,EDATE(Таблицаx_2[[#This Row],[Месяц]],1)=D299),F299,0)</f>
        <v>0</v>
      </c>
      <c r="K298" s="8">
        <f>IF(AND(Таблицаx_2[[#This Row],[Месяц окончания]]=Таблицаx_2[[#This Row],[Месяц]],Таблицаx_2[[#This Row],[id]]=A299,EDATE(Таблицаx_2[[#This Row],[Месяц]],2)=D299),F299,0)</f>
        <v>0</v>
      </c>
    </row>
    <row r="299" spans="1:11" ht="12.75" hidden="1" customHeight="1" x14ac:dyDescent="0.2">
      <c r="A299" s="8">
        <v>683</v>
      </c>
      <c r="B299" s="8" t="s">
        <v>45</v>
      </c>
      <c r="C299" s="8" t="s">
        <v>6</v>
      </c>
      <c r="D299" s="12">
        <v>44927</v>
      </c>
      <c r="E299" s="8">
        <v>42920</v>
      </c>
      <c r="F299" s="10">
        <f>IF(ISTEXT(Таблицаx_2[[#This Row],[Значение]]), 0, Таблицаx_2[[#This Row],[Значение]])</f>
        <v>42920</v>
      </c>
      <c r="G299" s="12">
        <v>44986</v>
      </c>
      <c r="H299" s="10" t="str">
        <f>IFERROR(VLOOKUP(Таблицаx_2[[#This Row],[id]],prolongations!A:C,2,)," ")</f>
        <v>март 2023</v>
      </c>
      <c r="I299" s="10">
        <f>IF(Таблицаx_2[[#This Row],[Месяц окончания]]=Таблицаx_2[[#This Row],[Месяц]],Таблицаx_2[[#This Row],[Значения числа]],0)</f>
        <v>0</v>
      </c>
      <c r="J299" s="8">
        <f>IF(AND(Таблицаx_2[[#This Row],[Месяц окончания]]=Таблицаx_2[[#This Row],[Месяц]],Таблицаx_2[[#This Row],[id]]=A300,EDATE(Таблицаx_2[[#This Row],[Месяц]],1)=D300),F300,0)</f>
        <v>0</v>
      </c>
      <c r="K299" s="8">
        <f>IF(AND(Таблицаx_2[[#This Row],[Месяц окончания]]=Таблицаx_2[[#This Row],[Месяц]],Таблицаx_2[[#This Row],[id]]=A300,EDATE(Таблицаx_2[[#This Row],[Месяц]],2)=D300),F300,0)</f>
        <v>0</v>
      </c>
    </row>
    <row r="300" spans="1:11" ht="12.75" hidden="1" customHeight="1" x14ac:dyDescent="0.2">
      <c r="A300" s="8">
        <v>683</v>
      </c>
      <c r="B300" s="8" t="s">
        <v>45</v>
      </c>
      <c r="C300" s="8" t="s">
        <v>6</v>
      </c>
      <c r="D300" s="12">
        <v>44958</v>
      </c>
      <c r="E300" s="8">
        <v>41555</v>
      </c>
      <c r="F300" s="10">
        <f>IF(ISTEXT(Таблицаx_2[[#This Row],[Значение]]), 0, Таблицаx_2[[#This Row],[Значение]])</f>
        <v>41555</v>
      </c>
      <c r="G300" s="12">
        <v>44986</v>
      </c>
      <c r="H300" s="10" t="str">
        <f>IFERROR(VLOOKUP(Таблицаx_2[[#This Row],[id]],prolongations!A:C,2,)," ")</f>
        <v>март 2023</v>
      </c>
      <c r="I300" s="10">
        <f>IF(Таблицаx_2[[#This Row],[Месяц окончания]]=Таблицаx_2[[#This Row],[Месяц]],Таблицаx_2[[#This Row],[Значения числа]],0)</f>
        <v>0</v>
      </c>
      <c r="J300" s="8">
        <f>IF(AND(Таблицаx_2[[#This Row],[Месяц окончания]]=Таблицаx_2[[#This Row],[Месяц]],Таблицаx_2[[#This Row],[id]]=A301,EDATE(Таблицаx_2[[#This Row],[Месяц]],1)=D301),F301,0)</f>
        <v>0</v>
      </c>
      <c r="K300" s="8">
        <f>IF(AND(Таблицаx_2[[#This Row],[Месяц окончания]]=Таблицаx_2[[#This Row],[Месяц]],Таблицаx_2[[#This Row],[id]]=A301,EDATE(Таблицаx_2[[#This Row],[Месяц]],2)=D301),F301,0)</f>
        <v>0</v>
      </c>
    </row>
    <row r="301" spans="1:11" ht="12.75" hidden="1" customHeight="1" x14ac:dyDescent="0.2">
      <c r="A301" s="8">
        <v>683</v>
      </c>
      <c r="B301" s="8" t="s">
        <v>45</v>
      </c>
      <c r="C301" s="8" t="s">
        <v>6</v>
      </c>
      <c r="D301" s="12">
        <v>44986</v>
      </c>
      <c r="E301" s="8">
        <v>42920</v>
      </c>
      <c r="F301" s="10">
        <f>IF(ISTEXT(Таблицаx_2[[#This Row],[Значение]]), 0, Таблицаx_2[[#This Row],[Значение]])</f>
        <v>42920</v>
      </c>
      <c r="G301" s="12">
        <v>44986</v>
      </c>
      <c r="H301" s="10" t="str">
        <f>IFERROR(VLOOKUP(Таблицаx_2[[#This Row],[id]],prolongations!A:C,2,)," ")</f>
        <v>март 2023</v>
      </c>
      <c r="I301" s="10">
        <f>IF(Таблицаx_2[[#This Row],[Месяц окончания]]=Таблицаx_2[[#This Row],[Месяц]],Таблицаx_2[[#This Row],[Значения числа]],0)</f>
        <v>42920</v>
      </c>
      <c r="J301" s="8">
        <f>IF(AND(Таблицаx_2[[#This Row],[Месяц окончания]]=Таблицаx_2[[#This Row],[Месяц]],Таблицаx_2[[#This Row],[id]]=A302,EDATE(Таблицаx_2[[#This Row],[Месяц]],1)=D302),F302,0)</f>
        <v>0</v>
      </c>
      <c r="K301" s="8">
        <f>IF(AND(Таблицаx_2[[#This Row],[Месяц окончания]]=Таблицаx_2[[#This Row],[Месяц]],Таблицаx_2[[#This Row],[id]]=A302,EDATE(Таблицаx_2[[#This Row],[Месяц]],2)=D302),F302,0)</f>
        <v>0</v>
      </c>
    </row>
    <row r="302" spans="1:11" ht="12.75" hidden="1" customHeight="1" x14ac:dyDescent="0.2">
      <c r="A302" s="8">
        <v>683</v>
      </c>
      <c r="B302" s="8" t="s">
        <v>47</v>
      </c>
      <c r="C302" s="8" t="s">
        <v>6</v>
      </c>
      <c r="D302" s="12">
        <v>44866</v>
      </c>
      <c r="E302" s="8">
        <v>4800</v>
      </c>
      <c r="F302" s="10">
        <f>IF(ISTEXT(Таблицаx_2[[#This Row],[Значение]]), 0, Таблицаx_2[[#This Row],[Значение]])</f>
        <v>4800</v>
      </c>
      <c r="G302" s="12">
        <v>44986</v>
      </c>
      <c r="H302" s="10" t="str">
        <f>IFERROR(VLOOKUP(Таблицаx_2[[#This Row],[id]],prolongations!A:C,2,)," ")</f>
        <v>март 2023</v>
      </c>
      <c r="I302" s="10">
        <f>IF(Таблицаx_2[[#This Row],[Месяц окончания]]=Таблицаx_2[[#This Row],[Месяц]],Таблицаx_2[[#This Row],[Значения числа]],0)</f>
        <v>0</v>
      </c>
      <c r="J302" s="8">
        <f>IF(AND(Таблицаx_2[[#This Row],[Месяц окончания]]=Таблицаx_2[[#This Row],[Месяц]],Таблицаx_2[[#This Row],[id]]=A303,EDATE(Таблицаx_2[[#This Row],[Месяц]],1)=D303),F303,0)</f>
        <v>0</v>
      </c>
      <c r="K302" s="8">
        <f>IF(AND(Таблицаx_2[[#This Row],[Месяц окончания]]=Таблицаx_2[[#This Row],[Месяц]],Таблицаx_2[[#This Row],[id]]=A303,EDATE(Таблицаx_2[[#This Row],[Месяц]],2)=D303),F303,0)</f>
        <v>0</v>
      </c>
    </row>
    <row r="303" spans="1:11" ht="12.75" hidden="1" customHeight="1" x14ac:dyDescent="0.2">
      <c r="A303" s="8">
        <v>683</v>
      </c>
      <c r="B303" s="8" t="s">
        <v>47</v>
      </c>
      <c r="C303" s="8" t="s">
        <v>6</v>
      </c>
      <c r="D303" s="12">
        <v>44896</v>
      </c>
      <c r="E303" s="8">
        <v>6220</v>
      </c>
      <c r="F303" s="10">
        <f>IF(ISTEXT(Таблицаx_2[[#This Row],[Значение]]), 0, Таблицаx_2[[#This Row],[Значение]])</f>
        <v>6220</v>
      </c>
      <c r="G303" s="12">
        <v>44986</v>
      </c>
      <c r="H303" s="10" t="str">
        <f>IFERROR(VLOOKUP(Таблицаx_2[[#This Row],[id]],prolongations!A:C,2,)," ")</f>
        <v>март 2023</v>
      </c>
      <c r="I303" s="10">
        <f>IF(Таблицаx_2[[#This Row],[Месяц окончания]]=Таблицаx_2[[#This Row],[Месяц]],Таблицаx_2[[#This Row],[Значения числа]],0)</f>
        <v>0</v>
      </c>
      <c r="J303" s="8">
        <f>IF(AND(Таблицаx_2[[#This Row],[Месяц окончания]]=Таблицаx_2[[#This Row],[Месяц]],Таблицаx_2[[#This Row],[id]]=A304,EDATE(Таблицаx_2[[#This Row],[Месяц]],1)=D304),F304,0)</f>
        <v>0</v>
      </c>
      <c r="K303" s="8">
        <f>IF(AND(Таблицаx_2[[#This Row],[Месяц окончания]]=Таблицаx_2[[#This Row],[Месяц]],Таблицаx_2[[#This Row],[id]]=A304,EDATE(Таблицаx_2[[#This Row],[Месяц]],2)=D304),F304,0)</f>
        <v>0</v>
      </c>
    </row>
    <row r="304" spans="1:11" ht="12.75" hidden="1" customHeight="1" x14ac:dyDescent="0.2">
      <c r="A304" s="8">
        <v>683</v>
      </c>
      <c r="B304" s="8" t="s">
        <v>47</v>
      </c>
      <c r="C304" s="8" t="s">
        <v>6</v>
      </c>
      <c r="D304" s="12">
        <v>44927</v>
      </c>
      <c r="E304" s="8">
        <v>5820</v>
      </c>
      <c r="F304" s="10">
        <f>IF(ISTEXT(Таблицаx_2[[#This Row],[Значение]]), 0, Таблицаx_2[[#This Row],[Значение]])</f>
        <v>5820</v>
      </c>
      <c r="G304" s="12">
        <v>44986</v>
      </c>
      <c r="H304" s="10" t="str">
        <f>IFERROR(VLOOKUP(Таблицаx_2[[#This Row],[id]],prolongations!A:C,2,)," ")</f>
        <v>март 2023</v>
      </c>
      <c r="I304" s="10">
        <f>IF(Таблицаx_2[[#This Row],[Месяц окончания]]=Таблицаx_2[[#This Row],[Месяц]],Таблицаx_2[[#This Row],[Значения числа]],0)</f>
        <v>0</v>
      </c>
      <c r="J304" s="8">
        <f>IF(AND(Таблицаx_2[[#This Row],[Месяц окончания]]=Таблицаx_2[[#This Row],[Месяц]],Таблицаx_2[[#This Row],[id]]=A305,EDATE(Таблицаx_2[[#This Row],[Месяц]],1)=D305),F305,0)</f>
        <v>0</v>
      </c>
      <c r="K304" s="8">
        <f>IF(AND(Таблицаx_2[[#This Row],[Месяц окончания]]=Таблицаx_2[[#This Row],[Месяц]],Таблицаx_2[[#This Row],[id]]=A305,EDATE(Таблицаx_2[[#This Row],[Месяц]],2)=D305),F305,0)</f>
        <v>0</v>
      </c>
    </row>
    <row r="305" spans="1:11" ht="12.75" hidden="1" customHeight="1" x14ac:dyDescent="0.2">
      <c r="A305" s="8">
        <v>683</v>
      </c>
      <c r="B305" s="8" t="s">
        <v>47</v>
      </c>
      <c r="C305" s="8" t="s">
        <v>6</v>
      </c>
      <c r="D305" s="12">
        <v>44958</v>
      </c>
      <c r="E305" s="8">
        <v>4110</v>
      </c>
      <c r="F305" s="10">
        <f>IF(ISTEXT(Таблицаx_2[[#This Row],[Значение]]), 0, Таблицаx_2[[#This Row],[Значение]])</f>
        <v>4110</v>
      </c>
      <c r="G305" s="12">
        <v>44986</v>
      </c>
      <c r="H305" s="10" t="str">
        <f>IFERROR(VLOOKUP(Таблицаx_2[[#This Row],[id]],prolongations!A:C,2,)," ")</f>
        <v>март 2023</v>
      </c>
      <c r="I305" s="10">
        <f>IF(Таблицаx_2[[#This Row],[Месяц окончания]]=Таблицаx_2[[#This Row],[Месяц]],Таблицаx_2[[#This Row],[Значения числа]],0)</f>
        <v>0</v>
      </c>
      <c r="J305" s="8">
        <f>IF(AND(Таблицаx_2[[#This Row],[Месяц окончания]]=Таблицаx_2[[#This Row],[Месяц]],Таблицаx_2[[#This Row],[id]]=A306,EDATE(Таблицаx_2[[#This Row],[Месяц]],1)=D306),F306,0)</f>
        <v>0</v>
      </c>
      <c r="K305" s="8">
        <f>IF(AND(Таблицаx_2[[#This Row],[Месяц окончания]]=Таблицаx_2[[#This Row],[Месяц]],Таблицаx_2[[#This Row],[id]]=A306,EDATE(Таблицаx_2[[#This Row],[Месяц]],2)=D306),F306,0)</f>
        <v>0</v>
      </c>
    </row>
    <row r="306" spans="1:11" ht="12.75" hidden="1" customHeight="1" x14ac:dyDescent="0.2">
      <c r="A306" s="8">
        <v>683</v>
      </c>
      <c r="B306" s="8" t="s">
        <v>47</v>
      </c>
      <c r="C306" s="8" t="s">
        <v>6</v>
      </c>
      <c r="D306" s="12">
        <v>44986</v>
      </c>
      <c r="E306" s="8">
        <v>6875</v>
      </c>
      <c r="F306" s="10">
        <f>IF(ISTEXT(Таблицаx_2[[#This Row],[Значение]]), 0, Таблицаx_2[[#This Row],[Значение]])</f>
        <v>6875</v>
      </c>
      <c r="G306" s="12">
        <v>44986</v>
      </c>
      <c r="H306" s="10" t="str">
        <f>IFERROR(VLOOKUP(Таблицаx_2[[#This Row],[id]],prolongations!A:C,2,)," ")</f>
        <v>март 2023</v>
      </c>
      <c r="I306" s="10">
        <f>IF(Таблицаx_2[[#This Row],[Месяц окончания]]=Таблицаx_2[[#This Row],[Месяц]],Таблицаx_2[[#This Row],[Значения числа]],0)</f>
        <v>6875</v>
      </c>
      <c r="J306" s="8">
        <f>IF(AND(Таблицаx_2[[#This Row],[Месяц окончания]]=Таблицаx_2[[#This Row],[Месяц]],Таблицаx_2[[#This Row],[id]]=A307,EDATE(Таблицаx_2[[#This Row],[Месяц]],1)=D307),F307,0)</f>
        <v>0</v>
      </c>
      <c r="K306" s="8">
        <f>IF(AND(Таблицаx_2[[#This Row],[Месяц окончания]]=Таблицаx_2[[#This Row],[Месяц]],Таблицаx_2[[#This Row],[id]]=A307,EDATE(Таблицаx_2[[#This Row],[Месяц]],2)=D307),F307,0)</f>
        <v>0</v>
      </c>
    </row>
    <row r="307" spans="1:11" ht="12.75" hidden="1" customHeight="1" x14ac:dyDescent="0.2">
      <c r="A307" s="8">
        <v>506</v>
      </c>
      <c r="B307" s="8" t="s">
        <v>45</v>
      </c>
      <c r="C307" s="8" t="s">
        <v>7</v>
      </c>
      <c r="D307" s="12">
        <v>45323</v>
      </c>
      <c r="E307" s="8">
        <v>227242</v>
      </c>
      <c r="F307" s="10">
        <f>IF(ISTEXT(Таблицаx_2[[#This Row],[Значение]]), 0, Таблицаx_2[[#This Row],[Значение]])</f>
        <v>227242</v>
      </c>
      <c r="G307" s="12">
        <v>44986</v>
      </c>
      <c r="H307" s="10" t="str">
        <f>IFERROR(VLOOKUP(Таблицаx_2[[#This Row],[id]],prolongations!A:C,2,)," ")</f>
        <v>март 2023</v>
      </c>
      <c r="I307" s="10">
        <f>IF(Таблицаx_2[[#This Row],[Месяц окончания]]=Таблицаx_2[[#This Row],[Месяц]],Таблицаx_2[[#This Row],[Значения числа]],0)</f>
        <v>0</v>
      </c>
      <c r="J307" s="8">
        <f>IF(AND(Таблицаx_2[[#This Row],[Месяц окончания]]=Таблицаx_2[[#This Row],[Месяц]],Таблицаx_2[[#This Row],[id]]=A308,EDATE(Таблицаx_2[[#This Row],[Месяц]],1)=D308),F308,0)</f>
        <v>0</v>
      </c>
      <c r="K307" s="8">
        <f>IF(AND(Таблицаx_2[[#This Row],[Месяц окончания]]=Таблицаx_2[[#This Row],[Месяц]],Таблицаx_2[[#This Row],[id]]=A308,EDATE(Таблицаx_2[[#This Row],[Месяц]],2)=D308),F308,0)</f>
        <v>0</v>
      </c>
    </row>
    <row r="308" spans="1:11" ht="12.75" hidden="1" customHeight="1" x14ac:dyDescent="0.2">
      <c r="A308" s="8">
        <v>506</v>
      </c>
      <c r="B308" s="8" t="s">
        <v>47</v>
      </c>
      <c r="C308" s="8" t="s">
        <v>7</v>
      </c>
      <c r="D308" s="12">
        <v>44866</v>
      </c>
      <c r="E308" s="8">
        <v>227365</v>
      </c>
      <c r="F308" s="10">
        <f>IF(ISTEXT(Таблицаx_2[[#This Row],[Значение]]), 0, Таблицаx_2[[#This Row],[Значение]])</f>
        <v>227365</v>
      </c>
      <c r="G308" s="12">
        <v>44986</v>
      </c>
      <c r="H308" s="10" t="str">
        <f>IFERROR(VLOOKUP(Таблицаx_2[[#This Row],[id]],prolongations!A:C,2,)," ")</f>
        <v>март 2023</v>
      </c>
      <c r="I308" s="10">
        <f>IF(Таблицаx_2[[#This Row],[Месяц окончания]]=Таблицаx_2[[#This Row],[Месяц]],Таблицаx_2[[#This Row],[Значения числа]],0)</f>
        <v>0</v>
      </c>
      <c r="J308" s="8">
        <f>IF(AND(Таблицаx_2[[#This Row],[Месяц окончания]]=Таблицаx_2[[#This Row],[Месяц]],Таблицаx_2[[#This Row],[id]]=A309,EDATE(Таблицаx_2[[#This Row],[Месяц]],1)=D309),F309,0)</f>
        <v>0</v>
      </c>
      <c r="K308" s="8">
        <f>IF(AND(Таблицаx_2[[#This Row],[Месяц окончания]]=Таблицаx_2[[#This Row],[Месяц]],Таблицаx_2[[#This Row],[id]]=A309,EDATE(Таблицаx_2[[#This Row],[Месяц]],2)=D309),F309,0)</f>
        <v>0</v>
      </c>
    </row>
    <row r="309" spans="1:11" ht="12.75" hidden="1" customHeight="1" x14ac:dyDescent="0.2">
      <c r="A309" s="8">
        <v>506</v>
      </c>
      <c r="B309" s="8" t="s">
        <v>47</v>
      </c>
      <c r="C309" s="8" t="s">
        <v>7</v>
      </c>
      <c r="D309" s="12">
        <v>44896</v>
      </c>
      <c r="E309" s="8">
        <v>245595</v>
      </c>
      <c r="F309" s="10">
        <f>IF(ISTEXT(Таблицаx_2[[#This Row],[Значение]]), 0, Таблицаx_2[[#This Row],[Значение]])</f>
        <v>245595</v>
      </c>
      <c r="G309" s="12">
        <v>44986</v>
      </c>
      <c r="H309" s="10" t="str">
        <f>IFERROR(VLOOKUP(Таблицаx_2[[#This Row],[id]],prolongations!A:C,2,)," ")</f>
        <v>март 2023</v>
      </c>
      <c r="I309" s="10">
        <f>IF(Таблицаx_2[[#This Row],[Месяц окончания]]=Таблицаx_2[[#This Row],[Месяц]],Таблицаx_2[[#This Row],[Значения числа]],0)</f>
        <v>0</v>
      </c>
      <c r="J309" s="8">
        <f>IF(AND(Таблицаx_2[[#This Row],[Месяц окончания]]=Таблицаx_2[[#This Row],[Месяц]],Таблицаx_2[[#This Row],[id]]=A310,EDATE(Таблицаx_2[[#This Row],[Месяц]],1)=D310),F310,0)</f>
        <v>0</v>
      </c>
      <c r="K309" s="8">
        <f>IF(AND(Таблицаx_2[[#This Row],[Месяц окончания]]=Таблицаx_2[[#This Row],[Месяц]],Таблицаx_2[[#This Row],[id]]=A310,EDATE(Таблицаx_2[[#This Row],[Месяц]],2)=D310),F310,0)</f>
        <v>0</v>
      </c>
    </row>
    <row r="310" spans="1:11" ht="12.75" hidden="1" customHeight="1" x14ac:dyDescent="0.2">
      <c r="A310" s="8">
        <v>506</v>
      </c>
      <c r="B310" s="8" t="s">
        <v>47</v>
      </c>
      <c r="C310" s="8" t="s">
        <v>7</v>
      </c>
      <c r="D310" s="12">
        <v>44927</v>
      </c>
      <c r="E310" s="8">
        <v>263745</v>
      </c>
      <c r="F310" s="10">
        <f>IF(ISTEXT(Таблицаx_2[[#This Row],[Значение]]), 0, Таблицаx_2[[#This Row],[Значение]])</f>
        <v>263745</v>
      </c>
      <c r="G310" s="12">
        <v>44986</v>
      </c>
      <c r="H310" s="10" t="str">
        <f>IFERROR(VLOOKUP(Таблицаx_2[[#This Row],[id]],prolongations!A:C,2,)," ")</f>
        <v>март 2023</v>
      </c>
      <c r="I310" s="10">
        <f>IF(Таблицаx_2[[#This Row],[Месяц окончания]]=Таблицаx_2[[#This Row],[Месяц]],Таблицаx_2[[#This Row],[Значения числа]],0)</f>
        <v>0</v>
      </c>
      <c r="J310" s="8">
        <f>IF(AND(Таблицаx_2[[#This Row],[Месяц окончания]]=Таблицаx_2[[#This Row],[Месяц]],Таблицаx_2[[#This Row],[id]]=A311,EDATE(Таблицаx_2[[#This Row],[Месяц]],1)=D311),F311,0)</f>
        <v>0</v>
      </c>
      <c r="K310" s="8">
        <f>IF(AND(Таблицаx_2[[#This Row],[Месяц окончания]]=Таблицаx_2[[#This Row],[Месяц]],Таблицаx_2[[#This Row],[id]]=A311,EDATE(Таблицаx_2[[#This Row],[Месяц]],2)=D311),F311,0)</f>
        <v>0</v>
      </c>
    </row>
    <row r="311" spans="1:11" ht="12.75" hidden="1" customHeight="1" x14ac:dyDescent="0.2">
      <c r="A311" s="8">
        <v>506</v>
      </c>
      <c r="B311" s="8" t="s">
        <v>47</v>
      </c>
      <c r="C311" s="8" t="s">
        <v>7</v>
      </c>
      <c r="D311" s="12">
        <v>44958</v>
      </c>
      <c r="E311" s="8">
        <v>297695</v>
      </c>
      <c r="F311" s="10">
        <f>IF(ISTEXT(Таблицаx_2[[#This Row],[Значение]]), 0, Таблицаx_2[[#This Row],[Значение]])</f>
        <v>297695</v>
      </c>
      <c r="G311" s="12">
        <v>44986</v>
      </c>
      <c r="H311" s="10" t="str">
        <f>IFERROR(VLOOKUP(Таблицаx_2[[#This Row],[id]],prolongations!A:C,2,)," ")</f>
        <v>март 2023</v>
      </c>
      <c r="I311" s="10">
        <f>IF(Таблицаx_2[[#This Row],[Месяц окончания]]=Таблицаx_2[[#This Row],[Месяц]],Таблицаx_2[[#This Row],[Значения числа]],0)</f>
        <v>0</v>
      </c>
      <c r="J311" s="8">
        <f>IF(AND(Таблицаx_2[[#This Row],[Месяц окончания]]=Таблицаx_2[[#This Row],[Месяц]],Таблицаx_2[[#This Row],[id]]=A312,EDATE(Таблицаx_2[[#This Row],[Месяц]],1)=D312),F312,0)</f>
        <v>0</v>
      </c>
      <c r="K311" s="8">
        <f>IF(AND(Таблицаx_2[[#This Row],[Месяц окончания]]=Таблицаx_2[[#This Row],[Месяц]],Таблицаx_2[[#This Row],[id]]=A312,EDATE(Таблицаx_2[[#This Row],[Месяц]],2)=D312),F312,0)</f>
        <v>0</v>
      </c>
    </row>
    <row r="312" spans="1:11" ht="12.75" hidden="1" customHeight="1" x14ac:dyDescent="0.2">
      <c r="A312" s="8">
        <v>506</v>
      </c>
      <c r="B312" s="8" t="s">
        <v>47</v>
      </c>
      <c r="C312" s="8" t="s">
        <v>7</v>
      </c>
      <c r="D312" s="12">
        <v>44986</v>
      </c>
      <c r="E312" s="8">
        <v>257700</v>
      </c>
      <c r="F312" s="10">
        <f>IF(ISTEXT(Таблицаx_2[[#This Row],[Значение]]), 0, Таблицаx_2[[#This Row],[Значение]])</f>
        <v>257700</v>
      </c>
      <c r="G312" s="12">
        <v>44986</v>
      </c>
      <c r="H312" s="10" t="str">
        <f>IFERROR(VLOOKUP(Таблицаx_2[[#This Row],[id]],prolongations!A:C,2,)," ")</f>
        <v>март 2023</v>
      </c>
      <c r="I312" s="10">
        <f>IF(Таблицаx_2[[#This Row],[Месяц окончания]]=Таблицаx_2[[#This Row],[Месяц]],Таблицаx_2[[#This Row],[Значения числа]],0)</f>
        <v>257700</v>
      </c>
      <c r="J312" s="8">
        <f>IF(AND(Таблицаx_2[[#This Row],[Месяц окончания]]=Таблицаx_2[[#This Row],[Месяц]],Таблицаx_2[[#This Row],[id]]=A313,EDATE(Таблицаx_2[[#This Row],[Месяц]],1)=D313),F313,0)</f>
        <v>0</v>
      </c>
      <c r="K312" s="8">
        <f>IF(AND(Таблицаx_2[[#This Row],[Месяц окончания]]=Таблицаx_2[[#This Row],[Месяц]],Таблицаx_2[[#This Row],[id]]=A313,EDATE(Таблицаx_2[[#This Row],[Месяц]],2)=D313),F313,0)</f>
        <v>0</v>
      </c>
    </row>
    <row r="313" spans="1:11" ht="12.75" hidden="1" customHeight="1" x14ac:dyDescent="0.2">
      <c r="A313" s="8">
        <v>506</v>
      </c>
      <c r="B313" s="8" t="s">
        <v>47</v>
      </c>
      <c r="C313" s="8" t="s">
        <v>7</v>
      </c>
      <c r="D313" s="12">
        <v>45323</v>
      </c>
      <c r="E313" s="8">
        <v>41300</v>
      </c>
      <c r="F313" s="10">
        <f>IF(ISTEXT(Таблицаx_2[[#This Row],[Значение]]), 0, Таблицаx_2[[#This Row],[Значение]])</f>
        <v>41300</v>
      </c>
      <c r="G313" s="12">
        <v>44986</v>
      </c>
      <c r="H313" s="10" t="str">
        <f>IFERROR(VLOOKUP(Таблицаx_2[[#This Row],[id]],prolongations!A:C,2,)," ")</f>
        <v>март 2023</v>
      </c>
      <c r="I313" s="10">
        <f>IF(Таблицаx_2[[#This Row],[Месяц окончания]]=Таблицаx_2[[#This Row],[Месяц]],Таблицаx_2[[#This Row],[Значения числа]],0)</f>
        <v>0</v>
      </c>
      <c r="J313" s="8">
        <f>IF(AND(Таблицаx_2[[#This Row],[Месяц окончания]]=Таблицаx_2[[#This Row],[Месяц]],Таблицаx_2[[#This Row],[id]]=A314,EDATE(Таблицаx_2[[#This Row],[Месяц]],1)=D314),F314,0)</f>
        <v>0</v>
      </c>
      <c r="K313" s="8">
        <f>IF(AND(Таблицаx_2[[#This Row],[Месяц окончания]]=Таблицаx_2[[#This Row],[Месяц]],Таблицаx_2[[#This Row],[id]]=A314,EDATE(Таблицаx_2[[#This Row],[Месяц]],2)=D314),F314,0)</f>
        <v>0</v>
      </c>
    </row>
    <row r="314" spans="1:11" ht="12.75" hidden="1" customHeight="1" x14ac:dyDescent="0.2">
      <c r="A314" s="8">
        <v>540</v>
      </c>
      <c r="B314" s="8"/>
      <c r="C314" s="8" t="s">
        <v>7</v>
      </c>
      <c r="D314" s="12">
        <v>44866</v>
      </c>
      <c r="E314" s="8">
        <v>202150</v>
      </c>
      <c r="F314" s="10">
        <f>IF(ISTEXT(Таблицаx_2[[#This Row],[Значение]]), 0, Таблицаx_2[[#This Row],[Значение]])</f>
        <v>202150</v>
      </c>
      <c r="G314" s="12">
        <v>44986</v>
      </c>
      <c r="H314" s="10" t="str">
        <f>IFERROR(VLOOKUP(Таблицаx_2[[#This Row],[id]],prolongations!A:C,2,)," ")</f>
        <v>март 2023</v>
      </c>
      <c r="I314" s="10">
        <f>IF(Таблицаx_2[[#This Row],[Месяц окончания]]=Таблицаx_2[[#This Row],[Месяц]],Таблицаx_2[[#This Row],[Значения числа]],0)</f>
        <v>0</v>
      </c>
      <c r="J314" s="8">
        <f>IF(AND(Таблицаx_2[[#This Row],[Месяц окончания]]=Таблицаx_2[[#This Row],[Месяц]],Таблицаx_2[[#This Row],[id]]=A315,EDATE(Таблицаx_2[[#This Row],[Месяц]],1)=D315),F315,0)</f>
        <v>0</v>
      </c>
      <c r="K314" s="8">
        <f>IF(AND(Таблицаx_2[[#This Row],[Месяц окончания]]=Таблицаx_2[[#This Row],[Месяц]],Таблицаx_2[[#This Row],[id]]=A315,EDATE(Таблицаx_2[[#This Row],[Месяц]],2)=D315),F315,0)</f>
        <v>0</v>
      </c>
    </row>
    <row r="315" spans="1:11" ht="12.75" hidden="1" customHeight="1" x14ac:dyDescent="0.2">
      <c r="A315" s="8">
        <v>540</v>
      </c>
      <c r="B315" s="8"/>
      <c r="C315" s="8" t="s">
        <v>7</v>
      </c>
      <c r="D315" s="12">
        <v>44896</v>
      </c>
      <c r="E315" s="8">
        <v>206440</v>
      </c>
      <c r="F315" s="10">
        <f>IF(ISTEXT(Таблицаx_2[[#This Row],[Значение]]), 0, Таблицаx_2[[#This Row],[Значение]])</f>
        <v>206440</v>
      </c>
      <c r="G315" s="12">
        <v>44986</v>
      </c>
      <c r="H315" s="10" t="str">
        <f>IFERROR(VLOOKUP(Таблицаx_2[[#This Row],[id]],prolongations!A:C,2,)," ")</f>
        <v>март 2023</v>
      </c>
      <c r="I315" s="10">
        <f>IF(Таблицаx_2[[#This Row],[Месяц окончания]]=Таблицаx_2[[#This Row],[Месяц]],Таблицаx_2[[#This Row],[Значения числа]],0)</f>
        <v>0</v>
      </c>
      <c r="J315" s="8">
        <f>IF(AND(Таблицаx_2[[#This Row],[Месяц окончания]]=Таблицаx_2[[#This Row],[Месяц]],Таблицаx_2[[#This Row],[id]]=A316,EDATE(Таблицаx_2[[#This Row],[Месяц]],1)=D316),F316,0)</f>
        <v>0</v>
      </c>
      <c r="K315" s="8">
        <f>IF(AND(Таблицаx_2[[#This Row],[Месяц окончания]]=Таблицаx_2[[#This Row],[Месяц]],Таблицаx_2[[#This Row],[id]]=A316,EDATE(Таблицаx_2[[#This Row],[Месяц]],2)=D316),F316,0)</f>
        <v>0</v>
      </c>
    </row>
    <row r="316" spans="1:11" ht="12.75" hidden="1" customHeight="1" x14ac:dyDescent="0.2">
      <c r="A316" s="8">
        <v>540</v>
      </c>
      <c r="B316" s="8"/>
      <c r="C316" s="8" t="s">
        <v>7</v>
      </c>
      <c r="D316" s="12">
        <v>44927</v>
      </c>
      <c r="E316" s="8">
        <v>220310</v>
      </c>
      <c r="F316" s="10">
        <f>IF(ISTEXT(Таблицаx_2[[#This Row],[Значение]]), 0, Таблицаx_2[[#This Row],[Значение]])</f>
        <v>220310</v>
      </c>
      <c r="G316" s="12">
        <v>44986</v>
      </c>
      <c r="H316" s="10" t="str">
        <f>IFERROR(VLOOKUP(Таблицаx_2[[#This Row],[id]],prolongations!A:C,2,)," ")</f>
        <v>март 2023</v>
      </c>
      <c r="I316" s="10">
        <f>IF(Таблицаx_2[[#This Row],[Месяц окончания]]=Таблицаx_2[[#This Row],[Месяц]],Таблицаx_2[[#This Row],[Значения числа]],0)</f>
        <v>0</v>
      </c>
      <c r="J316" s="8">
        <f>IF(AND(Таблицаx_2[[#This Row],[Месяц окончания]]=Таблицаx_2[[#This Row],[Месяц]],Таблицаx_2[[#This Row],[id]]=A317,EDATE(Таблицаx_2[[#This Row],[Месяц]],1)=D317),F317,0)</f>
        <v>0</v>
      </c>
      <c r="K316" s="8">
        <f>IF(AND(Таблицаx_2[[#This Row],[Месяц окончания]]=Таблицаx_2[[#This Row],[Месяц]],Таблицаx_2[[#This Row],[id]]=A317,EDATE(Таблицаx_2[[#This Row],[Месяц]],2)=D317),F317,0)</f>
        <v>0</v>
      </c>
    </row>
    <row r="317" spans="1:11" ht="12.75" hidden="1" customHeight="1" x14ac:dyDescent="0.2">
      <c r="A317" s="8">
        <v>540</v>
      </c>
      <c r="B317" s="8"/>
      <c r="C317" s="8" t="s">
        <v>7</v>
      </c>
      <c r="D317" s="12">
        <v>44958</v>
      </c>
      <c r="E317" s="8">
        <v>221040</v>
      </c>
      <c r="F317" s="10">
        <f>IF(ISTEXT(Таблицаx_2[[#This Row],[Значение]]), 0, Таблицаx_2[[#This Row],[Значение]])</f>
        <v>221040</v>
      </c>
      <c r="G317" s="12">
        <v>44986</v>
      </c>
      <c r="H317" s="10" t="str">
        <f>IFERROR(VLOOKUP(Таблицаx_2[[#This Row],[id]],prolongations!A:C,2,)," ")</f>
        <v>март 2023</v>
      </c>
      <c r="I317" s="10">
        <f>IF(Таблицаx_2[[#This Row],[Месяц окончания]]=Таблицаx_2[[#This Row],[Месяц]],Таблицаx_2[[#This Row],[Значения числа]],0)</f>
        <v>0</v>
      </c>
      <c r="J317" s="8">
        <f>IF(AND(Таблицаx_2[[#This Row],[Месяц окончания]]=Таблицаx_2[[#This Row],[Месяц]],Таблицаx_2[[#This Row],[id]]=A318,EDATE(Таблицаx_2[[#This Row],[Месяц]],1)=D318),F318,0)</f>
        <v>0</v>
      </c>
      <c r="K317" s="8">
        <f>IF(AND(Таблицаx_2[[#This Row],[Месяц окончания]]=Таблицаx_2[[#This Row],[Месяц]],Таблицаx_2[[#This Row],[id]]=A318,EDATE(Таблицаx_2[[#This Row],[Месяц]],2)=D318),F318,0)</f>
        <v>0</v>
      </c>
    </row>
    <row r="318" spans="1:11" ht="12.75" hidden="1" customHeight="1" x14ac:dyDescent="0.2">
      <c r="A318" s="8">
        <v>540</v>
      </c>
      <c r="B318" s="8"/>
      <c r="C318" s="8" t="s">
        <v>7</v>
      </c>
      <c r="D318" s="12">
        <v>44986</v>
      </c>
      <c r="E318" s="8">
        <v>221040</v>
      </c>
      <c r="F318" s="10">
        <f>IF(ISTEXT(Таблицаx_2[[#This Row],[Значение]]), 0, Таблицаx_2[[#This Row],[Значение]])</f>
        <v>221040</v>
      </c>
      <c r="G318" s="12">
        <v>44986</v>
      </c>
      <c r="H318" s="10" t="str">
        <f>IFERROR(VLOOKUP(Таблицаx_2[[#This Row],[id]],prolongations!A:C,2,)," ")</f>
        <v>март 2023</v>
      </c>
      <c r="I318" s="10">
        <f>IF(Таблицаx_2[[#This Row],[Месяц окончания]]=Таблицаx_2[[#This Row],[Месяц]],Таблицаx_2[[#This Row],[Значения числа]],0)</f>
        <v>221040</v>
      </c>
      <c r="J318" s="8">
        <f>IF(AND(Таблицаx_2[[#This Row],[Месяц окончания]]=Таблицаx_2[[#This Row],[Месяц]],Таблицаx_2[[#This Row],[id]]=A319,EDATE(Таблицаx_2[[#This Row],[Месяц]],1)=D319),F319,0)</f>
        <v>0</v>
      </c>
      <c r="K318" s="8">
        <f>IF(AND(Таблицаx_2[[#This Row],[Месяц окончания]]=Таблицаx_2[[#This Row],[Месяц]],Таблицаx_2[[#This Row],[id]]=A319,EDATE(Таблицаx_2[[#This Row],[Месяц]],2)=D319),F319,0)</f>
        <v>0</v>
      </c>
    </row>
    <row r="319" spans="1:11" ht="12.75" hidden="1" customHeight="1" x14ac:dyDescent="0.2">
      <c r="A319" s="8">
        <v>646</v>
      </c>
      <c r="B319" s="8"/>
      <c r="C319" s="8" t="s">
        <v>11</v>
      </c>
      <c r="D319" s="12">
        <v>44927</v>
      </c>
      <c r="E319" s="8">
        <v>4585</v>
      </c>
      <c r="F319" s="10">
        <f>IF(ISTEXT(Таблицаx_2[[#This Row],[Значение]]), 0, Таблицаx_2[[#This Row],[Значение]])</f>
        <v>4585</v>
      </c>
      <c r="G319" s="12">
        <v>44986</v>
      </c>
      <c r="H319" s="10" t="str">
        <f>IFERROR(VLOOKUP(Таблицаx_2[[#This Row],[id]],prolongations!A:C,2,)," ")</f>
        <v>март 2023</v>
      </c>
      <c r="I319" s="10">
        <f>IF(Таблицаx_2[[#This Row],[Месяц окончания]]=Таблицаx_2[[#This Row],[Месяц]],Таблицаx_2[[#This Row],[Значения числа]],0)</f>
        <v>0</v>
      </c>
      <c r="J319" s="8">
        <f>IF(AND(Таблицаx_2[[#This Row],[Месяц окончания]]=Таблицаx_2[[#This Row],[Месяц]],Таблицаx_2[[#This Row],[id]]=A320,EDATE(Таблицаx_2[[#This Row],[Месяц]],1)=D320),F320,0)</f>
        <v>0</v>
      </c>
      <c r="K319" s="8">
        <f>IF(AND(Таблицаx_2[[#This Row],[Месяц окончания]]=Таблицаx_2[[#This Row],[Месяц]],Таблицаx_2[[#This Row],[id]]=A320,EDATE(Таблицаx_2[[#This Row],[Месяц]],2)=D320),F320,0)</f>
        <v>0</v>
      </c>
    </row>
    <row r="320" spans="1:11" ht="12.75" hidden="1" customHeight="1" x14ac:dyDescent="0.2">
      <c r="A320" s="8">
        <v>646</v>
      </c>
      <c r="B320" s="8"/>
      <c r="C320" s="8" t="s">
        <v>11</v>
      </c>
      <c r="D320" s="12">
        <v>44958</v>
      </c>
      <c r="E320" s="8">
        <v>1425</v>
      </c>
      <c r="F320" s="10">
        <f>IF(ISTEXT(Таблицаx_2[[#This Row],[Значение]]), 0, Таблицаx_2[[#This Row],[Значение]])</f>
        <v>1425</v>
      </c>
      <c r="G320" s="12">
        <v>44986</v>
      </c>
      <c r="H320" s="10" t="str">
        <f>IFERROR(VLOOKUP(Таблицаx_2[[#This Row],[id]],prolongations!A:C,2,)," ")</f>
        <v>март 2023</v>
      </c>
      <c r="I320" s="10">
        <f>IF(Таблицаx_2[[#This Row],[Месяц окончания]]=Таблицаx_2[[#This Row],[Месяц]],Таблицаx_2[[#This Row],[Значения числа]],0)</f>
        <v>0</v>
      </c>
      <c r="J320" s="8">
        <f>IF(AND(Таблицаx_2[[#This Row],[Месяц окончания]]=Таблицаx_2[[#This Row],[Месяц]],Таблицаx_2[[#This Row],[id]]=A321,EDATE(Таблицаx_2[[#This Row],[Месяц]],1)=D321),F321,0)</f>
        <v>0</v>
      </c>
      <c r="K320" s="8">
        <f>IF(AND(Таблицаx_2[[#This Row],[Месяц окончания]]=Таблицаx_2[[#This Row],[Месяц]],Таблицаx_2[[#This Row],[id]]=A321,EDATE(Таблицаx_2[[#This Row],[Месяц]],2)=D321),F321,0)</f>
        <v>0</v>
      </c>
    </row>
    <row r="321" spans="1:11" ht="12.75" hidden="1" customHeight="1" x14ac:dyDescent="0.2">
      <c r="A321" s="8">
        <v>646</v>
      </c>
      <c r="B321" s="8"/>
      <c r="C321" s="8" t="s">
        <v>11</v>
      </c>
      <c r="D321" s="12">
        <v>44986</v>
      </c>
      <c r="E321" s="8">
        <v>1425</v>
      </c>
      <c r="F321" s="10">
        <f>IF(ISTEXT(Таблицаx_2[[#This Row],[Значение]]), 0, Таблицаx_2[[#This Row],[Значение]])</f>
        <v>1425</v>
      </c>
      <c r="G321" s="12">
        <v>44986</v>
      </c>
      <c r="H321" s="10" t="str">
        <f>IFERROR(VLOOKUP(Таблицаx_2[[#This Row],[id]],prolongations!A:C,2,)," ")</f>
        <v>март 2023</v>
      </c>
      <c r="I321" s="10">
        <f>IF(Таблицаx_2[[#This Row],[Месяц окончания]]=Таблицаx_2[[#This Row],[Месяц]],Таблицаx_2[[#This Row],[Значения числа]],0)</f>
        <v>1425</v>
      </c>
      <c r="J321" s="8">
        <f>IF(AND(Таблицаx_2[[#This Row],[Месяц окончания]]=Таблицаx_2[[#This Row],[Месяц]],Таблицаx_2[[#This Row],[id]]=A322,EDATE(Таблицаx_2[[#This Row],[Месяц]],1)=D322),F322,0)</f>
        <v>0</v>
      </c>
      <c r="K321" s="8">
        <f>IF(AND(Таблицаx_2[[#This Row],[Месяц окончания]]=Таблицаx_2[[#This Row],[Месяц]],Таблицаx_2[[#This Row],[id]]=A322,EDATE(Таблицаx_2[[#This Row],[Месяц]],2)=D322),F322,0)</f>
        <v>0</v>
      </c>
    </row>
    <row r="322" spans="1:11" hidden="1" x14ac:dyDescent="0.2">
      <c r="A322" s="8">
        <v>697</v>
      </c>
      <c r="B322" s="8" t="s">
        <v>52</v>
      </c>
      <c r="C322" s="8" t="s">
        <v>4</v>
      </c>
      <c r="D322" s="12">
        <v>44896</v>
      </c>
      <c r="E322" s="8">
        <v>71000</v>
      </c>
      <c r="F322" s="10">
        <f>IF(ISTEXT(Таблицаx_2[[#This Row],[Значение]]), 0, Таблицаx_2[[#This Row],[Значение]])</f>
        <v>71000</v>
      </c>
      <c r="G322" s="12">
        <v>44896</v>
      </c>
      <c r="H322" s="10" t="str">
        <f>IFERROR(VLOOKUP(Таблицаx_2[[#This Row],[id]],prolongations!A:C,2,)," ")</f>
        <v>декабрь 2022</v>
      </c>
      <c r="I322" s="10">
        <f>IF(Таблицаx_2[[#This Row],[Месяц окончания]]=Таблицаx_2[[#This Row],[Месяц]],Таблицаx_2[[#This Row],[Значения числа]],0)</f>
        <v>71000</v>
      </c>
      <c r="J322" s="8">
        <f>IF(AND(Таблицаx_2[[#This Row],[Месяц окончания]]=Таблицаx_2[[#This Row],[Месяц]],Таблицаx_2[[#This Row],[id]]=A323,EDATE(Таблицаx_2[[#This Row],[Месяц]],1)=D323),F323,0)</f>
        <v>0</v>
      </c>
      <c r="K322" s="8">
        <f>IF(AND(Таблицаx_2[[#This Row],[Месяц окончания]]=Таблицаx_2[[#This Row],[Месяц]],Таблицаx_2[[#This Row],[id]]=A323,EDATE(Таблицаx_2[[#This Row],[Месяц]],2)=D323),F323,0)</f>
        <v>121500</v>
      </c>
    </row>
    <row r="323" spans="1:11" ht="12.75" hidden="1" customHeight="1" x14ac:dyDescent="0.2">
      <c r="A323" s="8">
        <v>697</v>
      </c>
      <c r="B323" s="8" t="s">
        <v>52</v>
      </c>
      <c r="C323" s="8" t="s">
        <v>4</v>
      </c>
      <c r="D323" s="12">
        <v>44958</v>
      </c>
      <c r="E323" s="8">
        <v>121500</v>
      </c>
      <c r="F323" s="10">
        <f>IF(ISTEXT(Таблицаx_2[[#This Row],[Значение]]), 0, Таблицаx_2[[#This Row],[Значение]])</f>
        <v>121500</v>
      </c>
      <c r="G323" s="12">
        <v>44896</v>
      </c>
      <c r="H323" s="10" t="str">
        <f>IFERROR(VLOOKUP(Таблицаx_2[[#This Row],[id]],prolongations!A:C,2,)," ")</f>
        <v>декабрь 2022</v>
      </c>
      <c r="I323" s="10">
        <f>IF(Таблицаx_2[[#This Row],[Месяц окончания]]=Таблицаx_2[[#This Row],[Месяц]],Таблицаx_2[[#This Row],[Значения числа]],0)</f>
        <v>0</v>
      </c>
      <c r="J323" s="8">
        <f>IF(AND(Таблицаx_2[[#This Row],[Месяц окончания]]=Таблицаx_2[[#This Row],[Месяц]],Таблицаx_2[[#This Row],[id]]=A324,EDATE(Таблицаx_2[[#This Row],[Месяц]],1)=D324),F324,0)</f>
        <v>0</v>
      </c>
      <c r="K323" s="8">
        <f>IF(AND(Таблицаx_2[[#This Row],[Месяц окончания]]=Таблицаx_2[[#This Row],[Месяц]],Таблицаx_2[[#This Row],[id]]=A324,EDATE(Таблицаx_2[[#This Row],[Месяц]],2)=D324),F324,0)</f>
        <v>0</v>
      </c>
    </row>
    <row r="324" spans="1:11" ht="12.75" hidden="1" customHeight="1" x14ac:dyDescent="0.2">
      <c r="A324" s="8">
        <v>697</v>
      </c>
      <c r="B324" s="8" t="s">
        <v>52</v>
      </c>
      <c r="C324" s="8" t="s">
        <v>4</v>
      </c>
      <c r="D324" s="12">
        <v>44986</v>
      </c>
      <c r="E324" s="8">
        <v>44250</v>
      </c>
      <c r="F324" s="10">
        <f>IF(ISTEXT(Таблицаx_2[[#This Row],[Значение]]), 0, Таблицаx_2[[#This Row],[Значение]])</f>
        <v>44250</v>
      </c>
      <c r="G324" s="12">
        <v>44896</v>
      </c>
      <c r="H324" s="10" t="str">
        <f>IFERROR(VLOOKUP(Таблицаx_2[[#This Row],[id]],prolongations!A:C,2,)," ")</f>
        <v>декабрь 2022</v>
      </c>
      <c r="I324" s="10">
        <f>IF(Таблицаx_2[[#This Row],[Месяц окончания]]=Таблицаx_2[[#This Row],[Месяц]],Таблицаx_2[[#This Row],[Значения числа]],0)</f>
        <v>0</v>
      </c>
      <c r="J324" s="8">
        <f>IF(AND(Таблицаx_2[[#This Row],[Месяц окончания]]=Таблицаx_2[[#This Row],[Месяц]],Таблицаx_2[[#This Row],[id]]=A325,EDATE(Таблицаx_2[[#This Row],[Месяц]],1)=D325),F325,0)</f>
        <v>0</v>
      </c>
      <c r="K324" s="8">
        <f>IF(AND(Таблицаx_2[[#This Row],[Месяц окончания]]=Таблицаx_2[[#This Row],[Месяц]],Таблицаx_2[[#This Row],[id]]=A325,EDATE(Таблицаx_2[[#This Row],[Месяц]],2)=D325),F325,0)</f>
        <v>0</v>
      </c>
    </row>
    <row r="325" spans="1:11" hidden="1" x14ac:dyDescent="0.2">
      <c r="A325" s="8">
        <v>697</v>
      </c>
      <c r="B325" s="8" t="s">
        <v>50</v>
      </c>
      <c r="C325" s="8" t="s">
        <v>4</v>
      </c>
      <c r="D325" s="12">
        <v>44896</v>
      </c>
      <c r="E325" s="8" t="s">
        <v>48</v>
      </c>
      <c r="F325" s="10">
        <f>IF(ISTEXT(Таблицаx_2[[#This Row],[Значение]]), 0, Таблицаx_2[[#This Row],[Значение]])</f>
        <v>0</v>
      </c>
      <c r="G325" s="12">
        <v>44896</v>
      </c>
      <c r="H325" s="10" t="str">
        <f>IFERROR(VLOOKUP(Таблицаx_2[[#This Row],[id]],prolongations!A:C,2,)," ")</f>
        <v>декабрь 2022</v>
      </c>
      <c r="I325" s="10">
        <f>IF(Таблицаx_2[[#This Row],[Месяц окончания]]=Таблицаx_2[[#This Row],[Месяц]],Таблицаx_2[[#This Row],[Значения числа]],0)</f>
        <v>0</v>
      </c>
      <c r="J325" s="8">
        <f>IF(AND(Таблицаx_2[[#This Row],[Месяц окончания]]=Таблицаx_2[[#This Row],[Месяц]],Таблицаx_2[[#This Row],[id]]=A326,EDATE(Таблицаx_2[[#This Row],[Месяц]],1)=D326),F326,0)</f>
        <v>0</v>
      </c>
      <c r="K325" s="8">
        <f>IF(AND(Таблицаx_2[[#This Row],[Месяц окончания]]=Таблицаx_2[[#This Row],[Месяц]],Таблицаx_2[[#This Row],[id]]=A326,EDATE(Таблицаx_2[[#This Row],[Месяц]],2)=D326),F326,0)</f>
        <v>0</v>
      </c>
    </row>
    <row r="326" spans="1:11" ht="12.75" hidden="1" customHeight="1" x14ac:dyDescent="0.2">
      <c r="A326" s="8">
        <v>697</v>
      </c>
      <c r="B326" s="8" t="s">
        <v>50</v>
      </c>
      <c r="C326" s="8" t="s">
        <v>4</v>
      </c>
      <c r="D326" s="12">
        <v>44927</v>
      </c>
      <c r="E326" s="8" t="s">
        <v>48</v>
      </c>
      <c r="F326" s="10">
        <f>IF(ISTEXT(Таблицаx_2[[#This Row],[Значение]]), 0, Таблицаx_2[[#This Row],[Значение]])</f>
        <v>0</v>
      </c>
      <c r="G326" s="12">
        <v>44896</v>
      </c>
      <c r="H326" s="10" t="str">
        <f>IFERROR(VLOOKUP(Таблицаx_2[[#This Row],[id]],prolongations!A:C,2,)," ")</f>
        <v>декабрь 2022</v>
      </c>
      <c r="I326" s="10">
        <f>IF(Таблицаx_2[[#This Row],[Месяц окончания]]=Таблицаx_2[[#This Row],[Месяц]],Таблицаx_2[[#This Row],[Значения числа]],0)</f>
        <v>0</v>
      </c>
      <c r="J326" s="8">
        <f>IF(AND(Таблицаx_2[[#This Row],[Месяц окончания]]=Таблицаx_2[[#This Row],[Месяц]],Таблицаx_2[[#This Row],[id]]=A327,EDATE(Таблицаx_2[[#This Row],[Месяц]],1)=D327),F327,0)</f>
        <v>0</v>
      </c>
      <c r="K326" s="8">
        <f>IF(AND(Таблицаx_2[[#This Row],[Месяц окончания]]=Таблицаx_2[[#This Row],[Месяц]],Таблицаx_2[[#This Row],[id]]=A327,EDATE(Таблицаx_2[[#This Row],[Месяц]],2)=D327),F327,0)</f>
        <v>0</v>
      </c>
    </row>
    <row r="327" spans="1:11" ht="12.75" hidden="1" customHeight="1" x14ac:dyDescent="0.2">
      <c r="A327" s="8">
        <v>697</v>
      </c>
      <c r="B327" s="8" t="s">
        <v>50</v>
      </c>
      <c r="C327" s="8" t="s">
        <v>4</v>
      </c>
      <c r="D327" s="12">
        <v>44958</v>
      </c>
      <c r="E327" s="8" t="s">
        <v>48</v>
      </c>
      <c r="F327" s="10">
        <f>IF(ISTEXT(Таблицаx_2[[#This Row],[Значение]]), 0, Таблицаx_2[[#This Row],[Значение]])</f>
        <v>0</v>
      </c>
      <c r="G327" s="12">
        <v>44896</v>
      </c>
      <c r="H327" s="10" t="str">
        <f>IFERROR(VLOOKUP(Таблицаx_2[[#This Row],[id]],prolongations!A:C,2,)," ")</f>
        <v>декабрь 2022</v>
      </c>
      <c r="I327" s="10">
        <f>IF(Таблицаx_2[[#This Row],[Месяц окончания]]=Таблицаx_2[[#This Row],[Месяц]],Таблицаx_2[[#This Row],[Значения числа]],0)</f>
        <v>0</v>
      </c>
      <c r="J327" s="8">
        <f>IF(AND(Таблицаx_2[[#This Row],[Месяц окончания]]=Таблицаx_2[[#This Row],[Месяц]],Таблицаx_2[[#This Row],[id]]=A328,EDATE(Таблицаx_2[[#This Row],[Месяц]],1)=D328),F328,0)</f>
        <v>0</v>
      </c>
      <c r="K327" s="8">
        <f>IF(AND(Таблицаx_2[[#This Row],[Месяц окончания]]=Таблицаx_2[[#This Row],[Месяц]],Таблицаx_2[[#This Row],[id]]=A328,EDATE(Таблицаx_2[[#This Row],[Месяц]],2)=D328),F328,0)</f>
        <v>0</v>
      </c>
    </row>
    <row r="328" spans="1:11" ht="12.75" hidden="1" customHeight="1" x14ac:dyDescent="0.2">
      <c r="A328" s="8">
        <v>697</v>
      </c>
      <c r="B328" s="8" t="s">
        <v>50</v>
      </c>
      <c r="C328" s="8" t="s">
        <v>4</v>
      </c>
      <c r="D328" s="12">
        <v>44986</v>
      </c>
      <c r="E328" s="8">
        <v>75000</v>
      </c>
      <c r="F328" s="10">
        <f>IF(ISTEXT(Таблицаx_2[[#This Row],[Значение]]), 0, Таблицаx_2[[#This Row],[Значение]])</f>
        <v>75000</v>
      </c>
      <c r="G328" s="12">
        <v>44896</v>
      </c>
      <c r="H328" s="10" t="str">
        <f>IFERROR(VLOOKUP(Таблицаx_2[[#This Row],[id]],prolongations!A:C,2,)," ")</f>
        <v>декабрь 2022</v>
      </c>
      <c r="I328" s="10">
        <f>IF(Таблицаx_2[[#This Row],[Месяц окончания]]=Таблицаx_2[[#This Row],[Месяц]],Таблицаx_2[[#This Row],[Значения числа]],0)</f>
        <v>0</v>
      </c>
      <c r="J328" s="8">
        <f>IF(AND(Таблицаx_2[[#This Row],[Месяц окончания]]=Таблицаx_2[[#This Row],[Месяц]],Таблицаx_2[[#This Row],[id]]=A329,EDATE(Таблицаx_2[[#This Row],[Месяц]],1)=D329),F329,0)</f>
        <v>0</v>
      </c>
      <c r="K328" s="8">
        <f>IF(AND(Таблицаx_2[[#This Row],[Месяц окончания]]=Таблицаx_2[[#This Row],[Месяц]],Таблицаx_2[[#This Row],[id]]=A329,EDATE(Таблицаx_2[[#This Row],[Месяц]],2)=D329),F329,0)</f>
        <v>0</v>
      </c>
    </row>
    <row r="329" spans="1:11" ht="12.75" hidden="1" customHeight="1" x14ac:dyDescent="0.2">
      <c r="A329" s="8">
        <v>799</v>
      </c>
      <c r="B329" s="8"/>
      <c r="C329" s="8" t="s">
        <v>8</v>
      </c>
      <c r="D329" s="12">
        <v>44986</v>
      </c>
      <c r="E329" s="8">
        <v>69450</v>
      </c>
      <c r="F329" s="10">
        <f>IF(ISTEXT(Таблицаx_2[[#This Row],[Значение]]), 0, Таблицаx_2[[#This Row],[Значение]])</f>
        <v>69450</v>
      </c>
      <c r="G329" s="12">
        <v>44986</v>
      </c>
      <c r="H329" s="10" t="str">
        <f>IFERROR(VLOOKUP(Таблицаx_2[[#This Row],[id]],prolongations!A:C,2,)," ")</f>
        <v>март 2023</v>
      </c>
      <c r="I329" s="10">
        <f>IF(Таблицаx_2[[#This Row],[Месяц окончания]]=Таблицаx_2[[#This Row],[Месяц]],Таблицаx_2[[#This Row],[Значения числа]],0)</f>
        <v>69450</v>
      </c>
      <c r="J329" s="8">
        <f>IF(AND(Таблицаx_2[[#This Row],[Месяц окончания]]=Таблицаx_2[[#This Row],[Месяц]],Таблицаx_2[[#This Row],[id]]=A330,EDATE(Таблицаx_2[[#This Row],[Месяц]],1)=D330),F330,0)</f>
        <v>0</v>
      </c>
      <c r="K329" s="8">
        <f>IF(AND(Таблицаx_2[[#This Row],[Месяц окончания]]=Таблицаx_2[[#This Row],[Месяц]],Таблицаx_2[[#This Row],[id]]=A330,EDATE(Таблицаx_2[[#This Row],[Месяц]],2)=D330),F330,0)</f>
        <v>0</v>
      </c>
    </row>
    <row r="330" spans="1:11" ht="12.75" hidden="1" customHeight="1" x14ac:dyDescent="0.2">
      <c r="A330" s="8">
        <v>800</v>
      </c>
      <c r="B330" s="8"/>
      <c r="C330" s="8" t="s">
        <v>8</v>
      </c>
      <c r="D330" s="12">
        <v>44986</v>
      </c>
      <c r="E330" s="8">
        <v>60930</v>
      </c>
      <c r="F330" s="10">
        <f>IF(ISTEXT(Таблицаx_2[[#This Row],[Значение]]), 0, Таблицаx_2[[#This Row],[Значение]])</f>
        <v>60930</v>
      </c>
      <c r="G330" s="12">
        <v>44986</v>
      </c>
      <c r="H330" s="10" t="str">
        <f>IFERROR(VLOOKUP(Таблицаx_2[[#This Row],[id]],prolongations!A:C,2,)," ")</f>
        <v>март 2023</v>
      </c>
      <c r="I330" s="10">
        <f>IF(Таблицаx_2[[#This Row],[Месяц окончания]]=Таблицаx_2[[#This Row],[Месяц]],Таблицаx_2[[#This Row],[Значения числа]],0)</f>
        <v>60930</v>
      </c>
      <c r="J330" s="8">
        <f>IF(AND(Таблицаx_2[[#This Row],[Месяц окончания]]=Таблицаx_2[[#This Row],[Месяц]],Таблицаx_2[[#This Row],[id]]=A331,EDATE(Таблицаx_2[[#This Row],[Месяц]],1)=D331),F331,0)</f>
        <v>0</v>
      </c>
      <c r="K330" s="8">
        <f>IF(AND(Таблицаx_2[[#This Row],[Месяц окончания]]=Таблицаx_2[[#This Row],[Месяц]],Таблицаx_2[[#This Row],[id]]=A331,EDATE(Таблицаx_2[[#This Row],[Месяц]],2)=D331),F331,0)</f>
        <v>0</v>
      </c>
    </row>
    <row r="331" spans="1:11" ht="12.75" hidden="1" customHeight="1" x14ac:dyDescent="0.2">
      <c r="A331" s="8">
        <v>675</v>
      </c>
      <c r="B331" s="8" t="s">
        <v>45</v>
      </c>
      <c r="C331" s="8" t="s">
        <v>8</v>
      </c>
      <c r="D331" s="12">
        <v>44866</v>
      </c>
      <c r="E331" s="8">
        <v>90975</v>
      </c>
      <c r="F331" s="10">
        <f>IF(ISTEXT(Таблицаx_2[[#This Row],[Значение]]), 0, Таблицаx_2[[#This Row],[Значение]])</f>
        <v>90975</v>
      </c>
      <c r="G331" s="12">
        <v>45017</v>
      </c>
      <c r="H331" s="10" t="str">
        <f>IFERROR(VLOOKUP(Таблицаx_2[[#This Row],[id]],prolongations!A:C,2,)," ")</f>
        <v>апрель 2023</v>
      </c>
      <c r="I331" s="10">
        <f>IF(Таблицаx_2[[#This Row],[Месяц окончания]]=Таблицаx_2[[#This Row],[Месяц]],Таблицаx_2[[#This Row],[Значения числа]],0)</f>
        <v>0</v>
      </c>
      <c r="J331" s="8">
        <f>IF(AND(Таблицаx_2[[#This Row],[Месяц окончания]]=Таблицаx_2[[#This Row],[Месяц]],Таблицаx_2[[#This Row],[id]]=A332,EDATE(Таблицаx_2[[#This Row],[Месяц]],1)=D332),F332,0)</f>
        <v>0</v>
      </c>
      <c r="K331" s="8">
        <f>IF(AND(Таблицаx_2[[#This Row],[Месяц окончания]]=Таблицаx_2[[#This Row],[Месяц]],Таблицаx_2[[#This Row],[id]]=A332,EDATE(Таблицаx_2[[#This Row],[Месяц]],2)=D332),F332,0)</f>
        <v>0</v>
      </c>
    </row>
    <row r="332" spans="1:11" ht="12.75" hidden="1" customHeight="1" x14ac:dyDescent="0.2">
      <c r="A332" s="8">
        <v>675</v>
      </c>
      <c r="B332" s="8" t="s">
        <v>45</v>
      </c>
      <c r="C332" s="8" t="s">
        <v>8</v>
      </c>
      <c r="D332" s="12">
        <v>44896</v>
      </c>
      <c r="E332" s="8">
        <v>91545</v>
      </c>
      <c r="F332" s="10">
        <f>IF(ISTEXT(Таблицаx_2[[#This Row],[Значение]]), 0, Таблицаx_2[[#This Row],[Значение]])</f>
        <v>91545</v>
      </c>
      <c r="G332" s="12">
        <v>45017</v>
      </c>
      <c r="H332" s="10" t="str">
        <f>IFERROR(VLOOKUP(Таблицаx_2[[#This Row],[id]],prolongations!A:C,2,)," ")</f>
        <v>апрель 2023</v>
      </c>
      <c r="I332" s="10">
        <f>IF(Таблицаx_2[[#This Row],[Месяц окончания]]=Таблицаx_2[[#This Row],[Месяц]],Таблицаx_2[[#This Row],[Значения числа]],0)</f>
        <v>0</v>
      </c>
      <c r="J332" s="8">
        <f>IF(AND(Таблицаx_2[[#This Row],[Месяц окончания]]=Таблицаx_2[[#This Row],[Месяц]],Таблицаx_2[[#This Row],[id]]=A333,EDATE(Таблицаx_2[[#This Row],[Месяц]],1)=D333),F333,0)</f>
        <v>0</v>
      </c>
      <c r="K332" s="8">
        <f>IF(AND(Таблицаx_2[[#This Row],[Месяц окончания]]=Таблицаx_2[[#This Row],[Месяц]],Таблицаx_2[[#This Row],[id]]=A333,EDATE(Таблицаx_2[[#This Row],[Месяц]],2)=D333),F333,0)</f>
        <v>0</v>
      </c>
    </row>
    <row r="333" spans="1:11" ht="12.75" hidden="1" customHeight="1" x14ac:dyDescent="0.2">
      <c r="A333" s="8">
        <v>675</v>
      </c>
      <c r="B333" s="8" t="s">
        <v>45</v>
      </c>
      <c r="C333" s="8" t="s">
        <v>8</v>
      </c>
      <c r="D333" s="12">
        <v>44927</v>
      </c>
      <c r="E333" s="8">
        <v>91545</v>
      </c>
      <c r="F333" s="10">
        <f>IF(ISTEXT(Таблицаx_2[[#This Row],[Значение]]), 0, Таблицаx_2[[#This Row],[Значение]])</f>
        <v>91545</v>
      </c>
      <c r="G333" s="12">
        <v>45017</v>
      </c>
      <c r="H333" s="10" t="str">
        <f>IFERROR(VLOOKUP(Таблицаx_2[[#This Row],[id]],prolongations!A:C,2,)," ")</f>
        <v>апрель 2023</v>
      </c>
      <c r="I333" s="10">
        <f>IF(Таблицаx_2[[#This Row],[Месяц окончания]]=Таблицаx_2[[#This Row],[Месяц]],Таблицаx_2[[#This Row],[Значения числа]],0)</f>
        <v>0</v>
      </c>
      <c r="J333" s="8">
        <f>IF(AND(Таблицаx_2[[#This Row],[Месяц окончания]]=Таблицаx_2[[#This Row],[Месяц]],Таблицаx_2[[#This Row],[id]]=A334,EDATE(Таблицаx_2[[#This Row],[Месяц]],1)=D334),F334,0)</f>
        <v>0</v>
      </c>
      <c r="K333" s="8">
        <f>IF(AND(Таблицаx_2[[#This Row],[Месяц окончания]]=Таблицаx_2[[#This Row],[Месяц]],Таблицаx_2[[#This Row],[id]]=A334,EDATE(Таблицаx_2[[#This Row],[Месяц]],2)=D334),F334,0)</f>
        <v>0</v>
      </c>
    </row>
    <row r="334" spans="1:11" ht="12.75" hidden="1" customHeight="1" x14ac:dyDescent="0.2">
      <c r="A334" s="8">
        <v>675</v>
      </c>
      <c r="B334" s="8" t="s">
        <v>45</v>
      </c>
      <c r="C334" s="8" t="s">
        <v>8</v>
      </c>
      <c r="D334" s="12">
        <v>44958</v>
      </c>
      <c r="E334" s="8">
        <v>103655</v>
      </c>
      <c r="F334" s="10">
        <f>IF(ISTEXT(Таблицаx_2[[#This Row],[Значение]]), 0, Таблицаx_2[[#This Row],[Значение]])</f>
        <v>103655</v>
      </c>
      <c r="G334" s="12">
        <v>45017</v>
      </c>
      <c r="H334" s="10" t="str">
        <f>IFERROR(VLOOKUP(Таблицаx_2[[#This Row],[id]],prolongations!A:C,2,)," ")</f>
        <v>апрель 2023</v>
      </c>
      <c r="I334" s="10">
        <f>IF(Таблицаx_2[[#This Row],[Месяц окончания]]=Таблицаx_2[[#This Row],[Месяц]],Таблицаx_2[[#This Row],[Значения числа]],0)</f>
        <v>0</v>
      </c>
      <c r="J334" s="8">
        <f>IF(AND(Таблицаx_2[[#This Row],[Месяц окончания]]=Таблицаx_2[[#This Row],[Месяц]],Таблицаx_2[[#This Row],[id]]=A335,EDATE(Таблицаx_2[[#This Row],[Месяц]],1)=D335),F335,0)</f>
        <v>0</v>
      </c>
      <c r="K334" s="8">
        <f>IF(AND(Таблицаx_2[[#This Row],[Месяц окончания]]=Таблицаx_2[[#This Row],[Месяц]],Таблицаx_2[[#This Row],[id]]=A335,EDATE(Таблицаx_2[[#This Row],[Месяц]],2)=D335),F335,0)</f>
        <v>0</v>
      </c>
    </row>
    <row r="335" spans="1:11" ht="12.75" hidden="1" customHeight="1" x14ac:dyDescent="0.2">
      <c r="A335" s="8">
        <v>675</v>
      </c>
      <c r="B335" s="8" t="s">
        <v>45</v>
      </c>
      <c r="C335" s="8" t="s">
        <v>8</v>
      </c>
      <c r="D335" s="12">
        <v>44986</v>
      </c>
      <c r="E335" s="8">
        <v>111295</v>
      </c>
      <c r="F335" s="10">
        <f>IF(ISTEXT(Таблицаx_2[[#This Row],[Значение]]), 0, Таблицаx_2[[#This Row],[Значение]])</f>
        <v>111295</v>
      </c>
      <c r="G335" s="12">
        <v>45017</v>
      </c>
      <c r="H335" s="10" t="str">
        <f>IFERROR(VLOOKUP(Таблицаx_2[[#This Row],[id]],prolongations!A:C,2,)," ")</f>
        <v>апрель 2023</v>
      </c>
      <c r="I335" s="10">
        <f>IF(Таблицаx_2[[#This Row],[Месяц окончания]]=Таблицаx_2[[#This Row],[Месяц]],Таблицаx_2[[#This Row],[Значения числа]],0)</f>
        <v>0</v>
      </c>
      <c r="J335" s="8">
        <f>IF(AND(Таблицаx_2[[#This Row],[Месяц окончания]]=Таблицаx_2[[#This Row],[Месяц]],Таблицаx_2[[#This Row],[id]]=A336,EDATE(Таблицаx_2[[#This Row],[Месяц]],1)=D336),F336,0)</f>
        <v>0</v>
      </c>
      <c r="K335" s="8">
        <f>IF(AND(Таблицаx_2[[#This Row],[Месяц окончания]]=Таблицаx_2[[#This Row],[Месяц]],Таблицаx_2[[#This Row],[id]]=A336,EDATE(Таблицаx_2[[#This Row],[Месяц]],2)=D336),F336,0)</f>
        <v>0</v>
      </c>
    </row>
    <row r="336" spans="1:11" ht="12.75" hidden="1" customHeight="1" x14ac:dyDescent="0.2">
      <c r="A336" s="8">
        <v>675</v>
      </c>
      <c r="B336" s="8" t="s">
        <v>45</v>
      </c>
      <c r="C336" s="8" t="s">
        <v>8</v>
      </c>
      <c r="D336" s="12">
        <v>45017</v>
      </c>
      <c r="E336" s="8">
        <v>113735</v>
      </c>
      <c r="F336" s="10">
        <f>IF(ISTEXT(Таблицаx_2[[#This Row],[Значение]]), 0, Таблицаx_2[[#This Row],[Значение]])</f>
        <v>113735</v>
      </c>
      <c r="G336" s="12">
        <v>45017</v>
      </c>
      <c r="H336" s="10" t="str">
        <f>IFERROR(VLOOKUP(Таблицаx_2[[#This Row],[id]],prolongations!A:C,2,)," ")</f>
        <v>апрель 2023</v>
      </c>
      <c r="I336" s="10">
        <f>IF(Таблицаx_2[[#This Row],[Месяц окончания]]=Таблицаx_2[[#This Row],[Месяц]],Таблицаx_2[[#This Row],[Значения числа]],0)</f>
        <v>113735</v>
      </c>
      <c r="J336" s="8">
        <f>IF(AND(Таблицаx_2[[#This Row],[Месяц окончания]]=Таблицаx_2[[#This Row],[Месяц]],Таблицаx_2[[#This Row],[id]]=A337,EDATE(Таблицаx_2[[#This Row],[Месяц]],1)=D337),F337,0)</f>
        <v>0</v>
      </c>
      <c r="K336" s="8">
        <f>IF(AND(Таблицаx_2[[#This Row],[Месяц окончания]]=Таблицаx_2[[#This Row],[Месяц]],Таблицаx_2[[#This Row],[id]]=A337,EDATE(Таблицаx_2[[#This Row],[Месяц]],2)=D337),F337,0)</f>
        <v>0</v>
      </c>
    </row>
    <row r="337" spans="1:11" ht="12.75" hidden="1" customHeight="1" x14ac:dyDescent="0.2">
      <c r="A337" s="8">
        <v>675</v>
      </c>
      <c r="B337" s="8" t="s">
        <v>47</v>
      </c>
      <c r="C337" s="8" t="s">
        <v>8</v>
      </c>
      <c r="D337" s="12">
        <v>44927</v>
      </c>
      <c r="E337" s="8">
        <v>9475</v>
      </c>
      <c r="F337" s="10">
        <f>IF(ISTEXT(Таблицаx_2[[#This Row],[Значение]]), 0, Таблицаx_2[[#This Row],[Значение]])</f>
        <v>9475</v>
      </c>
      <c r="G337" s="12">
        <v>45017</v>
      </c>
      <c r="H337" s="10" t="str">
        <f>IFERROR(VLOOKUP(Таблицаx_2[[#This Row],[id]],prolongations!A:C,2,)," ")</f>
        <v>апрель 2023</v>
      </c>
      <c r="I337" s="10">
        <f>IF(Таблицаx_2[[#This Row],[Месяц окончания]]=Таблицаx_2[[#This Row],[Месяц]],Таблицаx_2[[#This Row],[Значения числа]],0)</f>
        <v>0</v>
      </c>
      <c r="J337" s="8">
        <f>IF(AND(Таблицаx_2[[#This Row],[Месяц окончания]]=Таблицаx_2[[#This Row],[Месяц]],Таблицаx_2[[#This Row],[id]]=A338,EDATE(Таблицаx_2[[#This Row],[Месяц]],1)=D338),F338,0)</f>
        <v>0</v>
      </c>
      <c r="K337" s="8">
        <f>IF(AND(Таблицаx_2[[#This Row],[Месяц окончания]]=Таблицаx_2[[#This Row],[Месяц]],Таблицаx_2[[#This Row],[id]]=A338,EDATE(Таблицаx_2[[#This Row],[Месяц]],2)=D338),F338,0)</f>
        <v>0</v>
      </c>
    </row>
    <row r="338" spans="1:11" ht="12.75" hidden="1" customHeight="1" x14ac:dyDescent="0.2">
      <c r="A338" s="8">
        <v>675</v>
      </c>
      <c r="B338" s="8" t="s">
        <v>47</v>
      </c>
      <c r="C338" s="8" t="s">
        <v>8</v>
      </c>
      <c r="D338" s="12">
        <v>44866</v>
      </c>
      <c r="E338" s="8">
        <v>6215</v>
      </c>
      <c r="F338" s="10">
        <f>IF(ISTEXT(Таблицаx_2[[#This Row],[Значение]]), 0, Таблицаx_2[[#This Row],[Значение]])</f>
        <v>6215</v>
      </c>
      <c r="G338" s="12">
        <v>45017</v>
      </c>
      <c r="H338" s="10" t="str">
        <f>IFERROR(VLOOKUP(Таблицаx_2[[#This Row],[id]],prolongations!A:C,2,)," ")</f>
        <v>апрель 2023</v>
      </c>
      <c r="I338" s="10">
        <f>IF(Таблицаx_2[[#This Row],[Месяц окончания]]=Таблицаx_2[[#This Row],[Месяц]],Таблицаx_2[[#This Row],[Значения числа]],0)</f>
        <v>0</v>
      </c>
      <c r="J338" s="8">
        <f>IF(AND(Таблицаx_2[[#This Row],[Месяц окончания]]=Таблицаx_2[[#This Row],[Месяц]],Таблицаx_2[[#This Row],[id]]=A339,EDATE(Таблицаx_2[[#This Row],[Месяц]],1)=D339),F339,0)</f>
        <v>0</v>
      </c>
      <c r="K338" s="8">
        <f>IF(AND(Таблицаx_2[[#This Row],[Месяц окончания]]=Таблицаx_2[[#This Row],[Месяц]],Таблицаx_2[[#This Row],[id]]=A339,EDATE(Таблицаx_2[[#This Row],[Месяц]],2)=D339),F339,0)</f>
        <v>0</v>
      </c>
    </row>
    <row r="339" spans="1:11" ht="12.75" hidden="1" customHeight="1" x14ac:dyDescent="0.2">
      <c r="A339" s="8">
        <v>675</v>
      </c>
      <c r="B339" s="8" t="s">
        <v>47</v>
      </c>
      <c r="C339" s="8" t="s">
        <v>8</v>
      </c>
      <c r="D339" s="12">
        <v>44896</v>
      </c>
      <c r="E339" s="8">
        <v>10435</v>
      </c>
      <c r="F339" s="10">
        <f>IF(ISTEXT(Таблицаx_2[[#This Row],[Значение]]), 0, Таблицаx_2[[#This Row],[Значение]])</f>
        <v>10435</v>
      </c>
      <c r="G339" s="12">
        <v>45017</v>
      </c>
      <c r="H339" s="10" t="str">
        <f>IFERROR(VLOOKUP(Таблицаx_2[[#This Row],[id]],prolongations!A:C,2,)," ")</f>
        <v>апрель 2023</v>
      </c>
      <c r="I339" s="10">
        <f>IF(Таблицаx_2[[#This Row],[Месяц окончания]]=Таблицаx_2[[#This Row],[Месяц]],Таблицаx_2[[#This Row],[Значения числа]],0)</f>
        <v>0</v>
      </c>
      <c r="J339" s="8">
        <f>IF(AND(Таблицаx_2[[#This Row],[Месяц окончания]]=Таблицаx_2[[#This Row],[Месяц]],Таблицаx_2[[#This Row],[id]]=A340,EDATE(Таблицаx_2[[#This Row],[Месяц]],1)=D340),F340,0)</f>
        <v>0</v>
      </c>
      <c r="K339" s="8">
        <f>IF(AND(Таблицаx_2[[#This Row],[Месяц окончания]]=Таблицаx_2[[#This Row],[Месяц]],Таблицаx_2[[#This Row],[id]]=A340,EDATE(Таблицаx_2[[#This Row],[Месяц]],2)=D340),F340,0)</f>
        <v>0</v>
      </c>
    </row>
    <row r="340" spans="1:11" ht="12.75" hidden="1" customHeight="1" x14ac:dyDescent="0.2">
      <c r="A340" s="8">
        <v>675</v>
      </c>
      <c r="B340" s="8" t="s">
        <v>47</v>
      </c>
      <c r="C340" s="8" t="s">
        <v>8</v>
      </c>
      <c r="D340" s="12">
        <v>44927</v>
      </c>
      <c r="E340" s="8">
        <v>6330</v>
      </c>
      <c r="F340" s="10">
        <f>IF(ISTEXT(Таблицаx_2[[#This Row],[Значение]]), 0, Таблицаx_2[[#This Row],[Значение]])</f>
        <v>6330</v>
      </c>
      <c r="G340" s="12">
        <v>45017</v>
      </c>
      <c r="H340" s="10" t="str">
        <f>IFERROR(VLOOKUP(Таблицаx_2[[#This Row],[id]],prolongations!A:C,2,)," ")</f>
        <v>апрель 2023</v>
      </c>
      <c r="I340" s="10">
        <f>IF(Таблицаx_2[[#This Row],[Месяц окончания]]=Таблицаx_2[[#This Row],[Месяц]],Таблицаx_2[[#This Row],[Значения числа]],0)</f>
        <v>0</v>
      </c>
      <c r="J340" s="8">
        <f>IF(AND(Таблицаx_2[[#This Row],[Месяц окончания]]=Таблицаx_2[[#This Row],[Месяц]],Таблицаx_2[[#This Row],[id]]=A341,EDATE(Таблицаx_2[[#This Row],[Месяц]],1)=D341),F341,0)</f>
        <v>0</v>
      </c>
      <c r="K340" s="8">
        <f>IF(AND(Таблицаx_2[[#This Row],[Месяц окончания]]=Таблицаx_2[[#This Row],[Месяц]],Таблицаx_2[[#This Row],[id]]=A341,EDATE(Таблицаx_2[[#This Row],[Месяц]],2)=D341),F341,0)</f>
        <v>0</v>
      </c>
    </row>
    <row r="341" spans="1:11" ht="12.75" hidden="1" customHeight="1" x14ac:dyDescent="0.2">
      <c r="A341" s="8">
        <v>675</v>
      </c>
      <c r="B341" s="8" t="s">
        <v>47</v>
      </c>
      <c r="C341" s="8" t="s">
        <v>8</v>
      </c>
      <c r="D341" s="12">
        <v>44958</v>
      </c>
      <c r="E341" s="8">
        <v>10435</v>
      </c>
      <c r="F341" s="10">
        <f>IF(ISTEXT(Таблицаx_2[[#This Row],[Значение]]), 0, Таблицаx_2[[#This Row],[Значение]])</f>
        <v>10435</v>
      </c>
      <c r="G341" s="12">
        <v>45017</v>
      </c>
      <c r="H341" s="10" t="str">
        <f>IFERROR(VLOOKUP(Таблицаx_2[[#This Row],[id]],prolongations!A:C,2,)," ")</f>
        <v>апрель 2023</v>
      </c>
      <c r="I341" s="10">
        <f>IF(Таблицаx_2[[#This Row],[Месяц окончания]]=Таблицаx_2[[#This Row],[Месяц]],Таблицаx_2[[#This Row],[Значения числа]],0)</f>
        <v>0</v>
      </c>
      <c r="J341" s="8">
        <f>IF(AND(Таблицаx_2[[#This Row],[Месяц окончания]]=Таблицаx_2[[#This Row],[Месяц]],Таблицаx_2[[#This Row],[id]]=A342,EDATE(Таблицаx_2[[#This Row],[Месяц]],1)=D342),F342,0)</f>
        <v>0</v>
      </c>
      <c r="K341" s="8">
        <f>IF(AND(Таблицаx_2[[#This Row],[Месяц окончания]]=Таблицаx_2[[#This Row],[Месяц]],Таблицаx_2[[#This Row],[id]]=A342,EDATE(Таблицаx_2[[#This Row],[Месяц]],2)=D342),F342,0)</f>
        <v>0</v>
      </c>
    </row>
    <row r="342" spans="1:11" ht="12.75" hidden="1" customHeight="1" x14ac:dyDescent="0.2">
      <c r="A342" s="8">
        <v>675</v>
      </c>
      <c r="B342" s="8" t="s">
        <v>47</v>
      </c>
      <c r="C342" s="8" t="s">
        <v>8</v>
      </c>
      <c r="D342" s="12">
        <v>44986</v>
      </c>
      <c r="E342" s="8">
        <v>7905</v>
      </c>
      <c r="F342" s="10">
        <f>IF(ISTEXT(Таблицаx_2[[#This Row],[Значение]]), 0, Таблицаx_2[[#This Row],[Значение]])</f>
        <v>7905</v>
      </c>
      <c r="G342" s="12">
        <v>45017</v>
      </c>
      <c r="H342" s="10" t="str">
        <f>IFERROR(VLOOKUP(Таблицаx_2[[#This Row],[id]],prolongations!A:C,2,)," ")</f>
        <v>апрель 2023</v>
      </c>
      <c r="I342" s="10">
        <f>IF(Таблицаx_2[[#This Row],[Месяц окончания]]=Таблицаx_2[[#This Row],[Месяц]],Таблицаx_2[[#This Row],[Значения числа]],0)</f>
        <v>0</v>
      </c>
      <c r="J342" s="8">
        <f>IF(AND(Таблицаx_2[[#This Row],[Месяц окончания]]=Таблицаx_2[[#This Row],[Месяц]],Таблицаx_2[[#This Row],[id]]=A343,EDATE(Таблицаx_2[[#This Row],[Месяц]],1)=D343),F343,0)</f>
        <v>0</v>
      </c>
      <c r="K342" s="8">
        <f>IF(AND(Таблицаx_2[[#This Row],[Месяц окончания]]=Таблицаx_2[[#This Row],[Месяц]],Таблицаx_2[[#This Row],[id]]=A343,EDATE(Таблицаx_2[[#This Row],[Месяц]],2)=D343),F343,0)</f>
        <v>0</v>
      </c>
    </row>
    <row r="343" spans="1:11" ht="12.75" hidden="1" customHeight="1" x14ac:dyDescent="0.2">
      <c r="A343" s="8">
        <v>675</v>
      </c>
      <c r="B343" s="8" t="s">
        <v>47</v>
      </c>
      <c r="C343" s="8" t="s">
        <v>8</v>
      </c>
      <c r="D343" s="12">
        <v>45017</v>
      </c>
      <c r="E343" s="8">
        <v>18125</v>
      </c>
      <c r="F343" s="10">
        <f>IF(ISTEXT(Таблицаx_2[[#This Row],[Значение]]), 0, Таблицаx_2[[#This Row],[Значение]])</f>
        <v>18125</v>
      </c>
      <c r="G343" s="12">
        <v>45017</v>
      </c>
      <c r="H343" s="10" t="str">
        <f>IFERROR(VLOOKUP(Таблицаx_2[[#This Row],[id]],prolongations!A:C,2,)," ")</f>
        <v>апрель 2023</v>
      </c>
      <c r="I343" s="10">
        <f>IF(Таблицаx_2[[#This Row],[Месяц окончания]]=Таблицаx_2[[#This Row],[Месяц]],Таблицаx_2[[#This Row],[Значения числа]],0)</f>
        <v>18125</v>
      </c>
      <c r="J343" s="8">
        <f>IF(AND(Таблицаx_2[[#This Row],[Месяц окончания]]=Таблицаx_2[[#This Row],[Месяц]],Таблицаx_2[[#This Row],[id]]=A344,EDATE(Таблицаx_2[[#This Row],[Месяц]],1)=D344),F344,0)</f>
        <v>0</v>
      </c>
      <c r="K343" s="8">
        <f>IF(AND(Таблицаx_2[[#This Row],[Месяц окончания]]=Таблицаx_2[[#This Row],[Месяц]],Таблицаx_2[[#This Row],[id]]=A344,EDATE(Таблицаx_2[[#This Row],[Месяц]],2)=D344),F344,0)</f>
        <v>0</v>
      </c>
    </row>
    <row r="344" spans="1:11" ht="12.75" hidden="1" customHeight="1" x14ac:dyDescent="0.2">
      <c r="A344" s="8">
        <v>663</v>
      </c>
      <c r="B344" s="8" t="s">
        <v>45</v>
      </c>
      <c r="C344" s="8" t="s">
        <v>4</v>
      </c>
      <c r="D344" s="12">
        <v>44866</v>
      </c>
      <c r="E344" s="8">
        <v>122305</v>
      </c>
      <c r="F344" s="10">
        <f>IF(ISTEXT(Таблицаx_2[[#This Row],[Значение]]), 0, Таблицаx_2[[#This Row],[Значение]])</f>
        <v>122305</v>
      </c>
      <c r="G344" s="12">
        <v>45017</v>
      </c>
      <c r="H344" s="10" t="str">
        <f>IFERROR(VLOOKUP(Таблицаx_2[[#This Row],[id]],prolongations!A:C,2,)," ")</f>
        <v>апрель 2023</v>
      </c>
      <c r="I344" s="10">
        <f>IF(Таблицаx_2[[#This Row],[Месяц окончания]]=Таблицаx_2[[#This Row],[Месяц]],Таблицаx_2[[#This Row],[Значения числа]],0)</f>
        <v>0</v>
      </c>
      <c r="J344" s="8">
        <f>IF(AND(Таблицаx_2[[#This Row],[Месяц окончания]]=Таблицаx_2[[#This Row],[Месяц]],Таблицаx_2[[#This Row],[id]]=A345,EDATE(Таблицаx_2[[#This Row],[Месяц]],1)=D345),F345,0)</f>
        <v>0</v>
      </c>
      <c r="K344" s="8">
        <f>IF(AND(Таблицаx_2[[#This Row],[Месяц окончания]]=Таблицаx_2[[#This Row],[Месяц]],Таблицаx_2[[#This Row],[id]]=A345,EDATE(Таблицаx_2[[#This Row],[Месяц]],2)=D345),F345,0)</f>
        <v>0</v>
      </c>
    </row>
    <row r="345" spans="1:11" ht="12.75" hidden="1" customHeight="1" x14ac:dyDescent="0.2">
      <c r="A345" s="8">
        <v>663</v>
      </c>
      <c r="B345" s="8" t="s">
        <v>45</v>
      </c>
      <c r="C345" s="8" t="s">
        <v>4</v>
      </c>
      <c r="D345" s="12">
        <v>44896</v>
      </c>
      <c r="E345" s="8">
        <v>116850</v>
      </c>
      <c r="F345" s="10">
        <f>IF(ISTEXT(Таблицаx_2[[#This Row],[Значение]]), 0, Таблицаx_2[[#This Row],[Значение]])</f>
        <v>116850</v>
      </c>
      <c r="G345" s="12">
        <v>45017</v>
      </c>
      <c r="H345" s="10" t="str">
        <f>IFERROR(VLOOKUP(Таблицаx_2[[#This Row],[id]],prolongations!A:C,2,)," ")</f>
        <v>апрель 2023</v>
      </c>
      <c r="I345" s="10">
        <f>IF(Таблицаx_2[[#This Row],[Месяц окончания]]=Таблицаx_2[[#This Row],[Месяц]],Таблицаx_2[[#This Row],[Значения числа]],0)</f>
        <v>0</v>
      </c>
      <c r="J345" s="8">
        <f>IF(AND(Таблицаx_2[[#This Row],[Месяц окончания]]=Таблицаx_2[[#This Row],[Месяц]],Таблицаx_2[[#This Row],[id]]=A346,EDATE(Таблицаx_2[[#This Row],[Месяц]],1)=D346),F346,0)</f>
        <v>0</v>
      </c>
      <c r="K345" s="8">
        <f>IF(AND(Таблицаx_2[[#This Row],[Месяц окончания]]=Таблицаx_2[[#This Row],[Месяц]],Таблицаx_2[[#This Row],[id]]=A346,EDATE(Таблицаx_2[[#This Row],[Месяц]],2)=D346),F346,0)</f>
        <v>0</v>
      </c>
    </row>
    <row r="346" spans="1:11" ht="12.75" hidden="1" customHeight="1" x14ac:dyDescent="0.2">
      <c r="A346" s="8">
        <v>663</v>
      </c>
      <c r="B346" s="8" t="s">
        <v>45</v>
      </c>
      <c r="C346" s="8" t="s">
        <v>4</v>
      </c>
      <c r="D346" s="12">
        <v>44927</v>
      </c>
      <c r="E346" s="8">
        <v>121500</v>
      </c>
      <c r="F346" s="10">
        <f>IF(ISTEXT(Таблицаx_2[[#This Row],[Значение]]), 0, Таблицаx_2[[#This Row],[Значение]])</f>
        <v>121500</v>
      </c>
      <c r="G346" s="12">
        <v>45017</v>
      </c>
      <c r="H346" s="10" t="str">
        <f>IFERROR(VLOOKUP(Таблицаx_2[[#This Row],[id]],prolongations!A:C,2,)," ")</f>
        <v>апрель 2023</v>
      </c>
      <c r="I346" s="10">
        <f>IF(Таблицаx_2[[#This Row],[Месяц окончания]]=Таблицаx_2[[#This Row],[Месяц]],Таблицаx_2[[#This Row],[Значения числа]],0)</f>
        <v>0</v>
      </c>
      <c r="J346" s="8">
        <f>IF(AND(Таблицаx_2[[#This Row],[Месяц окончания]]=Таблицаx_2[[#This Row],[Месяц]],Таблицаx_2[[#This Row],[id]]=A347,EDATE(Таблицаx_2[[#This Row],[Месяц]],1)=D347),F347,0)</f>
        <v>0</v>
      </c>
      <c r="K346" s="8">
        <f>IF(AND(Таблицаx_2[[#This Row],[Месяц окончания]]=Таблицаx_2[[#This Row],[Месяц]],Таблицаx_2[[#This Row],[id]]=A347,EDATE(Таблицаx_2[[#This Row],[Месяц]],2)=D347),F347,0)</f>
        <v>0</v>
      </c>
    </row>
    <row r="347" spans="1:11" ht="12.75" hidden="1" customHeight="1" x14ac:dyDescent="0.2">
      <c r="A347" s="8">
        <v>663</v>
      </c>
      <c r="B347" s="8" t="s">
        <v>45</v>
      </c>
      <c r="C347" s="8" t="s">
        <v>4</v>
      </c>
      <c r="D347" s="12">
        <v>44958</v>
      </c>
      <c r="E347" s="8">
        <v>39187.5</v>
      </c>
      <c r="F347" s="10">
        <f>IF(ISTEXT(Таблицаx_2[[#This Row],[Значение]]), 0, Таблицаx_2[[#This Row],[Значение]])</f>
        <v>39187.5</v>
      </c>
      <c r="G347" s="12">
        <v>45017</v>
      </c>
      <c r="H347" s="10" t="str">
        <f>IFERROR(VLOOKUP(Таблицаx_2[[#This Row],[id]],prolongations!A:C,2,)," ")</f>
        <v>апрель 2023</v>
      </c>
      <c r="I347" s="10">
        <f>IF(Таблицаx_2[[#This Row],[Месяц окончания]]=Таблицаx_2[[#This Row],[Месяц]],Таблицаx_2[[#This Row],[Значения числа]],0)</f>
        <v>0</v>
      </c>
      <c r="J347" s="8">
        <f>IF(AND(Таблицаx_2[[#This Row],[Месяц окончания]]=Таблицаx_2[[#This Row],[Месяц]],Таблицаx_2[[#This Row],[id]]=A348,EDATE(Таблицаx_2[[#This Row],[Месяц]],1)=D348),F348,0)</f>
        <v>0</v>
      </c>
      <c r="K347" s="8">
        <f>IF(AND(Таблицаx_2[[#This Row],[Месяц окончания]]=Таблицаx_2[[#This Row],[Месяц]],Таблицаx_2[[#This Row],[id]]=A348,EDATE(Таблицаx_2[[#This Row],[Месяц]],2)=D348),F348,0)</f>
        <v>0</v>
      </c>
    </row>
    <row r="348" spans="1:11" ht="12.75" hidden="1" customHeight="1" x14ac:dyDescent="0.2">
      <c r="A348" s="8">
        <v>663</v>
      </c>
      <c r="B348" s="8" t="s">
        <v>45</v>
      </c>
      <c r="C348" s="8" t="s">
        <v>4</v>
      </c>
      <c r="D348" s="12">
        <v>44986</v>
      </c>
      <c r="E348" s="8" t="s">
        <v>46</v>
      </c>
      <c r="F348" s="10">
        <f>IF(ISTEXT(Таблицаx_2[[#This Row],[Значение]]), 0, Таблицаx_2[[#This Row],[Значение]])</f>
        <v>0</v>
      </c>
      <c r="G348" s="12">
        <v>45017</v>
      </c>
      <c r="H348" s="10" t="str">
        <f>IFERROR(VLOOKUP(Таблицаx_2[[#This Row],[id]],prolongations!A:C,2,)," ")</f>
        <v>апрель 2023</v>
      </c>
      <c r="I348" s="10">
        <f>IF(Таблицаx_2[[#This Row],[Месяц окончания]]=Таблицаx_2[[#This Row],[Месяц]],Таблицаx_2[[#This Row],[Значения числа]],0)</f>
        <v>0</v>
      </c>
      <c r="J348" s="8">
        <f>IF(AND(Таблицаx_2[[#This Row],[Месяц окончания]]=Таблицаx_2[[#This Row],[Месяц]],Таблицаx_2[[#This Row],[id]]=A349,EDATE(Таблицаx_2[[#This Row],[Месяц]],1)=D349),F349,0)</f>
        <v>0</v>
      </c>
      <c r="K348" s="8">
        <f>IF(AND(Таблицаx_2[[#This Row],[Месяц окончания]]=Таблицаx_2[[#This Row],[Месяц]],Таблицаx_2[[#This Row],[id]]=A349,EDATE(Таблицаx_2[[#This Row],[Месяц]],2)=D349),F349,0)</f>
        <v>0</v>
      </c>
    </row>
    <row r="349" spans="1:11" ht="12.75" hidden="1" customHeight="1" x14ac:dyDescent="0.2">
      <c r="A349" s="8">
        <v>663</v>
      </c>
      <c r="B349" s="8" t="s">
        <v>47</v>
      </c>
      <c r="C349" s="8" t="s">
        <v>4</v>
      </c>
      <c r="D349" s="12">
        <v>44866</v>
      </c>
      <c r="E349" s="8">
        <v>52425.13</v>
      </c>
      <c r="F349" s="10">
        <f>IF(ISTEXT(Таблицаx_2[[#This Row],[Значение]]), 0, Таблицаx_2[[#This Row],[Значение]])</f>
        <v>52425.13</v>
      </c>
      <c r="G349" s="12">
        <v>45017</v>
      </c>
      <c r="H349" s="10" t="str">
        <f>IFERROR(VLOOKUP(Таблицаx_2[[#This Row],[id]],prolongations!A:C,2,)," ")</f>
        <v>апрель 2023</v>
      </c>
      <c r="I349" s="10">
        <f>IF(Таблицаx_2[[#This Row],[Месяц окончания]]=Таблицаx_2[[#This Row],[Месяц]],Таблицаx_2[[#This Row],[Значения числа]],0)</f>
        <v>0</v>
      </c>
      <c r="J349" s="8">
        <f>IF(AND(Таблицаx_2[[#This Row],[Месяц окончания]]=Таблицаx_2[[#This Row],[Месяц]],Таблицаx_2[[#This Row],[id]]=A350,EDATE(Таблицаx_2[[#This Row],[Месяц]],1)=D350),F350,0)</f>
        <v>0</v>
      </c>
      <c r="K349" s="8">
        <f>IF(AND(Таблицаx_2[[#This Row],[Месяц окончания]]=Таблицаx_2[[#This Row],[Месяц]],Таблицаx_2[[#This Row],[id]]=A350,EDATE(Таблицаx_2[[#This Row],[Месяц]],2)=D350),F350,0)</f>
        <v>0</v>
      </c>
    </row>
    <row r="350" spans="1:11" ht="12.75" hidden="1" customHeight="1" x14ac:dyDescent="0.2">
      <c r="A350" s="8">
        <v>663</v>
      </c>
      <c r="B350" s="8" t="s">
        <v>47</v>
      </c>
      <c r="C350" s="8" t="s">
        <v>4</v>
      </c>
      <c r="D350" s="12">
        <v>44896</v>
      </c>
      <c r="E350" s="8">
        <v>52948.08</v>
      </c>
      <c r="F350" s="10">
        <f>IF(ISTEXT(Таблицаx_2[[#This Row],[Значение]]), 0, Таблицаx_2[[#This Row],[Значение]])</f>
        <v>52948.08</v>
      </c>
      <c r="G350" s="12">
        <v>45017</v>
      </c>
      <c r="H350" s="10" t="str">
        <f>IFERROR(VLOOKUP(Таблицаx_2[[#This Row],[id]],prolongations!A:C,2,)," ")</f>
        <v>апрель 2023</v>
      </c>
      <c r="I350" s="10">
        <f>IF(Таблицаx_2[[#This Row],[Месяц окончания]]=Таблицаx_2[[#This Row],[Месяц]],Таблицаx_2[[#This Row],[Значения числа]],0)</f>
        <v>0</v>
      </c>
      <c r="J350" s="8">
        <f>IF(AND(Таблицаx_2[[#This Row],[Месяц окончания]]=Таблицаx_2[[#This Row],[Месяц]],Таблицаx_2[[#This Row],[id]]=A351,EDATE(Таблицаx_2[[#This Row],[Месяц]],1)=D351),F351,0)</f>
        <v>0</v>
      </c>
      <c r="K350" s="8">
        <f>IF(AND(Таблицаx_2[[#This Row],[Месяц окончания]]=Таблицаx_2[[#This Row],[Месяц]],Таблицаx_2[[#This Row],[id]]=A351,EDATE(Таблицаx_2[[#This Row],[Месяц]],2)=D351),F351,0)</f>
        <v>0</v>
      </c>
    </row>
    <row r="351" spans="1:11" ht="12.75" hidden="1" customHeight="1" x14ac:dyDescent="0.2">
      <c r="A351" s="8">
        <v>663</v>
      </c>
      <c r="B351" s="8" t="s">
        <v>47</v>
      </c>
      <c r="C351" s="8" t="s">
        <v>4</v>
      </c>
      <c r="D351" s="12">
        <v>44927</v>
      </c>
      <c r="E351" s="8">
        <v>54291.08</v>
      </c>
      <c r="F351" s="10">
        <f>IF(ISTEXT(Таблицаx_2[[#This Row],[Значение]]), 0, Таблицаx_2[[#This Row],[Значение]])</f>
        <v>54291.08</v>
      </c>
      <c r="G351" s="12">
        <v>45017</v>
      </c>
      <c r="H351" s="10" t="str">
        <f>IFERROR(VLOOKUP(Таблицаx_2[[#This Row],[id]],prolongations!A:C,2,)," ")</f>
        <v>апрель 2023</v>
      </c>
      <c r="I351" s="10">
        <f>IF(Таблицаx_2[[#This Row],[Месяц окончания]]=Таблицаx_2[[#This Row],[Месяц]],Таблицаx_2[[#This Row],[Значения числа]],0)</f>
        <v>0</v>
      </c>
      <c r="J351" s="8">
        <f>IF(AND(Таблицаx_2[[#This Row],[Месяц окончания]]=Таблицаx_2[[#This Row],[Месяц]],Таблицаx_2[[#This Row],[id]]=A352,EDATE(Таблицаx_2[[#This Row],[Месяц]],1)=D352),F352,0)</f>
        <v>0</v>
      </c>
      <c r="K351" s="8">
        <f>IF(AND(Таблицаx_2[[#This Row],[Месяц окончания]]=Таблицаx_2[[#This Row],[Месяц]],Таблицаx_2[[#This Row],[id]]=A352,EDATE(Таблицаx_2[[#This Row],[Месяц]],2)=D352),F352,0)</f>
        <v>0</v>
      </c>
    </row>
    <row r="352" spans="1:11" ht="12.75" hidden="1" customHeight="1" x14ac:dyDescent="0.2">
      <c r="A352" s="8">
        <v>663</v>
      </c>
      <c r="B352" s="8" t="s">
        <v>47</v>
      </c>
      <c r="C352" s="8" t="s">
        <v>4</v>
      </c>
      <c r="D352" s="12">
        <v>44958</v>
      </c>
      <c r="E352" s="8">
        <v>18572.5</v>
      </c>
      <c r="F352" s="10">
        <f>IF(ISTEXT(Таблицаx_2[[#This Row],[Значение]]), 0, Таблицаx_2[[#This Row],[Значение]])</f>
        <v>18572.5</v>
      </c>
      <c r="G352" s="12">
        <v>45017</v>
      </c>
      <c r="H352" s="10" t="str">
        <f>IFERROR(VLOOKUP(Таблицаx_2[[#This Row],[id]],prolongations!A:C,2,)," ")</f>
        <v>апрель 2023</v>
      </c>
      <c r="I352" s="10">
        <f>IF(Таблицаx_2[[#This Row],[Месяц окончания]]=Таблицаx_2[[#This Row],[Месяц]],Таблицаx_2[[#This Row],[Значения числа]],0)</f>
        <v>0</v>
      </c>
      <c r="J352" s="8">
        <f>IF(AND(Таблицаx_2[[#This Row],[Месяц окончания]]=Таблицаx_2[[#This Row],[Месяц]],Таблицаx_2[[#This Row],[id]]=A353,EDATE(Таблицаx_2[[#This Row],[Месяц]],1)=D353),F353,0)</f>
        <v>0</v>
      </c>
      <c r="K352" s="8">
        <f>IF(AND(Таблицаx_2[[#This Row],[Месяц окончания]]=Таблицаx_2[[#This Row],[Месяц]],Таблицаx_2[[#This Row],[id]]=A353,EDATE(Таблицаx_2[[#This Row],[Месяц]],2)=D353),F353,0)</f>
        <v>0</v>
      </c>
    </row>
    <row r="353" spans="1:11" ht="12.75" hidden="1" customHeight="1" x14ac:dyDescent="0.2">
      <c r="A353" s="8">
        <v>663</v>
      </c>
      <c r="B353" s="8" t="s">
        <v>47</v>
      </c>
      <c r="C353" s="8" t="s">
        <v>4</v>
      </c>
      <c r="D353" s="12">
        <v>44986</v>
      </c>
      <c r="E353" s="8" t="s">
        <v>46</v>
      </c>
      <c r="F353" s="10">
        <f>IF(ISTEXT(Таблицаx_2[[#This Row],[Значение]]), 0, Таблицаx_2[[#This Row],[Значение]])</f>
        <v>0</v>
      </c>
      <c r="G353" s="12">
        <v>45017</v>
      </c>
      <c r="H353" s="10" t="str">
        <f>IFERROR(VLOOKUP(Таблицаx_2[[#This Row],[id]],prolongations!A:C,2,)," ")</f>
        <v>апрель 2023</v>
      </c>
      <c r="I353" s="10">
        <f>IF(Таблицаx_2[[#This Row],[Месяц окончания]]=Таблицаx_2[[#This Row],[Месяц]],Таблицаx_2[[#This Row],[Значения числа]],0)</f>
        <v>0</v>
      </c>
      <c r="J353" s="8">
        <f>IF(AND(Таблицаx_2[[#This Row],[Месяц окончания]]=Таблицаx_2[[#This Row],[Месяц]],Таблицаx_2[[#This Row],[id]]=A354,EDATE(Таблицаx_2[[#This Row],[Месяц]],1)=D354),F354,0)</f>
        <v>0</v>
      </c>
      <c r="K353" s="8">
        <f>IF(AND(Таблицаx_2[[#This Row],[Месяц окончания]]=Таблицаx_2[[#This Row],[Месяц]],Таблицаx_2[[#This Row],[id]]=A354,EDATE(Таблицаx_2[[#This Row],[Месяц]],2)=D354),F354,0)</f>
        <v>0</v>
      </c>
    </row>
    <row r="354" spans="1:11" ht="12.75" hidden="1" customHeight="1" x14ac:dyDescent="0.2">
      <c r="A354" s="8">
        <v>788</v>
      </c>
      <c r="B354" s="8"/>
      <c r="C354" s="8" t="s">
        <v>6</v>
      </c>
      <c r="D354" s="12">
        <v>44986</v>
      </c>
      <c r="E354" s="8">
        <v>43885</v>
      </c>
      <c r="F354" s="10">
        <f>IF(ISTEXT(Таблицаx_2[[#This Row],[Значение]]), 0, Таблицаx_2[[#This Row],[Значение]])</f>
        <v>43885</v>
      </c>
      <c r="G354" s="12">
        <v>45017</v>
      </c>
      <c r="H354" s="10" t="str">
        <f>IFERROR(VLOOKUP(Таблицаx_2[[#This Row],[id]],prolongations!A:C,2,)," ")</f>
        <v>апрель 2023</v>
      </c>
      <c r="I354" s="10">
        <f>IF(Таблицаx_2[[#This Row],[Месяц окончания]]=Таблицаx_2[[#This Row],[Месяц]],Таблицаx_2[[#This Row],[Значения числа]],0)</f>
        <v>0</v>
      </c>
      <c r="J354" s="8">
        <f>IF(AND(Таблицаx_2[[#This Row],[Месяц окончания]]=Таблицаx_2[[#This Row],[Месяц]],Таблицаx_2[[#This Row],[id]]=A355,EDATE(Таблицаx_2[[#This Row],[Месяц]],1)=D355),F355,0)</f>
        <v>0</v>
      </c>
      <c r="K354" s="8">
        <f>IF(AND(Таблицаx_2[[#This Row],[Месяц окончания]]=Таблицаx_2[[#This Row],[Месяц]],Таблицаx_2[[#This Row],[id]]=A355,EDATE(Таблицаx_2[[#This Row],[Месяц]],2)=D355),F355,0)</f>
        <v>0</v>
      </c>
    </row>
    <row r="355" spans="1:11" ht="12.75" hidden="1" customHeight="1" x14ac:dyDescent="0.2">
      <c r="A355" s="8">
        <v>788</v>
      </c>
      <c r="B355" s="8"/>
      <c r="C355" s="8" t="s">
        <v>6</v>
      </c>
      <c r="D355" s="12">
        <v>45017</v>
      </c>
      <c r="E355" s="8" t="s">
        <v>46</v>
      </c>
      <c r="F355" s="10">
        <f>IF(ISTEXT(Таблицаx_2[[#This Row],[Значение]]), 0, Таблицаx_2[[#This Row],[Значение]])</f>
        <v>0</v>
      </c>
      <c r="G355" s="12">
        <v>45017</v>
      </c>
      <c r="H355" s="10" t="str">
        <f>IFERROR(VLOOKUP(Таблицаx_2[[#This Row],[id]],prolongations!A:C,2,)," ")</f>
        <v>апрель 2023</v>
      </c>
      <c r="I355" s="10">
        <f>IF(Таблицаx_2[[#This Row],[Месяц окончания]]=Таблицаx_2[[#This Row],[Месяц]],Таблицаx_2[[#This Row],[Значения числа]],0)</f>
        <v>0</v>
      </c>
      <c r="J355" s="8">
        <f>IF(AND(Таблицаx_2[[#This Row],[Месяц окончания]]=Таблицаx_2[[#This Row],[Месяц]],Таблицаx_2[[#This Row],[id]]=A356,EDATE(Таблицаx_2[[#This Row],[Месяц]],1)=D356),F356,0)</f>
        <v>0</v>
      </c>
      <c r="K355" s="8">
        <f>IF(AND(Таблицаx_2[[#This Row],[Месяц окончания]]=Таблицаx_2[[#This Row],[Месяц]],Таблицаx_2[[#This Row],[id]]=A356,EDATE(Таблицаx_2[[#This Row],[Месяц]],2)=D356),F356,0)</f>
        <v>0</v>
      </c>
    </row>
    <row r="356" spans="1:11" ht="12.75" hidden="1" customHeight="1" x14ac:dyDescent="0.2">
      <c r="A356" s="8">
        <v>728</v>
      </c>
      <c r="B356" s="8" t="s">
        <v>45</v>
      </c>
      <c r="C356" s="8" t="s">
        <v>8</v>
      </c>
      <c r="D356" s="12">
        <v>44896</v>
      </c>
      <c r="E356" s="8">
        <v>780000</v>
      </c>
      <c r="F356" s="10">
        <f>IF(ISTEXT(Таблицаx_2[[#This Row],[Значение]]), 0, Таблицаx_2[[#This Row],[Значение]])</f>
        <v>780000</v>
      </c>
      <c r="G356" s="12">
        <v>44927</v>
      </c>
      <c r="H356" s="10" t="str">
        <f>IFERROR(VLOOKUP(Таблицаx_2[[#This Row],[id]],prolongations!A:C,2,)," ")</f>
        <v>январь 2023</v>
      </c>
      <c r="I356" s="10">
        <f>IF(Таблицаx_2[[#This Row],[Месяц окончания]]=Таблицаx_2[[#This Row],[Месяц]],Таблицаx_2[[#This Row],[Значения числа]],0)</f>
        <v>0</v>
      </c>
      <c r="J356" s="8">
        <f>IF(AND(Таблицаx_2[[#This Row],[Месяц окончания]]=Таблицаx_2[[#This Row],[Месяц]],Таблицаx_2[[#This Row],[id]]=A357,EDATE(Таблицаx_2[[#This Row],[Месяц]],1)=D357),F357,0)</f>
        <v>0</v>
      </c>
      <c r="K356" s="8">
        <f>IF(AND(Таблицаx_2[[#This Row],[Месяц окончания]]=Таблицаx_2[[#This Row],[Месяц]],Таблицаx_2[[#This Row],[id]]=A357,EDATE(Таблицаx_2[[#This Row],[Месяц]],2)=D357),F357,0)</f>
        <v>0</v>
      </c>
    </row>
    <row r="357" spans="1:11" ht="12.75" hidden="1" customHeight="1" x14ac:dyDescent="0.2">
      <c r="A357" s="8">
        <v>728</v>
      </c>
      <c r="B357" s="8" t="s">
        <v>45</v>
      </c>
      <c r="C357" s="8" t="s">
        <v>8</v>
      </c>
      <c r="D357" s="12">
        <v>44927</v>
      </c>
      <c r="E357" s="8" t="s">
        <v>48</v>
      </c>
      <c r="F357" s="10">
        <f>IF(ISTEXT(Таблицаx_2[[#This Row],[Значение]]), 0, Таблицаx_2[[#This Row],[Значение]])</f>
        <v>0</v>
      </c>
      <c r="G357" s="12">
        <v>44927</v>
      </c>
      <c r="H357" s="10" t="str">
        <f>IFERROR(VLOOKUP(Таблицаx_2[[#This Row],[id]],prolongations!A:C,2,)," ")</f>
        <v>январь 2023</v>
      </c>
      <c r="I357" s="10">
        <f>IF(Таблицаx_2[[#This Row],[Месяц окончания]]=Таблицаx_2[[#This Row],[Месяц]],Таблицаx_2[[#This Row],[Значения числа]],0)</f>
        <v>0</v>
      </c>
      <c r="J357" s="8">
        <f>IF(AND(Таблицаx_2[[#This Row],[Месяц окончания]]=Таблицаx_2[[#This Row],[Месяц]],Таблицаx_2[[#This Row],[id]]=A358,EDATE(Таблицаx_2[[#This Row],[Месяц]],1)=D358),F358,0)</f>
        <v>0</v>
      </c>
      <c r="K357" s="8">
        <f>IF(AND(Таблицаx_2[[#This Row],[Месяц окончания]]=Таблицаx_2[[#This Row],[Месяц]],Таблицаx_2[[#This Row],[id]]=A358,EDATE(Таблицаx_2[[#This Row],[Месяц]],2)=D358),F358,0)</f>
        <v>0</v>
      </c>
    </row>
    <row r="358" spans="1:11" ht="12.75" hidden="1" customHeight="1" x14ac:dyDescent="0.2">
      <c r="A358" s="8">
        <v>728</v>
      </c>
      <c r="B358" s="8" t="s">
        <v>45</v>
      </c>
      <c r="C358" s="8" t="s">
        <v>8</v>
      </c>
      <c r="D358" s="12">
        <v>44958</v>
      </c>
      <c r="E358" s="8" t="s">
        <v>48</v>
      </c>
      <c r="F358" s="10">
        <f>IF(ISTEXT(Таблицаx_2[[#This Row],[Значение]]), 0, Таблицаx_2[[#This Row],[Значение]])</f>
        <v>0</v>
      </c>
      <c r="G358" s="12">
        <v>44927</v>
      </c>
      <c r="H358" s="10" t="str">
        <f>IFERROR(VLOOKUP(Таблицаx_2[[#This Row],[id]],prolongations!A:C,2,)," ")</f>
        <v>январь 2023</v>
      </c>
      <c r="I358" s="10">
        <f>IF(Таблицаx_2[[#This Row],[Месяц окончания]]=Таблицаx_2[[#This Row],[Месяц]],Таблицаx_2[[#This Row],[Значения числа]],0)</f>
        <v>0</v>
      </c>
      <c r="J358" s="8">
        <f>IF(AND(Таблицаx_2[[#This Row],[Месяц окончания]]=Таблицаx_2[[#This Row],[Месяц]],Таблицаx_2[[#This Row],[id]]=A359,EDATE(Таблицаx_2[[#This Row],[Месяц]],1)=D359),F359,0)</f>
        <v>0</v>
      </c>
      <c r="K358" s="8">
        <f>IF(AND(Таблицаx_2[[#This Row],[Месяц окончания]]=Таблицаx_2[[#This Row],[Месяц]],Таблицаx_2[[#This Row],[id]]=A359,EDATE(Таблицаx_2[[#This Row],[Месяц]],2)=D359),F359,0)</f>
        <v>0</v>
      </c>
    </row>
    <row r="359" spans="1:11" ht="12.75" hidden="1" customHeight="1" x14ac:dyDescent="0.2">
      <c r="A359" s="8">
        <v>728</v>
      </c>
      <c r="B359" s="8" t="s">
        <v>45</v>
      </c>
      <c r="C359" s="8" t="s">
        <v>8</v>
      </c>
      <c r="D359" s="12">
        <v>44986</v>
      </c>
      <c r="E359" s="8" t="s">
        <v>48</v>
      </c>
      <c r="F359" s="10">
        <f>IF(ISTEXT(Таблицаx_2[[#This Row],[Значение]]), 0, Таблицаx_2[[#This Row],[Значение]])</f>
        <v>0</v>
      </c>
      <c r="G359" s="12">
        <v>44927</v>
      </c>
      <c r="H359" s="10" t="str">
        <f>IFERROR(VLOOKUP(Таблицаx_2[[#This Row],[id]],prolongations!A:C,2,)," ")</f>
        <v>январь 2023</v>
      </c>
      <c r="I359" s="10">
        <f>IF(Таблицаx_2[[#This Row],[Месяц окончания]]=Таблицаx_2[[#This Row],[Месяц]],Таблицаx_2[[#This Row],[Значения числа]],0)</f>
        <v>0</v>
      </c>
      <c r="J359" s="8">
        <f>IF(AND(Таблицаx_2[[#This Row],[Месяц окончания]]=Таблицаx_2[[#This Row],[Месяц]],Таблицаx_2[[#This Row],[id]]=A360,EDATE(Таблицаx_2[[#This Row],[Месяц]],1)=D360),F360,0)</f>
        <v>0</v>
      </c>
      <c r="K359" s="8">
        <f>IF(AND(Таблицаx_2[[#This Row],[Месяц окончания]]=Таблицаx_2[[#This Row],[Месяц]],Таблицаx_2[[#This Row],[id]]=A360,EDATE(Таблицаx_2[[#This Row],[Месяц]],2)=D360),F360,0)</f>
        <v>0</v>
      </c>
    </row>
    <row r="360" spans="1:11" ht="12.75" hidden="1" customHeight="1" x14ac:dyDescent="0.2">
      <c r="A360" s="8">
        <v>728</v>
      </c>
      <c r="B360" s="8" t="s">
        <v>45</v>
      </c>
      <c r="C360" s="8" t="s">
        <v>8</v>
      </c>
      <c r="D360" s="12">
        <v>45017</v>
      </c>
      <c r="E360" s="8" t="s">
        <v>46</v>
      </c>
      <c r="F360" s="10">
        <f>IF(ISTEXT(Таблицаx_2[[#This Row],[Значение]]), 0, Таблицаx_2[[#This Row],[Значение]])</f>
        <v>0</v>
      </c>
      <c r="G360" s="12">
        <v>44927</v>
      </c>
      <c r="H360" s="10" t="str">
        <f>IFERROR(VLOOKUP(Таблицаx_2[[#This Row],[id]],prolongations!A:C,2,)," ")</f>
        <v>январь 2023</v>
      </c>
      <c r="I360" s="10">
        <f>IF(Таблицаx_2[[#This Row],[Месяц окончания]]=Таблицаx_2[[#This Row],[Месяц]],Таблицаx_2[[#This Row],[Значения числа]],0)</f>
        <v>0</v>
      </c>
      <c r="J360" s="8">
        <f>IF(AND(Таблицаx_2[[#This Row],[Месяц окончания]]=Таблицаx_2[[#This Row],[Месяц]],Таблицаx_2[[#This Row],[id]]=A361,EDATE(Таблицаx_2[[#This Row],[Месяц]],1)=D361),F361,0)</f>
        <v>0</v>
      </c>
      <c r="K360" s="8">
        <f>IF(AND(Таблицаx_2[[#This Row],[Месяц окончания]]=Таблицаx_2[[#This Row],[Месяц]],Таблицаx_2[[#This Row],[id]]=A361,EDATE(Таблицаx_2[[#This Row],[Месяц]],2)=D361),F361,0)</f>
        <v>0</v>
      </c>
    </row>
    <row r="361" spans="1:11" ht="12.75" hidden="1" customHeight="1" x14ac:dyDescent="0.2">
      <c r="A361" s="8">
        <v>667</v>
      </c>
      <c r="B361" s="8"/>
      <c r="C361" s="8" t="s">
        <v>4</v>
      </c>
      <c r="D361" s="12">
        <v>44896</v>
      </c>
      <c r="E361" s="8" t="s">
        <v>48</v>
      </c>
      <c r="F361" s="10">
        <f>IF(ISTEXT(Таблицаx_2[[#This Row],[Значение]]), 0, Таблицаx_2[[#This Row],[Значение]])</f>
        <v>0</v>
      </c>
      <c r="G361" s="12">
        <v>44958</v>
      </c>
      <c r="H361" s="10" t="str">
        <f>IFERROR(VLOOKUP(Таблицаx_2[[#This Row],[id]],prolongations!A:C,2,)," ")</f>
        <v>февраль 2023</v>
      </c>
      <c r="I361" s="10">
        <f>IF(Таблицаx_2[[#This Row],[Месяц окончания]]=Таблицаx_2[[#This Row],[Месяц]],Таблицаx_2[[#This Row],[Значения числа]],0)</f>
        <v>0</v>
      </c>
      <c r="J361" s="8">
        <f>IF(AND(Таблицаx_2[[#This Row],[Месяц окончания]]=Таблицаx_2[[#This Row],[Месяц]],Таблицаx_2[[#This Row],[id]]=A362,EDATE(Таблицаx_2[[#This Row],[Месяц]],1)=D362),F362,0)</f>
        <v>0</v>
      </c>
      <c r="K361" s="8">
        <f>IF(AND(Таблицаx_2[[#This Row],[Месяц окончания]]=Таблицаx_2[[#This Row],[Месяц]],Таблицаx_2[[#This Row],[id]]=A362,EDATE(Таблицаx_2[[#This Row],[Месяц]],2)=D362),F362,0)</f>
        <v>0</v>
      </c>
    </row>
    <row r="362" spans="1:11" ht="12.75" hidden="1" customHeight="1" x14ac:dyDescent="0.2">
      <c r="A362" s="8">
        <v>667</v>
      </c>
      <c r="B362" s="8"/>
      <c r="C362" s="8" t="s">
        <v>4</v>
      </c>
      <c r="D362" s="12">
        <v>44927</v>
      </c>
      <c r="E362" s="8">
        <v>40620</v>
      </c>
      <c r="F362" s="10">
        <f>IF(ISTEXT(Таблицаx_2[[#This Row],[Значение]]), 0, Таблицаx_2[[#This Row],[Значение]])</f>
        <v>40620</v>
      </c>
      <c r="G362" s="12">
        <v>44958</v>
      </c>
      <c r="H362" s="10" t="str">
        <f>IFERROR(VLOOKUP(Таблицаx_2[[#This Row],[id]],prolongations!A:C,2,)," ")</f>
        <v>февраль 2023</v>
      </c>
      <c r="I362" s="10">
        <f>IF(Таблицаx_2[[#This Row],[Месяц окончания]]=Таблицаx_2[[#This Row],[Месяц]],Таблицаx_2[[#This Row],[Значения числа]],0)</f>
        <v>0</v>
      </c>
      <c r="J362" s="8">
        <f>IF(AND(Таблицаx_2[[#This Row],[Месяц окончания]]=Таблицаx_2[[#This Row],[Месяц]],Таблицаx_2[[#This Row],[id]]=A363,EDATE(Таблицаx_2[[#This Row],[Месяц]],1)=D363),F363,0)</f>
        <v>0</v>
      </c>
      <c r="K362" s="8">
        <f>IF(AND(Таблицаx_2[[#This Row],[Месяц окончания]]=Таблицаx_2[[#This Row],[Месяц]],Таблицаx_2[[#This Row],[id]]=A363,EDATE(Таблицаx_2[[#This Row],[Месяц]],2)=D363),F363,0)</f>
        <v>0</v>
      </c>
    </row>
    <row r="363" spans="1:11" ht="12.75" hidden="1" customHeight="1" x14ac:dyDescent="0.2">
      <c r="A363" s="8">
        <v>667</v>
      </c>
      <c r="B363" s="8"/>
      <c r="C363" s="8" t="s">
        <v>4</v>
      </c>
      <c r="D363" s="12">
        <v>44958</v>
      </c>
      <c r="E363" s="8">
        <v>48715</v>
      </c>
      <c r="F363" s="10">
        <f>IF(ISTEXT(Таблицаx_2[[#This Row],[Значение]]), 0, Таблицаx_2[[#This Row],[Значение]])</f>
        <v>48715</v>
      </c>
      <c r="G363" s="12">
        <v>44958</v>
      </c>
      <c r="H363" s="10" t="str">
        <f>IFERROR(VLOOKUP(Таблицаx_2[[#This Row],[id]],prolongations!A:C,2,)," ")</f>
        <v>февраль 2023</v>
      </c>
      <c r="I363" s="10">
        <f>IF(Таблицаx_2[[#This Row],[Месяц окончания]]=Таблицаx_2[[#This Row],[Месяц]],Таблицаx_2[[#This Row],[Значения числа]],0)</f>
        <v>48715</v>
      </c>
      <c r="J363" s="8">
        <f>IF(AND(Таблицаx_2[[#This Row],[Месяц окончания]]=Таблицаx_2[[#This Row],[Месяц]],Таблицаx_2[[#This Row],[id]]=A364,EDATE(Таблицаx_2[[#This Row],[Месяц]],1)=D364),F364,0)</f>
        <v>49610</v>
      </c>
      <c r="K363" s="8">
        <f>IF(AND(Таблицаx_2[[#This Row],[Месяц окончания]]=Таблицаx_2[[#This Row],[Месяц]],Таблицаx_2[[#This Row],[id]]=A364,EDATE(Таблицаx_2[[#This Row],[Месяц]],2)=D364),F364,0)</f>
        <v>0</v>
      </c>
    </row>
    <row r="364" spans="1:11" ht="12.75" hidden="1" customHeight="1" x14ac:dyDescent="0.2">
      <c r="A364" s="8">
        <v>667</v>
      </c>
      <c r="B364" s="8"/>
      <c r="C364" s="8" t="s">
        <v>4</v>
      </c>
      <c r="D364" s="12">
        <v>44986</v>
      </c>
      <c r="E364" s="8">
        <v>49610</v>
      </c>
      <c r="F364" s="10">
        <f>IF(ISTEXT(Таблицаx_2[[#This Row],[Значение]]), 0, Таблицаx_2[[#This Row],[Значение]])</f>
        <v>49610</v>
      </c>
      <c r="G364" s="12">
        <v>44958</v>
      </c>
      <c r="H364" s="10" t="str">
        <f>IFERROR(VLOOKUP(Таблицаx_2[[#This Row],[id]],prolongations!A:C,2,)," ")</f>
        <v>февраль 2023</v>
      </c>
      <c r="I364" s="10">
        <f>IF(Таблицаx_2[[#This Row],[Месяц окончания]]=Таблицаx_2[[#This Row],[Месяц]],Таблицаx_2[[#This Row],[Значения числа]],0)</f>
        <v>0</v>
      </c>
      <c r="J364" s="8">
        <f>IF(AND(Таблицаx_2[[#This Row],[Месяц окончания]]=Таблицаx_2[[#This Row],[Месяц]],Таблицаx_2[[#This Row],[id]]=A365,EDATE(Таблицаx_2[[#This Row],[Месяц]],1)=D365),F365,0)</f>
        <v>0</v>
      </c>
      <c r="K364" s="8">
        <f>IF(AND(Таблицаx_2[[#This Row],[Месяц окончания]]=Таблицаx_2[[#This Row],[Месяц]],Таблицаx_2[[#This Row],[id]]=A365,EDATE(Таблицаx_2[[#This Row],[Месяц]],2)=D365),F365,0)</f>
        <v>0</v>
      </c>
    </row>
    <row r="365" spans="1:11" ht="12.75" hidden="1" customHeight="1" x14ac:dyDescent="0.2">
      <c r="A365" s="8">
        <v>667</v>
      </c>
      <c r="B365" s="8"/>
      <c r="C365" s="8" t="s">
        <v>4</v>
      </c>
      <c r="D365" s="12">
        <v>45017</v>
      </c>
      <c r="E365" s="8">
        <v>49850</v>
      </c>
      <c r="F365" s="10">
        <f>IF(ISTEXT(Таблицаx_2[[#This Row],[Значение]]), 0, Таблицаx_2[[#This Row],[Значение]])</f>
        <v>49850</v>
      </c>
      <c r="G365" s="12">
        <v>44958</v>
      </c>
      <c r="H365" s="10" t="str">
        <f>IFERROR(VLOOKUP(Таблицаx_2[[#This Row],[id]],prolongations!A:C,2,)," ")</f>
        <v>февраль 2023</v>
      </c>
      <c r="I365" s="10">
        <f>IF(Таблицаx_2[[#This Row],[Месяц окончания]]=Таблицаx_2[[#This Row],[Месяц]],Таблицаx_2[[#This Row],[Значения числа]],0)</f>
        <v>0</v>
      </c>
      <c r="J365" s="8">
        <f>IF(AND(Таблицаx_2[[#This Row],[Месяц окончания]]=Таблицаx_2[[#This Row],[Месяц]],Таблицаx_2[[#This Row],[id]]=A366,EDATE(Таблицаx_2[[#This Row],[Месяц]],1)=D366),F366,0)</f>
        <v>0</v>
      </c>
      <c r="K365" s="8">
        <f>IF(AND(Таблицаx_2[[#This Row],[Месяц окончания]]=Таблицаx_2[[#This Row],[Месяц]],Таблицаx_2[[#This Row],[id]]=A366,EDATE(Таблицаx_2[[#This Row],[Месяц]],2)=D366),F366,0)</f>
        <v>0</v>
      </c>
    </row>
    <row r="366" spans="1:11" ht="12.75" hidden="1" customHeight="1" x14ac:dyDescent="0.2">
      <c r="A366" s="8">
        <v>825</v>
      </c>
      <c r="B366" s="8"/>
      <c r="C366" s="8" t="s">
        <v>6</v>
      </c>
      <c r="D366" s="12">
        <v>45017</v>
      </c>
      <c r="E366" s="8">
        <v>205000</v>
      </c>
      <c r="F366" s="10">
        <f>IF(ISTEXT(Таблицаx_2[[#This Row],[Значение]]), 0, Таблицаx_2[[#This Row],[Значение]])</f>
        <v>205000</v>
      </c>
      <c r="G366" s="12">
        <v>45017</v>
      </c>
      <c r="H366" s="10" t="str">
        <f>IFERROR(VLOOKUP(Таблицаx_2[[#This Row],[id]],prolongations!A:C,2,)," ")</f>
        <v>апрель 2023</v>
      </c>
      <c r="I366" s="10">
        <f>IF(Таблицаx_2[[#This Row],[Месяц окончания]]=Таблицаx_2[[#This Row],[Месяц]],Таблицаx_2[[#This Row],[Значения числа]],0)</f>
        <v>205000</v>
      </c>
      <c r="J366" s="8">
        <f>IF(AND(Таблицаx_2[[#This Row],[Месяц окончания]]=Таблицаx_2[[#This Row],[Месяц]],Таблицаx_2[[#This Row],[id]]=A367,EDATE(Таблицаx_2[[#This Row],[Месяц]],1)=D367),F367,0)</f>
        <v>0</v>
      </c>
      <c r="K366" s="8">
        <f>IF(AND(Таблицаx_2[[#This Row],[Месяц окончания]]=Таблицаx_2[[#This Row],[Месяц]],Таблицаx_2[[#This Row],[id]]=A367,EDATE(Таблицаx_2[[#This Row],[Месяц]],2)=D367),F367,0)</f>
        <v>0</v>
      </c>
    </row>
    <row r="367" spans="1:11" ht="12.75" hidden="1" customHeight="1" x14ac:dyDescent="0.2">
      <c r="A367" s="8">
        <v>838</v>
      </c>
      <c r="B367" s="8"/>
      <c r="C367" s="8" t="s">
        <v>4</v>
      </c>
      <c r="D367" s="12">
        <v>45017</v>
      </c>
      <c r="E367" s="8">
        <v>550000</v>
      </c>
      <c r="F367" s="10">
        <f>IF(ISTEXT(Таблицаx_2[[#This Row],[Значение]]), 0, Таблицаx_2[[#This Row],[Значение]])</f>
        <v>550000</v>
      </c>
      <c r="G367" s="12">
        <v>45017</v>
      </c>
      <c r="H367" s="10" t="str">
        <f>IFERROR(VLOOKUP(Таблицаx_2[[#This Row],[id]],prolongations!A:C,2,)," ")</f>
        <v>апрель 2023</v>
      </c>
      <c r="I367" s="10">
        <f>IF(Таблицаx_2[[#This Row],[Месяц окончания]]=Таблицаx_2[[#This Row],[Месяц]],Таблицаx_2[[#This Row],[Значения числа]],0)</f>
        <v>550000</v>
      </c>
      <c r="J367" s="8">
        <f>IF(AND(Таблицаx_2[[#This Row],[Месяц окончания]]=Таблицаx_2[[#This Row],[Месяц]],Таблицаx_2[[#This Row],[id]]=A368,EDATE(Таблицаx_2[[#This Row],[Месяц]],1)=D368),F368,0)</f>
        <v>0</v>
      </c>
      <c r="K367" s="8">
        <f>IF(AND(Таблицаx_2[[#This Row],[Месяц окончания]]=Таблицаx_2[[#This Row],[Месяц]],Таблицаx_2[[#This Row],[id]]=A368,EDATE(Таблицаx_2[[#This Row],[Месяц]],2)=D368),F368,0)</f>
        <v>0</v>
      </c>
    </row>
    <row r="368" spans="1:11" ht="12.75" hidden="1" customHeight="1" x14ac:dyDescent="0.2">
      <c r="A368" s="8">
        <v>765</v>
      </c>
      <c r="B368" s="8" t="s">
        <v>45</v>
      </c>
      <c r="C368" s="8" t="s">
        <v>10</v>
      </c>
      <c r="D368" s="12">
        <v>44958</v>
      </c>
      <c r="E368" s="8">
        <v>62230</v>
      </c>
      <c r="F368" s="10">
        <f>IF(ISTEXT(Таблицаx_2[[#This Row],[Значение]]), 0, Таблицаx_2[[#This Row],[Значение]])</f>
        <v>62230</v>
      </c>
      <c r="G368" s="12">
        <v>45047</v>
      </c>
      <c r="H368" s="10" t="str">
        <f>IFERROR(VLOOKUP(Таблицаx_2[[#This Row],[id]],prolongations!A:C,2,)," ")</f>
        <v>май 2023</v>
      </c>
      <c r="I368" s="10">
        <f>IF(Таблицаx_2[[#This Row],[Месяц окончания]]=Таблицаx_2[[#This Row],[Месяц]],Таблицаx_2[[#This Row],[Значения числа]],0)</f>
        <v>0</v>
      </c>
      <c r="J368" s="8">
        <f>IF(AND(Таблицаx_2[[#This Row],[Месяц окончания]]=Таблицаx_2[[#This Row],[Месяц]],Таблицаx_2[[#This Row],[id]]=A369,EDATE(Таблицаx_2[[#This Row],[Месяц]],1)=D369),F369,0)</f>
        <v>0</v>
      </c>
      <c r="K368" s="8">
        <f>IF(AND(Таблицаx_2[[#This Row],[Месяц окончания]]=Таблицаx_2[[#This Row],[Месяц]],Таблицаx_2[[#This Row],[id]]=A369,EDATE(Таблицаx_2[[#This Row],[Месяц]],2)=D369),F369,0)</f>
        <v>0</v>
      </c>
    </row>
    <row r="369" spans="1:11" ht="12.75" hidden="1" customHeight="1" x14ac:dyDescent="0.2">
      <c r="A369" s="8">
        <v>765</v>
      </c>
      <c r="B369" s="8" t="s">
        <v>45</v>
      </c>
      <c r="C369" s="8" t="s">
        <v>10</v>
      </c>
      <c r="D369" s="12">
        <v>45047</v>
      </c>
      <c r="E369" s="8">
        <v>60470</v>
      </c>
      <c r="F369" s="10">
        <f>IF(ISTEXT(Таблицаx_2[[#This Row],[Значение]]), 0, Таблицаx_2[[#This Row],[Значение]])</f>
        <v>60470</v>
      </c>
      <c r="G369" s="12">
        <v>45047</v>
      </c>
      <c r="H369" s="10" t="str">
        <f>IFERROR(VLOOKUP(Таблицаx_2[[#This Row],[id]],prolongations!A:C,2,)," ")</f>
        <v>май 2023</v>
      </c>
      <c r="I369" s="10">
        <f>IF(Таблицаx_2[[#This Row],[Месяц окончания]]=Таблицаx_2[[#This Row],[Месяц]],Таблицаx_2[[#This Row],[Значения числа]],0)</f>
        <v>60470</v>
      </c>
      <c r="J369" s="8">
        <f>IF(AND(Таблицаx_2[[#This Row],[Месяц окончания]]=Таблицаx_2[[#This Row],[Месяц]],Таблицаx_2[[#This Row],[id]]=A370,EDATE(Таблицаx_2[[#This Row],[Месяц]],1)=D370),F370,0)</f>
        <v>0</v>
      </c>
      <c r="K369" s="8">
        <f>IF(AND(Таблицаx_2[[#This Row],[Месяц окончания]]=Таблицаx_2[[#This Row],[Месяц]],Таблицаx_2[[#This Row],[id]]=A370,EDATE(Таблицаx_2[[#This Row],[Месяц]],2)=D370),F370,0)</f>
        <v>0</v>
      </c>
    </row>
    <row r="370" spans="1:11" ht="12.75" hidden="1" customHeight="1" x14ac:dyDescent="0.2">
      <c r="A370" s="8">
        <v>765</v>
      </c>
      <c r="B370" s="8" t="s">
        <v>47</v>
      </c>
      <c r="C370" s="8" t="s">
        <v>10</v>
      </c>
      <c r="D370" s="12">
        <v>44958</v>
      </c>
      <c r="E370" s="8">
        <v>5915</v>
      </c>
      <c r="F370" s="10">
        <f>IF(ISTEXT(Таблицаx_2[[#This Row],[Значение]]), 0, Таблицаx_2[[#This Row],[Значение]])</f>
        <v>5915</v>
      </c>
      <c r="G370" s="12">
        <v>45047</v>
      </c>
      <c r="H370" s="10" t="str">
        <f>IFERROR(VLOOKUP(Таблицаx_2[[#This Row],[id]],prolongations!A:C,2,)," ")</f>
        <v>май 2023</v>
      </c>
      <c r="I370" s="10">
        <f>IF(Таблицаx_2[[#This Row],[Месяц окончания]]=Таблицаx_2[[#This Row],[Месяц]],Таблицаx_2[[#This Row],[Значения числа]],0)</f>
        <v>0</v>
      </c>
      <c r="J370" s="8">
        <f>IF(AND(Таблицаx_2[[#This Row],[Месяц окончания]]=Таблицаx_2[[#This Row],[Месяц]],Таблицаx_2[[#This Row],[id]]=A371,EDATE(Таблицаx_2[[#This Row],[Месяц]],1)=D371),F371,0)</f>
        <v>0</v>
      </c>
      <c r="K370" s="8">
        <f>IF(AND(Таблицаx_2[[#This Row],[Месяц окончания]]=Таблицаx_2[[#This Row],[Месяц]],Таблицаx_2[[#This Row],[id]]=A371,EDATE(Таблицаx_2[[#This Row],[Месяц]],2)=D371),F371,0)</f>
        <v>0</v>
      </c>
    </row>
    <row r="371" spans="1:11" ht="12.75" hidden="1" customHeight="1" x14ac:dyDescent="0.2">
      <c r="A371" s="8">
        <v>765</v>
      </c>
      <c r="B371" s="8" t="s">
        <v>47</v>
      </c>
      <c r="C371" s="8" t="s">
        <v>10</v>
      </c>
      <c r="D371" s="12">
        <v>45047</v>
      </c>
      <c r="E371" s="8">
        <v>4225</v>
      </c>
      <c r="F371" s="10">
        <f>IF(ISTEXT(Таблицаx_2[[#This Row],[Значение]]), 0, Таблицаx_2[[#This Row],[Значение]])</f>
        <v>4225</v>
      </c>
      <c r="G371" s="12">
        <v>45047</v>
      </c>
      <c r="H371" s="10" t="str">
        <f>IFERROR(VLOOKUP(Таблицаx_2[[#This Row],[id]],prolongations!A:C,2,)," ")</f>
        <v>май 2023</v>
      </c>
      <c r="I371" s="10">
        <f>IF(Таблицаx_2[[#This Row],[Месяц окончания]]=Таблицаx_2[[#This Row],[Месяц]],Таблицаx_2[[#This Row],[Значения числа]],0)</f>
        <v>4225</v>
      </c>
      <c r="J371" s="8">
        <f>IF(AND(Таблицаx_2[[#This Row],[Месяц окончания]]=Таблицаx_2[[#This Row],[Месяц]],Таблицаx_2[[#This Row],[id]]=A372,EDATE(Таблицаx_2[[#This Row],[Месяц]],1)=D372),F372,0)</f>
        <v>0</v>
      </c>
      <c r="K371" s="8">
        <f>IF(AND(Таблицаx_2[[#This Row],[Месяц окончания]]=Таблицаx_2[[#This Row],[Месяц]],Таблицаx_2[[#This Row],[id]]=A372,EDATE(Таблицаx_2[[#This Row],[Месяц]],2)=D372),F372,0)</f>
        <v>0</v>
      </c>
    </row>
    <row r="372" spans="1:11" ht="12.75" hidden="1" customHeight="1" x14ac:dyDescent="0.2">
      <c r="A372" s="8">
        <v>294</v>
      </c>
      <c r="B372" s="8" t="s">
        <v>52</v>
      </c>
      <c r="C372" s="8" t="s">
        <v>10</v>
      </c>
      <c r="D372" s="12">
        <v>44866</v>
      </c>
      <c r="E372" s="8">
        <v>66833</v>
      </c>
      <c r="F372" s="10">
        <f>IF(ISTEXT(Таблицаx_2[[#This Row],[Значение]]), 0, Таблицаx_2[[#This Row],[Значение]])</f>
        <v>66833</v>
      </c>
      <c r="G372" s="12">
        <v>45047</v>
      </c>
      <c r="H372" s="10" t="str">
        <f>IFERROR(VLOOKUP(Таблицаx_2[[#This Row],[id]],prolongations!A:C,2,)," ")</f>
        <v>май 2023</v>
      </c>
      <c r="I372" s="10">
        <f>IF(Таблицаx_2[[#This Row],[Месяц окончания]]=Таблицаx_2[[#This Row],[Месяц]],Таблицаx_2[[#This Row],[Значения числа]],0)</f>
        <v>0</v>
      </c>
      <c r="J372" s="8">
        <f>IF(AND(Таблицаx_2[[#This Row],[Месяц окончания]]=Таблицаx_2[[#This Row],[Месяц]],Таблицаx_2[[#This Row],[id]]=A373,EDATE(Таблицаx_2[[#This Row],[Месяц]],1)=D373),F373,0)</f>
        <v>0</v>
      </c>
      <c r="K372" s="8">
        <f>IF(AND(Таблицаx_2[[#This Row],[Месяц окончания]]=Таблицаx_2[[#This Row],[Месяц]],Таблицаx_2[[#This Row],[id]]=A373,EDATE(Таблицаx_2[[#This Row],[Месяц]],2)=D373),F373,0)</f>
        <v>0</v>
      </c>
    </row>
    <row r="373" spans="1:11" ht="12.75" hidden="1" customHeight="1" x14ac:dyDescent="0.2">
      <c r="A373" s="8">
        <v>294</v>
      </c>
      <c r="B373" s="8" t="s">
        <v>52</v>
      </c>
      <c r="C373" s="8" t="s">
        <v>10</v>
      </c>
      <c r="D373" s="12">
        <v>44896</v>
      </c>
      <c r="E373" s="8">
        <v>70819.7</v>
      </c>
      <c r="F373" s="10">
        <f>IF(ISTEXT(Таблицаx_2[[#This Row],[Значение]]), 0, Таблицаx_2[[#This Row],[Значение]])</f>
        <v>70819.7</v>
      </c>
      <c r="G373" s="12">
        <v>45047</v>
      </c>
      <c r="H373" s="10" t="str">
        <f>IFERROR(VLOOKUP(Таблицаx_2[[#This Row],[id]],prolongations!A:C,2,)," ")</f>
        <v>май 2023</v>
      </c>
      <c r="I373" s="10">
        <f>IF(Таблицаx_2[[#This Row],[Месяц окончания]]=Таблицаx_2[[#This Row],[Месяц]],Таблицаx_2[[#This Row],[Значения числа]],0)</f>
        <v>0</v>
      </c>
      <c r="J373" s="8">
        <f>IF(AND(Таблицаx_2[[#This Row],[Месяц окончания]]=Таблицаx_2[[#This Row],[Месяц]],Таблицаx_2[[#This Row],[id]]=A374,EDATE(Таблицаx_2[[#This Row],[Месяц]],1)=D374),F374,0)</f>
        <v>0</v>
      </c>
      <c r="K373" s="8">
        <f>IF(AND(Таблицаx_2[[#This Row],[Месяц окончания]]=Таблицаx_2[[#This Row],[Месяц]],Таблицаx_2[[#This Row],[id]]=A374,EDATE(Таблицаx_2[[#This Row],[Месяц]],2)=D374),F374,0)</f>
        <v>0</v>
      </c>
    </row>
    <row r="374" spans="1:11" ht="12.75" hidden="1" customHeight="1" x14ac:dyDescent="0.2">
      <c r="A374" s="8">
        <v>294</v>
      </c>
      <c r="B374" s="8" t="s">
        <v>52</v>
      </c>
      <c r="C374" s="8" t="s">
        <v>10</v>
      </c>
      <c r="D374" s="12">
        <v>44927</v>
      </c>
      <c r="E374" s="8">
        <v>68879.7</v>
      </c>
      <c r="F374" s="10">
        <f>IF(ISTEXT(Таблицаx_2[[#This Row],[Значение]]), 0, Таблицаx_2[[#This Row],[Значение]])</f>
        <v>68879.7</v>
      </c>
      <c r="G374" s="12">
        <v>45047</v>
      </c>
      <c r="H374" s="10" t="str">
        <f>IFERROR(VLOOKUP(Таблицаx_2[[#This Row],[id]],prolongations!A:C,2,)," ")</f>
        <v>май 2023</v>
      </c>
      <c r="I374" s="10">
        <f>IF(Таблицаx_2[[#This Row],[Месяц окончания]]=Таблицаx_2[[#This Row],[Месяц]],Таблицаx_2[[#This Row],[Значения числа]],0)</f>
        <v>0</v>
      </c>
      <c r="J374" s="8">
        <f>IF(AND(Таблицаx_2[[#This Row],[Месяц окончания]]=Таблицаx_2[[#This Row],[Месяц]],Таблицаx_2[[#This Row],[id]]=A375,EDATE(Таблицаx_2[[#This Row],[Месяц]],1)=D375),F375,0)</f>
        <v>0</v>
      </c>
      <c r="K374" s="8">
        <f>IF(AND(Таблицаx_2[[#This Row],[Месяц окончания]]=Таблицаx_2[[#This Row],[Месяц]],Таблицаx_2[[#This Row],[id]]=A375,EDATE(Таблицаx_2[[#This Row],[Месяц]],2)=D375),F375,0)</f>
        <v>0</v>
      </c>
    </row>
    <row r="375" spans="1:11" ht="12.75" hidden="1" customHeight="1" x14ac:dyDescent="0.2">
      <c r="A375" s="8">
        <v>294</v>
      </c>
      <c r="B375" s="8" t="s">
        <v>52</v>
      </c>
      <c r="C375" s="8" t="s">
        <v>10</v>
      </c>
      <c r="D375" s="12">
        <v>44958</v>
      </c>
      <c r="E375" s="8">
        <v>68879.7</v>
      </c>
      <c r="F375" s="10">
        <f>IF(ISTEXT(Таблицаx_2[[#This Row],[Значение]]), 0, Таблицаx_2[[#This Row],[Значение]])</f>
        <v>68879.7</v>
      </c>
      <c r="G375" s="12">
        <v>45047</v>
      </c>
      <c r="H375" s="10" t="str">
        <f>IFERROR(VLOOKUP(Таблицаx_2[[#This Row],[id]],prolongations!A:C,2,)," ")</f>
        <v>май 2023</v>
      </c>
      <c r="I375" s="10">
        <f>IF(Таблицаx_2[[#This Row],[Месяц окончания]]=Таблицаx_2[[#This Row],[Месяц]],Таблицаx_2[[#This Row],[Значения числа]],0)</f>
        <v>0</v>
      </c>
      <c r="J375" s="8">
        <f>IF(AND(Таблицаx_2[[#This Row],[Месяц окончания]]=Таблицаx_2[[#This Row],[Месяц]],Таблицаx_2[[#This Row],[id]]=A376,EDATE(Таблицаx_2[[#This Row],[Месяц]],1)=D376),F376,0)</f>
        <v>0</v>
      </c>
      <c r="K375" s="8">
        <f>IF(AND(Таблицаx_2[[#This Row],[Месяц окончания]]=Таблицаx_2[[#This Row],[Месяц]],Таблицаx_2[[#This Row],[id]]=A376,EDATE(Таблицаx_2[[#This Row],[Месяц]],2)=D376),F376,0)</f>
        <v>0</v>
      </c>
    </row>
    <row r="376" spans="1:11" ht="12.75" hidden="1" customHeight="1" x14ac:dyDescent="0.2">
      <c r="A376" s="8">
        <v>294</v>
      </c>
      <c r="B376" s="8" t="s">
        <v>52</v>
      </c>
      <c r="C376" s="8" t="s">
        <v>10</v>
      </c>
      <c r="D376" s="12">
        <v>44986</v>
      </c>
      <c r="E376" s="8">
        <v>68879.7</v>
      </c>
      <c r="F376" s="10">
        <f>IF(ISTEXT(Таблицаx_2[[#This Row],[Значение]]), 0, Таблицаx_2[[#This Row],[Значение]])</f>
        <v>68879.7</v>
      </c>
      <c r="G376" s="12">
        <v>45047</v>
      </c>
      <c r="H376" s="10" t="str">
        <f>IFERROR(VLOOKUP(Таблицаx_2[[#This Row],[id]],prolongations!A:C,2,)," ")</f>
        <v>май 2023</v>
      </c>
      <c r="I376" s="10">
        <f>IF(Таблицаx_2[[#This Row],[Месяц окончания]]=Таблицаx_2[[#This Row],[Месяц]],Таблицаx_2[[#This Row],[Значения числа]],0)</f>
        <v>0</v>
      </c>
      <c r="J376" s="8">
        <f>IF(AND(Таблицаx_2[[#This Row],[Месяц окончания]]=Таблицаx_2[[#This Row],[Месяц]],Таблицаx_2[[#This Row],[id]]=A377,EDATE(Таблицаx_2[[#This Row],[Месяц]],1)=D377),F377,0)</f>
        <v>0</v>
      </c>
      <c r="K376" s="8">
        <f>IF(AND(Таблицаx_2[[#This Row],[Месяц окончания]]=Таблицаx_2[[#This Row],[Месяц]],Таблицаx_2[[#This Row],[id]]=A377,EDATE(Таблицаx_2[[#This Row],[Месяц]],2)=D377),F377,0)</f>
        <v>0</v>
      </c>
    </row>
    <row r="377" spans="1:11" ht="12.75" hidden="1" customHeight="1" x14ac:dyDescent="0.2">
      <c r="A377" s="8">
        <v>294</v>
      </c>
      <c r="B377" s="8" t="s">
        <v>52</v>
      </c>
      <c r="C377" s="8" t="s">
        <v>10</v>
      </c>
      <c r="D377" s="12">
        <v>45017</v>
      </c>
      <c r="E377" s="8">
        <v>68879.7</v>
      </c>
      <c r="F377" s="10">
        <f>IF(ISTEXT(Таблицаx_2[[#This Row],[Значение]]), 0, Таблицаx_2[[#This Row],[Значение]])</f>
        <v>68879.7</v>
      </c>
      <c r="G377" s="12">
        <v>45047</v>
      </c>
      <c r="H377" s="10" t="str">
        <f>IFERROR(VLOOKUP(Таблицаx_2[[#This Row],[id]],prolongations!A:C,2,)," ")</f>
        <v>май 2023</v>
      </c>
      <c r="I377" s="10">
        <f>IF(Таблицаx_2[[#This Row],[Месяц окончания]]=Таблицаx_2[[#This Row],[Месяц]],Таблицаx_2[[#This Row],[Значения числа]],0)</f>
        <v>0</v>
      </c>
      <c r="J377" s="8">
        <f>IF(AND(Таблицаx_2[[#This Row],[Месяц окончания]]=Таблицаx_2[[#This Row],[Месяц]],Таблицаx_2[[#This Row],[id]]=A378,EDATE(Таблицаx_2[[#This Row],[Месяц]],1)=D378),F378,0)</f>
        <v>0</v>
      </c>
      <c r="K377" s="8">
        <f>IF(AND(Таблицаx_2[[#This Row],[Месяц окончания]]=Таблицаx_2[[#This Row],[Месяц]],Таблицаx_2[[#This Row],[id]]=A378,EDATE(Таблицаx_2[[#This Row],[Месяц]],2)=D378),F378,0)</f>
        <v>0</v>
      </c>
    </row>
    <row r="378" spans="1:11" ht="12.75" hidden="1" customHeight="1" x14ac:dyDescent="0.2">
      <c r="A378" s="8">
        <v>294</v>
      </c>
      <c r="B378" s="8" t="s">
        <v>52</v>
      </c>
      <c r="C378" s="8" t="s">
        <v>10</v>
      </c>
      <c r="D378" s="12">
        <v>45047</v>
      </c>
      <c r="E378" s="8">
        <v>69699.350000000006</v>
      </c>
      <c r="F378" s="10">
        <f>IF(ISTEXT(Таблицаx_2[[#This Row],[Значение]]), 0, Таблицаx_2[[#This Row],[Значение]])</f>
        <v>69699.350000000006</v>
      </c>
      <c r="G378" s="12">
        <v>45047</v>
      </c>
      <c r="H378" s="10" t="str">
        <f>IFERROR(VLOOKUP(Таблицаx_2[[#This Row],[id]],prolongations!A:C,2,)," ")</f>
        <v>май 2023</v>
      </c>
      <c r="I378" s="10">
        <f>IF(Таблицаx_2[[#This Row],[Месяц окончания]]=Таблицаx_2[[#This Row],[Месяц]],Таблицаx_2[[#This Row],[Значения числа]],0)</f>
        <v>69699.350000000006</v>
      </c>
      <c r="J378" s="8">
        <f>IF(AND(Таблицаx_2[[#This Row],[Месяц окончания]]=Таблицаx_2[[#This Row],[Месяц]],Таблицаx_2[[#This Row],[id]]=A379,EDATE(Таблицаx_2[[#This Row],[Месяц]],1)=D379),F379,0)</f>
        <v>0</v>
      </c>
      <c r="K378" s="8">
        <f>IF(AND(Таблицаx_2[[#This Row],[Месяц окончания]]=Таблицаx_2[[#This Row],[Месяц]],Таблицаx_2[[#This Row],[id]]=A379,EDATE(Таблицаx_2[[#This Row],[Месяц]],2)=D379),F379,0)</f>
        <v>69385</v>
      </c>
    </row>
    <row r="379" spans="1:11" ht="12.75" hidden="1" customHeight="1" x14ac:dyDescent="0.2">
      <c r="A379" s="8">
        <v>294</v>
      </c>
      <c r="B379" s="8" t="s">
        <v>52</v>
      </c>
      <c r="C379" s="8" t="s">
        <v>10</v>
      </c>
      <c r="D379" s="12">
        <v>45108</v>
      </c>
      <c r="E379" s="8">
        <v>69385</v>
      </c>
      <c r="F379" s="10">
        <f>IF(ISTEXT(Таблицаx_2[[#This Row],[Значение]]), 0, Таблицаx_2[[#This Row],[Значение]])</f>
        <v>69385</v>
      </c>
      <c r="G379" s="12">
        <v>45047</v>
      </c>
      <c r="H379" s="10" t="str">
        <f>IFERROR(VLOOKUP(Таблицаx_2[[#This Row],[id]],prolongations!A:C,2,)," ")</f>
        <v>май 2023</v>
      </c>
      <c r="I379" s="10">
        <f>IF(Таблицаx_2[[#This Row],[Месяц окончания]]=Таблицаx_2[[#This Row],[Месяц]],Таблицаx_2[[#This Row],[Значения числа]],0)</f>
        <v>0</v>
      </c>
      <c r="J379" s="8">
        <f>IF(AND(Таблицаx_2[[#This Row],[Месяц окончания]]=Таблицаx_2[[#This Row],[Месяц]],Таблицаx_2[[#This Row],[id]]=A380,EDATE(Таблицаx_2[[#This Row],[Месяц]],1)=D380),F380,0)</f>
        <v>0</v>
      </c>
      <c r="K379" s="8">
        <f>IF(AND(Таблицаx_2[[#This Row],[Месяц окончания]]=Таблицаx_2[[#This Row],[Месяц]],Таблицаx_2[[#This Row],[id]]=A380,EDATE(Таблицаx_2[[#This Row],[Месяц]],2)=D380),F380,0)</f>
        <v>0</v>
      </c>
    </row>
    <row r="380" spans="1:11" ht="12.75" hidden="1" customHeight="1" x14ac:dyDescent="0.2">
      <c r="A380" s="8">
        <v>294</v>
      </c>
      <c r="B380" s="8" t="s">
        <v>52</v>
      </c>
      <c r="C380" s="8" t="s">
        <v>10</v>
      </c>
      <c r="D380" s="12">
        <v>45139</v>
      </c>
      <c r="E380" s="8">
        <v>74075</v>
      </c>
      <c r="F380" s="10">
        <f>IF(ISTEXT(Таблицаx_2[[#This Row],[Значение]]), 0, Таблицаx_2[[#This Row],[Значение]])</f>
        <v>74075</v>
      </c>
      <c r="G380" s="12">
        <v>45047</v>
      </c>
      <c r="H380" s="10" t="str">
        <f>IFERROR(VLOOKUP(Таблицаx_2[[#This Row],[id]],prolongations!A:C,2,)," ")</f>
        <v>май 2023</v>
      </c>
      <c r="I380" s="10">
        <f>IF(Таблицаx_2[[#This Row],[Месяц окончания]]=Таблицаx_2[[#This Row],[Месяц]],Таблицаx_2[[#This Row],[Значения числа]],0)</f>
        <v>0</v>
      </c>
      <c r="J380" s="8">
        <f>IF(AND(Таблицаx_2[[#This Row],[Месяц окончания]]=Таблицаx_2[[#This Row],[Месяц]],Таблицаx_2[[#This Row],[id]]=A381,EDATE(Таблицаx_2[[#This Row],[Месяц]],1)=D381),F381,0)</f>
        <v>0</v>
      </c>
      <c r="K380" s="8">
        <f>IF(AND(Таблицаx_2[[#This Row],[Месяц окончания]]=Таблицаx_2[[#This Row],[Месяц]],Таблицаx_2[[#This Row],[id]]=A381,EDATE(Таблицаx_2[[#This Row],[Месяц]],2)=D381),F381,0)</f>
        <v>0</v>
      </c>
    </row>
    <row r="381" spans="1:11" ht="12.75" hidden="1" customHeight="1" x14ac:dyDescent="0.2">
      <c r="A381" s="8">
        <v>294</v>
      </c>
      <c r="B381" s="8" t="s">
        <v>52</v>
      </c>
      <c r="C381" s="8" t="s">
        <v>10</v>
      </c>
      <c r="D381" s="12">
        <v>45170</v>
      </c>
      <c r="E381" s="8">
        <v>76185</v>
      </c>
      <c r="F381" s="10">
        <f>IF(ISTEXT(Таблицаx_2[[#This Row],[Значение]]), 0, Таблицаx_2[[#This Row],[Значение]])</f>
        <v>76185</v>
      </c>
      <c r="G381" s="12">
        <v>45047</v>
      </c>
      <c r="H381" s="10" t="str">
        <f>IFERROR(VLOOKUP(Таблицаx_2[[#This Row],[id]],prolongations!A:C,2,)," ")</f>
        <v>май 2023</v>
      </c>
      <c r="I381" s="10">
        <f>IF(Таблицаx_2[[#This Row],[Месяц окончания]]=Таблицаx_2[[#This Row],[Месяц]],Таблицаx_2[[#This Row],[Значения числа]],0)</f>
        <v>0</v>
      </c>
      <c r="J381" s="8">
        <f>IF(AND(Таблицаx_2[[#This Row],[Месяц окончания]]=Таблицаx_2[[#This Row],[Месяц]],Таблицаx_2[[#This Row],[id]]=A382,EDATE(Таблицаx_2[[#This Row],[Месяц]],1)=D382),F382,0)</f>
        <v>0</v>
      </c>
      <c r="K381" s="8">
        <f>IF(AND(Таблицаx_2[[#This Row],[Месяц окончания]]=Таблицаx_2[[#This Row],[Месяц]],Таблицаx_2[[#This Row],[id]]=A382,EDATE(Таблицаx_2[[#This Row],[Месяц]],2)=D382),F382,0)</f>
        <v>0</v>
      </c>
    </row>
    <row r="382" spans="1:11" ht="12.75" hidden="1" customHeight="1" x14ac:dyDescent="0.2">
      <c r="A382" s="8">
        <v>294</v>
      </c>
      <c r="B382" s="8" t="s">
        <v>52</v>
      </c>
      <c r="C382" s="8" t="s">
        <v>10</v>
      </c>
      <c r="D382" s="12">
        <v>45200</v>
      </c>
      <c r="E382" s="8">
        <v>74075</v>
      </c>
      <c r="F382" s="10">
        <f>IF(ISTEXT(Таблицаx_2[[#This Row],[Значение]]), 0, Таблицаx_2[[#This Row],[Значение]])</f>
        <v>74075</v>
      </c>
      <c r="G382" s="12">
        <v>45047</v>
      </c>
      <c r="H382" s="10" t="str">
        <f>IFERROR(VLOOKUP(Таблицаx_2[[#This Row],[id]],prolongations!A:C,2,)," ")</f>
        <v>май 2023</v>
      </c>
      <c r="I382" s="10">
        <f>IF(Таблицаx_2[[#This Row],[Месяц окончания]]=Таблицаx_2[[#This Row],[Месяц]],Таблицаx_2[[#This Row],[Значения числа]],0)</f>
        <v>0</v>
      </c>
      <c r="J382" s="8">
        <f>IF(AND(Таблицаx_2[[#This Row],[Месяц окончания]]=Таблицаx_2[[#This Row],[Месяц]],Таблицаx_2[[#This Row],[id]]=A383,EDATE(Таблицаx_2[[#This Row],[Месяц]],1)=D383),F383,0)</f>
        <v>0</v>
      </c>
      <c r="K382" s="8">
        <f>IF(AND(Таблицаx_2[[#This Row],[Месяц окончания]]=Таблицаx_2[[#This Row],[Месяц]],Таблицаx_2[[#This Row],[id]]=A383,EDATE(Таблицаx_2[[#This Row],[Месяц]],2)=D383),F383,0)</f>
        <v>0</v>
      </c>
    </row>
    <row r="383" spans="1:11" ht="12.75" hidden="1" customHeight="1" x14ac:dyDescent="0.2">
      <c r="A383" s="8">
        <v>294</v>
      </c>
      <c r="B383" s="8" t="s">
        <v>52</v>
      </c>
      <c r="C383" s="8" t="s">
        <v>10</v>
      </c>
      <c r="D383" s="12">
        <v>45231</v>
      </c>
      <c r="E383" s="8">
        <v>76185</v>
      </c>
      <c r="F383" s="10">
        <f>IF(ISTEXT(Таблицаx_2[[#This Row],[Значение]]), 0, Таблицаx_2[[#This Row],[Значение]])</f>
        <v>76185</v>
      </c>
      <c r="G383" s="12">
        <v>45047</v>
      </c>
      <c r="H383" s="10" t="str">
        <f>IFERROR(VLOOKUP(Таблицаx_2[[#This Row],[id]],prolongations!A:C,2,)," ")</f>
        <v>май 2023</v>
      </c>
      <c r="I383" s="10">
        <f>IF(Таблицаx_2[[#This Row],[Месяц окончания]]=Таблицаx_2[[#This Row],[Месяц]],Таблицаx_2[[#This Row],[Значения числа]],0)</f>
        <v>0</v>
      </c>
      <c r="J383" s="8">
        <f>IF(AND(Таблицаx_2[[#This Row],[Месяц окончания]]=Таблицаx_2[[#This Row],[Месяц]],Таблицаx_2[[#This Row],[id]]=A384,EDATE(Таблицаx_2[[#This Row],[Месяц]],1)=D384),F384,0)</f>
        <v>0</v>
      </c>
      <c r="K383" s="8">
        <f>IF(AND(Таблицаx_2[[#This Row],[Месяц окончания]]=Таблицаx_2[[#This Row],[Месяц]],Таблицаx_2[[#This Row],[id]]=A384,EDATE(Таблицаx_2[[#This Row],[Месяц]],2)=D384),F384,0)</f>
        <v>0</v>
      </c>
    </row>
    <row r="384" spans="1:11" ht="12.75" hidden="1" customHeight="1" x14ac:dyDescent="0.2">
      <c r="A384" s="8">
        <v>294</v>
      </c>
      <c r="B384" s="8" t="s">
        <v>52</v>
      </c>
      <c r="C384" s="8" t="s">
        <v>10</v>
      </c>
      <c r="D384" s="12">
        <v>45261</v>
      </c>
      <c r="E384" s="8">
        <v>78950</v>
      </c>
      <c r="F384" s="10">
        <f>IF(ISTEXT(Таблицаx_2[[#This Row],[Значение]]), 0, Таблицаx_2[[#This Row],[Значение]])</f>
        <v>78950</v>
      </c>
      <c r="G384" s="12">
        <v>45047</v>
      </c>
      <c r="H384" s="10" t="str">
        <f>IFERROR(VLOOKUP(Таблицаx_2[[#This Row],[id]],prolongations!A:C,2,)," ")</f>
        <v>май 2023</v>
      </c>
      <c r="I384" s="10">
        <f>IF(Таблицаx_2[[#This Row],[Месяц окончания]]=Таблицаx_2[[#This Row],[Месяц]],Таблицаx_2[[#This Row],[Значения числа]],0)</f>
        <v>0</v>
      </c>
      <c r="J384" s="8">
        <f>IF(AND(Таблицаx_2[[#This Row],[Месяц окончания]]=Таблицаx_2[[#This Row],[Месяц]],Таблицаx_2[[#This Row],[id]]=A385,EDATE(Таблицаx_2[[#This Row],[Месяц]],1)=D385),F385,0)</f>
        <v>0</v>
      </c>
      <c r="K384" s="8">
        <f>IF(AND(Таблицаx_2[[#This Row],[Месяц окончания]]=Таблицаx_2[[#This Row],[Месяц]],Таблицаx_2[[#This Row],[id]]=A385,EDATE(Таблицаx_2[[#This Row],[Месяц]],2)=D385),F385,0)</f>
        <v>0</v>
      </c>
    </row>
    <row r="385" spans="1:11" ht="12.75" hidden="1" customHeight="1" x14ac:dyDescent="0.2">
      <c r="A385" s="8">
        <v>294</v>
      </c>
      <c r="B385" s="8" t="s">
        <v>52</v>
      </c>
      <c r="C385" s="8" t="s">
        <v>10</v>
      </c>
      <c r="D385" s="12">
        <v>45292</v>
      </c>
      <c r="E385" s="8">
        <v>81060</v>
      </c>
      <c r="F385" s="10">
        <f>IF(ISTEXT(Таблицаx_2[[#This Row],[Значение]]), 0, Таблицаx_2[[#This Row],[Значение]])</f>
        <v>81060</v>
      </c>
      <c r="G385" s="12">
        <v>45047</v>
      </c>
      <c r="H385" s="10" t="str">
        <f>IFERROR(VLOOKUP(Таблицаx_2[[#This Row],[id]],prolongations!A:C,2,)," ")</f>
        <v>май 2023</v>
      </c>
      <c r="I385" s="10">
        <f>IF(Таблицаx_2[[#This Row],[Месяц окончания]]=Таблицаx_2[[#This Row],[Месяц]],Таблицаx_2[[#This Row],[Значения числа]],0)</f>
        <v>0</v>
      </c>
      <c r="J385" s="8">
        <f>IF(AND(Таблицаx_2[[#This Row],[Месяц окончания]]=Таблицаx_2[[#This Row],[Месяц]],Таблицаx_2[[#This Row],[id]]=A386,EDATE(Таблицаx_2[[#This Row],[Месяц]],1)=D386),F386,0)</f>
        <v>0</v>
      </c>
      <c r="K385" s="8">
        <f>IF(AND(Таблицаx_2[[#This Row],[Месяц окончания]]=Таблицаx_2[[#This Row],[Месяц]],Таблицаx_2[[#This Row],[id]]=A386,EDATE(Таблицаx_2[[#This Row],[Месяц]],2)=D386),F386,0)</f>
        <v>0</v>
      </c>
    </row>
    <row r="386" spans="1:11" ht="12.75" hidden="1" customHeight="1" x14ac:dyDescent="0.2">
      <c r="A386" s="8">
        <v>294</v>
      </c>
      <c r="B386" s="8" t="s">
        <v>52</v>
      </c>
      <c r="C386" s="8" t="s">
        <v>10</v>
      </c>
      <c r="D386" s="12">
        <v>45323</v>
      </c>
      <c r="E386" s="8">
        <v>81060</v>
      </c>
      <c r="F386" s="10">
        <f>IF(ISTEXT(Таблицаx_2[[#This Row],[Значение]]), 0, Таблицаx_2[[#This Row],[Значение]])</f>
        <v>81060</v>
      </c>
      <c r="G386" s="12">
        <v>45047</v>
      </c>
      <c r="H386" s="10" t="str">
        <f>IFERROR(VLOOKUP(Таблицаx_2[[#This Row],[id]],prolongations!A:C,2,)," ")</f>
        <v>май 2023</v>
      </c>
      <c r="I386" s="10">
        <f>IF(Таблицаx_2[[#This Row],[Месяц окончания]]=Таблицаx_2[[#This Row],[Месяц]],Таблицаx_2[[#This Row],[Значения числа]],0)</f>
        <v>0</v>
      </c>
      <c r="J386" s="8">
        <f>IF(AND(Таблицаx_2[[#This Row],[Месяц окончания]]=Таблицаx_2[[#This Row],[Месяц]],Таблицаx_2[[#This Row],[id]]=A387,EDATE(Таблицаx_2[[#This Row],[Месяц]],1)=D387),F387,0)</f>
        <v>0</v>
      </c>
      <c r="K386" s="8">
        <f>IF(AND(Таблицаx_2[[#This Row],[Месяц окончания]]=Таблицаx_2[[#This Row],[Месяц]],Таблицаx_2[[#This Row],[id]]=A387,EDATE(Таблицаx_2[[#This Row],[Месяц]],2)=D387),F387,0)</f>
        <v>0</v>
      </c>
    </row>
    <row r="387" spans="1:11" ht="12.75" hidden="1" customHeight="1" x14ac:dyDescent="0.2">
      <c r="A387" s="8">
        <v>814</v>
      </c>
      <c r="B387" s="8" t="s">
        <v>45</v>
      </c>
      <c r="C387" s="8" t="s">
        <v>4</v>
      </c>
      <c r="D387" s="12">
        <v>44986</v>
      </c>
      <c r="E387" s="8">
        <v>85697.5</v>
      </c>
      <c r="F387" s="10">
        <f>IF(ISTEXT(Таблицаx_2[[#This Row],[Значение]]), 0, Таблицаx_2[[#This Row],[Значение]])</f>
        <v>85697.5</v>
      </c>
      <c r="G387" s="12">
        <v>45047</v>
      </c>
      <c r="H387" s="10" t="str">
        <f>IFERROR(VLOOKUP(Таблицаx_2[[#This Row],[id]],prolongations!A:C,2,)," ")</f>
        <v>май 2023</v>
      </c>
      <c r="I387" s="10">
        <f>IF(Таблицаx_2[[#This Row],[Месяц окончания]]=Таблицаx_2[[#This Row],[Месяц]],Таблицаx_2[[#This Row],[Значения числа]],0)</f>
        <v>0</v>
      </c>
      <c r="J387" s="8">
        <f>IF(AND(Таблицаx_2[[#This Row],[Месяц окончания]]=Таблицаx_2[[#This Row],[Месяц]],Таблицаx_2[[#This Row],[id]]=A388,EDATE(Таблицаx_2[[#This Row],[Месяц]],1)=D388),F388,0)</f>
        <v>0</v>
      </c>
      <c r="K387" s="8">
        <f>IF(AND(Таблицаx_2[[#This Row],[Месяц окончания]]=Таблицаx_2[[#This Row],[Месяц]],Таблицаx_2[[#This Row],[id]]=A388,EDATE(Таблицаx_2[[#This Row],[Месяц]],2)=D388),F388,0)</f>
        <v>0</v>
      </c>
    </row>
    <row r="388" spans="1:11" ht="12.75" hidden="1" customHeight="1" x14ac:dyDescent="0.2">
      <c r="A388" s="8">
        <v>814</v>
      </c>
      <c r="B388" s="8" t="s">
        <v>45</v>
      </c>
      <c r="C388" s="8" t="s">
        <v>4</v>
      </c>
      <c r="D388" s="12">
        <v>45017</v>
      </c>
      <c r="E388" s="8">
        <v>72542.5</v>
      </c>
      <c r="F388" s="10">
        <f>IF(ISTEXT(Таблицаx_2[[#This Row],[Значение]]), 0, Таблицаx_2[[#This Row],[Значение]])</f>
        <v>72542.5</v>
      </c>
      <c r="G388" s="12">
        <v>45047</v>
      </c>
      <c r="H388" s="10" t="str">
        <f>IFERROR(VLOOKUP(Таблицаx_2[[#This Row],[id]],prolongations!A:C,2,)," ")</f>
        <v>май 2023</v>
      </c>
      <c r="I388" s="10">
        <f>IF(Таблицаx_2[[#This Row],[Месяц окончания]]=Таблицаx_2[[#This Row],[Месяц]],Таблицаx_2[[#This Row],[Значения числа]],0)</f>
        <v>0</v>
      </c>
      <c r="J388" s="8">
        <f>IF(AND(Таблицаx_2[[#This Row],[Месяц окончания]]=Таблицаx_2[[#This Row],[Месяц]],Таблицаx_2[[#This Row],[id]]=A389,EDATE(Таблицаx_2[[#This Row],[Месяц]],1)=D389),F389,0)</f>
        <v>0</v>
      </c>
      <c r="K388" s="8">
        <f>IF(AND(Таблицаx_2[[#This Row],[Месяц окончания]]=Таблицаx_2[[#This Row],[Месяц]],Таблицаx_2[[#This Row],[id]]=A389,EDATE(Таблицаx_2[[#This Row],[Месяц]],2)=D389),F389,0)</f>
        <v>0</v>
      </c>
    </row>
    <row r="389" spans="1:11" ht="12.75" hidden="1" customHeight="1" x14ac:dyDescent="0.2">
      <c r="A389" s="8">
        <v>814</v>
      </c>
      <c r="B389" s="8" t="s">
        <v>45</v>
      </c>
      <c r="C389" s="8" t="s">
        <v>4</v>
      </c>
      <c r="D389" s="12">
        <v>45047</v>
      </c>
      <c r="E389" s="8">
        <v>63660</v>
      </c>
      <c r="F389" s="10">
        <f>IF(ISTEXT(Таблицаx_2[[#This Row],[Значение]]), 0, Таблицаx_2[[#This Row],[Значение]])</f>
        <v>63660</v>
      </c>
      <c r="G389" s="12">
        <v>45047</v>
      </c>
      <c r="H389" s="10" t="str">
        <f>IFERROR(VLOOKUP(Таблицаx_2[[#This Row],[id]],prolongations!A:C,2,)," ")</f>
        <v>май 2023</v>
      </c>
      <c r="I389" s="10">
        <f>IF(Таблицаx_2[[#This Row],[Месяц окончания]]=Таблицаx_2[[#This Row],[Месяц]],Таблицаx_2[[#This Row],[Значения числа]],0)</f>
        <v>63660</v>
      </c>
      <c r="J389" s="8">
        <f>IF(AND(Таблицаx_2[[#This Row],[Месяц окончания]]=Таблицаx_2[[#This Row],[Месяц]],Таблицаx_2[[#This Row],[id]]=A390,EDATE(Таблицаx_2[[#This Row],[Месяц]],1)=D390),F390,0)</f>
        <v>0</v>
      </c>
      <c r="K389" s="8">
        <f>IF(AND(Таблицаx_2[[#This Row],[Месяц окончания]]=Таблицаx_2[[#This Row],[Месяц]],Таблицаx_2[[#This Row],[id]]=A390,EDATE(Таблицаx_2[[#This Row],[Месяц]],2)=D390),F390,0)</f>
        <v>0</v>
      </c>
    </row>
    <row r="390" spans="1:11" ht="12.75" hidden="1" customHeight="1" x14ac:dyDescent="0.2">
      <c r="A390" s="8">
        <v>814</v>
      </c>
      <c r="B390" s="8" t="s">
        <v>47</v>
      </c>
      <c r="C390" s="8" t="s">
        <v>4</v>
      </c>
      <c r="D390" s="12">
        <v>44986</v>
      </c>
      <c r="E390" s="8">
        <v>36707.5</v>
      </c>
      <c r="F390" s="10">
        <f>IF(ISTEXT(Таблицаx_2[[#This Row],[Значение]]), 0, Таблицаx_2[[#This Row],[Значение]])</f>
        <v>36707.5</v>
      </c>
      <c r="G390" s="12">
        <v>45047</v>
      </c>
      <c r="H390" s="10" t="str">
        <f>IFERROR(VLOOKUP(Таблицаx_2[[#This Row],[id]],prolongations!A:C,2,)," ")</f>
        <v>май 2023</v>
      </c>
      <c r="I390" s="10">
        <f>IF(Таблицаx_2[[#This Row],[Месяц окончания]]=Таблицаx_2[[#This Row],[Месяц]],Таблицаx_2[[#This Row],[Значения числа]],0)</f>
        <v>0</v>
      </c>
      <c r="J390" s="8">
        <f>IF(AND(Таблицаx_2[[#This Row],[Месяц окончания]]=Таблицаx_2[[#This Row],[Месяц]],Таблицаx_2[[#This Row],[id]]=A391,EDATE(Таблицаx_2[[#This Row],[Месяц]],1)=D391),F391,0)</f>
        <v>0</v>
      </c>
      <c r="K390" s="8">
        <f>IF(AND(Таблицаx_2[[#This Row],[Месяц окончания]]=Таблицаx_2[[#This Row],[Месяц]],Таблицаx_2[[#This Row],[id]]=A391,EDATE(Таблицаx_2[[#This Row],[Месяц]],2)=D391),F391,0)</f>
        <v>0</v>
      </c>
    </row>
    <row r="391" spans="1:11" ht="12.75" hidden="1" customHeight="1" x14ac:dyDescent="0.2">
      <c r="A391" s="8">
        <v>814</v>
      </c>
      <c r="B391" s="8" t="s">
        <v>47</v>
      </c>
      <c r="C391" s="8" t="s">
        <v>4</v>
      </c>
      <c r="D391" s="12">
        <v>45017</v>
      </c>
      <c r="E391" s="8">
        <v>24267.5</v>
      </c>
      <c r="F391" s="10">
        <f>IF(ISTEXT(Таблицаx_2[[#This Row],[Значение]]), 0, Таблицаx_2[[#This Row],[Значение]])</f>
        <v>24267.5</v>
      </c>
      <c r="G391" s="12">
        <v>45047</v>
      </c>
      <c r="H391" s="10" t="str">
        <f>IFERROR(VLOOKUP(Таблицаx_2[[#This Row],[id]],prolongations!A:C,2,)," ")</f>
        <v>май 2023</v>
      </c>
      <c r="I391" s="10">
        <f>IF(Таблицаx_2[[#This Row],[Месяц окончания]]=Таблицаx_2[[#This Row],[Месяц]],Таблицаx_2[[#This Row],[Значения числа]],0)</f>
        <v>0</v>
      </c>
      <c r="J391" s="8">
        <f>IF(AND(Таблицаx_2[[#This Row],[Месяц окончания]]=Таблицаx_2[[#This Row],[Месяц]],Таблицаx_2[[#This Row],[id]]=A392,EDATE(Таблицаx_2[[#This Row],[Месяц]],1)=D392),F392,0)</f>
        <v>0</v>
      </c>
      <c r="K391" s="8">
        <f>IF(AND(Таблицаx_2[[#This Row],[Месяц окончания]]=Таблицаx_2[[#This Row],[Месяц]],Таблицаx_2[[#This Row],[id]]=A392,EDATE(Таблицаx_2[[#This Row],[Месяц]],2)=D392),F392,0)</f>
        <v>0</v>
      </c>
    </row>
    <row r="392" spans="1:11" ht="12.75" hidden="1" customHeight="1" x14ac:dyDescent="0.2">
      <c r="A392" s="8">
        <v>814</v>
      </c>
      <c r="B392" s="8" t="s">
        <v>47</v>
      </c>
      <c r="C392" s="8" t="s">
        <v>4</v>
      </c>
      <c r="D392" s="12">
        <v>45047</v>
      </c>
      <c r="E392" s="8">
        <v>32255</v>
      </c>
      <c r="F392" s="10">
        <f>IF(ISTEXT(Таблицаx_2[[#This Row],[Значение]]), 0, Таблицаx_2[[#This Row],[Значение]])</f>
        <v>32255</v>
      </c>
      <c r="G392" s="12">
        <v>45047</v>
      </c>
      <c r="H392" s="10" t="str">
        <f>IFERROR(VLOOKUP(Таблицаx_2[[#This Row],[id]],prolongations!A:C,2,)," ")</f>
        <v>май 2023</v>
      </c>
      <c r="I392" s="10">
        <f>IF(Таблицаx_2[[#This Row],[Месяц окончания]]=Таблицаx_2[[#This Row],[Месяц]],Таблицаx_2[[#This Row],[Значения числа]],0)</f>
        <v>32255</v>
      </c>
      <c r="J392" s="8">
        <f>IF(AND(Таблицаx_2[[#This Row],[Месяц окончания]]=Таблицаx_2[[#This Row],[Месяц]],Таблицаx_2[[#This Row],[id]]=A393,EDATE(Таблицаx_2[[#This Row],[Месяц]],1)=D393),F393,0)</f>
        <v>0</v>
      </c>
      <c r="K392" s="8">
        <f>IF(AND(Таблицаx_2[[#This Row],[Месяц окончания]]=Таблицаx_2[[#This Row],[Месяц]],Таблицаx_2[[#This Row],[id]]=A393,EDATE(Таблицаx_2[[#This Row],[Месяц]],2)=D393),F393,0)</f>
        <v>0</v>
      </c>
    </row>
    <row r="393" spans="1:11" ht="12.75" hidden="1" customHeight="1" x14ac:dyDescent="0.2">
      <c r="A393" s="8">
        <v>814</v>
      </c>
      <c r="B393" s="8" t="s">
        <v>50</v>
      </c>
      <c r="C393" s="8" t="s">
        <v>4</v>
      </c>
      <c r="D393" s="12">
        <v>44986</v>
      </c>
      <c r="E393" s="8">
        <v>53288.07</v>
      </c>
      <c r="F393" s="10">
        <f>IF(ISTEXT(Таблицаx_2[[#This Row],[Значение]]), 0, Таблицаx_2[[#This Row],[Значение]])</f>
        <v>53288.07</v>
      </c>
      <c r="G393" s="12">
        <v>45047</v>
      </c>
      <c r="H393" s="10" t="str">
        <f>IFERROR(VLOOKUP(Таблицаx_2[[#This Row],[id]],prolongations!A:C,2,)," ")</f>
        <v>май 2023</v>
      </c>
      <c r="I393" s="10">
        <f>IF(Таблицаx_2[[#This Row],[Месяц окончания]]=Таблицаx_2[[#This Row],[Месяц]],Таблицаx_2[[#This Row],[Значения числа]],0)</f>
        <v>0</v>
      </c>
      <c r="J393" s="8">
        <f>IF(AND(Таблицаx_2[[#This Row],[Месяц окончания]]=Таблицаx_2[[#This Row],[Месяц]],Таблицаx_2[[#This Row],[id]]=A394,EDATE(Таблицаx_2[[#This Row],[Месяц]],1)=D394),F394,0)</f>
        <v>0</v>
      </c>
      <c r="K393" s="8">
        <f>IF(AND(Таблицаx_2[[#This Row],[Месяц окончания]]=Таблицаx_2[[#This Row],[Месяц]],Таблицаx_2[[#This Row],[id]]=A394,EDATE(Таблицаx_2[[#This Row],[Месяц]],2)=D394),F394,0)</f>
        <v>0</v>
      </c>
    </row>
    <row r="394" spans="1:11" ht="12.75" hidden="1" customHeight="1" x14ac:dyDescent="0.2">
      <c r="A394" s="8">
        <v>814</v>
      </c>
      <c r="B394" s="8" t="s">
        <v>50</v>
      </c>
      <c r="C394" s="8" t="s">
        <v>4</v>
      </c>
      <c r="D394" s="12">
        <v>45017</v>
      </c>
      <c r="E394" s="8">
        <v>45603</v>
      </c>
      <c r="F394" s="10">
        <f>IF(ISTEXT(Таблицаx_2[[#This Row],[Значение]]), 0, Таблицаx_2[[#This Row],[Значение]])</f>
        <v>45603</v>
      </c>
      <c r="G394" s="12">
        <v>45047</v>
      </c>
      <c r="H394" s="10" t="str">
        <f>IFERROR(VLOOKUP(Таблицаx_2[[#This Row],[id]],prolongations!A:C,2,)," ")</f>
        <v>май 2023</v>
      </c>
      <c r="I394" s="10">
        <f>IF(Таблицаx_2[[#This Row],[Месяц окончания]]=Таблицаx_2[[#This Row],[Месяц]],Таблицаx_2[[#This Row],[Значения числа]],0)</f>
        <v>0</v>
      </c>
      <c r="J394" s="8">
        <f>IF(AND(Таблицаx_2[[#This Row],[Месяц окончания]]=Таблицаx_2[[#This Row],[Месяц]],Таблицаx_2[[#This Row],[id]]=A395,EDATE(Таблицаx_2[[#This Row],[Месяц]],1)=D395),F395,0)</f>
        <v>0</v>
      </c>
      <c r="K394" s="8">
        <f>IF(AND(Таблицаx_2[[#This Row],[Месяц окончания]]=Таблицаx_2[[#This Row],[Месяц]],Таблицаx_2[[#This Row],[id]]=A395,EDATE(Таблицаx_2[[#This Row],[Месяц]],2)=D395),F395,0)</f>
        <v>0</v>
      </c>
    </row>
    <row r="395" spans="1:11" ht="12.75" hidden="1" customHeight="1" x14ac:dyDescent="0.2">
      <c r="A395" s="8">
        <v>814</v>
      </c>
      <c r="B395" s="8" t="s">
        <v>50</v>
      </c>
      <c r="C395" s="8" t="s">
        <v>4</v>
      </c>
      <c r="D395" s="12">
        <v>45047</v>
      </c>
      <c r="E395" s="8">
        <v>36771</v>
      </c>
      <c r="F395" s="10">
        <f>IF(ISTEXT(Таблицаx_2[[#This Row],[Значение]]), 0, Таблицаx_2[[#This Row],[Значение]])</f>
        <v>36771</v>
      </c>
      <c r="G395" s="12">
        <v>45047</v>
      </c>
      <c r="H395" s="10" t="str">
        <f>IFERROR(VLOOKUP(Таблицаx_2[[#This Row],[id]],prolongations!A:C,2,)," ")</f>
        <v>май 2023</v>
      </c>
      <c r="I395" s="10">
        <f>IF(Таблицаx_2[[#This Row],[Месяц окончания]]=Таблицаx_2[[#This Row],[Месяц]],Таблицаx_2[[#This Row],[Значения числа]],0)</f>
        <v>36771</v>
      </c>
      <c r="J395" s="8">
        <f>IF(AND(Таблицаx_2[[#This Row],[Месяц окончания]]=Таблицаx_2[[#This Row],[Месяц]],Таблицаx_2[[#This Row],[id]]=A396,EDATE(Таблицаx_2[[#This Row],[Месяц]],1)=D396),F396,0)</f>
        <v>0</v>
      </c>
      <c r="K395" s="8">
        <f>IF(AND(Таблицаx_2[[#This Row],[Месяц окончания]]=Таблицаx_2[[#This Row],[Месяц]],Таблицаx_2[[#This Row],[id]]=A396,EDATE(Таблицаx_2[[#This Row],[Месяц]],2)=D396),F396,0)</f>
        <v>0</v>
      </c>
    </row>
    <row r="396" spans="1:11" ht="12.75" hidden="1" customHeight="1" x14ac:dyDescent="0.2">
      <c r="A396" s="8">
        <v>796</v>
      </c>
      <c r="B396" s="8"/>
      <c r="C396" s="8" t="s">
        <v>8</v>
      </c>
      <c r="D396" s="12">
        <v>44986</v>
      </c>
      <c r="E396" s="8">
        <v>43610</v>
      </c>
      <c r="F396" s="10">
        <f>IF(ISTEXT(Таблицаx_2[[#This Row],[Значение]]), 0, Таблицаx_2[[#This Row],[Значение]])</f>
        <v>43610</v>
      </c>
      <c r="G396" s="12">
        <v>45047</v>
      </c>
      <c r="H396" s="10" t="str">
        <f>IFERROR(VLOOKUP(Таблицаx_2[[#This Row],[id]],prolongations!A:C,2,)," ")</f>
        <v>май 2023</v>
      </c>
      <c r="I396" s="10">
        <f>IF(Таблицаx_2[[#This Row],[Месяц окончания]]=Таблицаx_2[[#This Row],[Месяц]],Таблицаx_2[[#This Row],[Значения числа]],0)</f>
        <v>0</v>
      </c>
      <c r="J396" s="8">
        <f>IF(AND(Таблицаx_2[[#This Row],[Месяц окончания]]=Таблицаx_2[[#This Row],[Месяц]],Таблицаx_2[[#This Row],[id]]=A397,EDATE(Таблицаx_2[[#This Row],[Месяц]],1)=D397),F397,0)</f>
        <v>0</v>
      </c>
      <c r="K396" s="8">
        <f>IF(AND(Таблицаx_2[[#This Row],[Месяц окончания]]=Таблицаx_2[[#This Row],[Месяц]],Таблицаx_2[[#This Row],[id]]=A397,EDATE(Таблицаx_2[[#This Row],[Месяц]],2)=D397),F397,0)</f>
        <v>0</v>
      </c>
    </row>
    <row r="397" spans="1:11" ht="12.75" hidden="1" customHeight="1" x14ac:dyDescent="0.2">
      <c r="A397" s="8">
        <v>796</v>
      </c>
      <c r="B397" s="8"/>
      <c r="C397" s="8" t="s">
        <v>8</v>
      </c>
      <c r="D397" s="12">
        <v>45017</v>
      </c>
      <c r="E397" s="8">
        <v>39810</v>
      </c>
      <c r="F397" s="10">
        <f>IF(ISTEXT(Таблицаx_2[[#This Row],[Значение]]), 0, Таблицаx_2[[#This Row],[Значение]])</f>
        <v>39810</v>
      </c>
      <c r="G397" s="12">
        <v>45047</v>
      </c>
      <c r="H397" s="10" t="str">
        <f>IFERROR(VLOOKUP(Таблицаx_2[[#This Row],[id]],prolongations!A:C,2,)," ")</f>
        <v>май 2023</v>
      </c>
      <c r="I397" s="10">
        <f>IF(Таблицаx_2[[#This Row],[Месяц окончания]]=Таблицаx_2[[#This Row],[Месяц]],Таблицаx_2[[#This Row],[Значения числа]],0)</f>
        <v>0</v>
      </c>
      <c r="J397" s="8">
        <f>IF(AND(Таблицаx_2[[#This Row],[Месяц окончания]]=Таблицаx_2[[#This Row],[Месяц]],Таблицаx_2[[#This Row],[id]]=A398,EDATE(Таблицаx_2[[#This Row],[Месяц]],1)=D398),F398,0)</f>
        <v>0</v>
      </c>
      <c r="K397" s="8">
        <f>IF(AND(Таблицаx_2[[#This Row],[Месяц окончания]]=Таблицаx_2[[#This Row],[Месяц]],Таблицаx_2[[#This Row],[id]]=A398,EDATE(Таблицаx_2[[#This Row],[Месяц]],2)=D398),F398,0)</f>
        <v>0</v>
      </c>
    </row>
    <row r="398" spans="1:11" ht="12.75" hidden="1" customHeight="1" x14ac:dyDescent="0.2">
      <c r="A398" s="8">
        <v>796</v>
      </c>
      <c r="B398" s="8"/>
      <c r="C398" s="8" t="s">
        <v>8</v>
      </c>
      <c r="D398" s="12">
        <v>45047</v>
      </c>
      <c r="E398" s="8">
        <v>39810</v>
      </c>
      <c r="F398" s="10">
        <f>IF(ISTEXT(Таблицаx_2[[#This Row],[Значение]]), 0, Таблицаx_2[[#This Row],[Значение]])</f>
        <v>39810</v>
      </c>
      <c r="G398" s="12">
        <v>45047</v>
      </c>
      <c r="H398" s="10" t="str">
        <f>IFERROR(VLOOKUP(Таблицаx_2[[#This Row],[id]],prolongations!A:C,2,)," ")</f>
        <v>май 2023</v>
      </c>
      <c r="I398" s="10">
        <f>IF(Таблицаx_2[[#This Row],[Месяц окончания]]=Таблицаx_2[[#This Row],[Месяц]],Таблицаx_2[[#This Row],[Значения числа]],0)</f>
        <v>39810</v>
      </c>
      <c r="J398" s="8">
        <f>IF(AND(Таблицаx_2[[#This Row],[Месяц окончания]]=Таблицаx_2[[#This Row],[Месяц]],Таблицаx_2[[#This Row],[id]]=A399,EDATE(Таблицаx_2[[#This Row],[Месяц]],1)=D399),F399,0)</f>
        <v>0</v>
      </c>
      <c r="K398" s="8">
        <f>IF(AND(Таблицаx_2[[#This Row],[Месяц окончания]]=Таблицаx_2[[#This Row],[Месяц]],Таблицаx_2[[#This Row],[id]]=A399,EDATE(Таблицаx_2[[#This Row],[Месяц]],2)=D399),F399,0)</f>
        <v>0</v>
      </c>
    </row>
    <row r="399" spans="1:11" ht="12.75" hidden="1" customHeight="1" x14ac:dyDescent="0.2">
      <c r="A399" s="8">
        <v>563</v>
      </c>
      <c r="B399" s="8"/>
      <c r="C399" s="8" t="s">
        <v>7</v>
      </c>
      <c r="D399" s="12">
        <v>44896</v>
      </c>
      <c r="E399" s="8">
        <v>62930</v>
      </c>
      <c r="F399" s="10">
        <f>IF(ISTEXT(Таблицаx_2[[#This Row],[Значение]]), 0, Таблицаx_2[[#This Row],[Значение]])</f>
        <v>62930</v>
      </c>
      <c r="G399" s="12">
        <v>45047</v>
      </c>
      <c r="H399" s="10" t="str">
        <f>IFERROR(VLOOKUP(Таблицаx_2[[#This Row],[id]],prolongations!A:C,2,)," ")</f>
        <v>май 2023</v>
      </c>
      <c r="I399" s="10">
        <f>IF(Таблицаx_2[[#This Row],[Месяц окончания]]=Таблицаx_2[[#This Row],[Месяц]],Таблицаx_2[[#This Row],[Значения числа]],0)</f>
        <v>0</v>
      </c>
      <c r="J399" s="8">
        <f>IF(AND(Таблицаx_2[[#This Row],[Месяц окончания]]=Таблицаx_2[[#This Row],[Месяц]],Таблицаx_2[[#This Row],[id]]=A400,EDATE(Таблицаx_2[[#This Row],[Месяц]],1)=D400),F400,0)</f>
        <v>0</v>
      </c>
      <c r="K399" s="8">
        <f>IF(AND(Таблицаx_2[[#This Row],[Месяц окончания]]=Таблицаx_2[[#This Row],[Месяц]],Таблицаx_2[[#This Row],[id]]=A400,EDATE(Таблицаx_2[[#This Row],[Месяц]],2)=D400),F400,0)</f>
        <v>0</v>
      </c>
    </row>
    <row r="400" spans="1:11" ht="12.75" hidden="1" customHeight="1" x14ac:dyDescent="0.2">
      <c r="A400" s="8">
        <v>563</v>
      </c>
      <c r="B400" s="8"/>
      <c r="C400" s="8" t="s">
        <v>7</v>
      </c>
      <c r="D400" s="12">
        <v>45047</v>
      </c>
      <c r="E400" s="8">
        <v>65050</v>
      </c>
      <c r="F400" s="10">
        <f>IF(ISTEXT(Таблицаx_2[[#This Row],[Значение]]), 0, Таблицаx_2[[#This Row],[Значение]])</f>
        <v>65050</v>
      </c>
      <c r="G400" s="12">
        <v>45047</v>
      </c>
      <c r="H400" s="10" t="str">
        <f>IFERROR(VLOOKUP(Таблицаx_2[[#This Row],[id]],prolongations!A:C,2,)," ")</f>
        <v>май 2023</v>
      </c>
      <c r="I400" s="10">
        <f>IF(Таблицаx_2[[#This Row],[Месяц окончания]]=Таблицаx_2[[#This Row],[Месяц]],Таблицаx_2[[#This Row],[Значения числа]],0)</f>
        <v>65050</v>
      </c>
      <c r="J400" s="8">
        <f>IF(AND(Таблицаx_2[[#This Row],[Месяц окончания]]=Таблицаx_2[[#This Row],[Месяц]],Таблицаx_2[[#This Row],[id]]=A401,EDATE(Таблицаx_2[[#This Row],[Месяц]],1)=D401),F401,0)</f>
        <v>0</v>
      </c>
      <c r="K400" s="8">
        <f>IF(AND(Таблицаx_2[[#This Row],[Месяц окончания]]=Таблицаx_2[[#This Row],[Месяц]],Таблицаx_2[[#This Row],[id]]=A401,EDATE(Таблицаx_2[[#This Row],[Месяц]],2)=D401),F401,0)</f>
        <v>0</v>
      </c>
    </row>
    <row r="401" spans="1:11" ht="12.75" hidden="1" customHeight="1" x14ac:dyDescent="0.2">
      <c r="A401" s="8">
        <v>837</v>
      </c>
      <c r="B401" s="8" t="s">
        <v>52</v>
      </c>
      <c r="C401" s="8" t="s">
        <v>4</v>
      </c>
      <c r="D401" s="12">
        <v>45017</v>
      </c>
      <c r="E401" s="8">
        <v>83500</v>
      </c>
      <c r="F401" s="10">
        <f>IF(ISTEXT(Таблицаx_2[[#This Row],[Значение]]), 0, Таблицаx_2[[#This Row],[Значение]])</f>
        <v>83500</v>
      </c>
      <c r="G401" s="12">
        <v>45047</v>
      </c>
      <c r="H401" s="10" t="str">
        <f>IFERROR(VLOOKUP(Таблицаx_2[[#This Row],[id]],prolongations!A:C,2,)," ")</f>
        <v>май 2023</v>
      </c>
      <c r="I401" s="10">
        <f>IF(Таблицаx_2[[#This Row],[Месяц окончания]]=Таблицаx_2[[#This Row],[Месяц]],Таблицаx_2[[#This Row],[Значения числа]],0)</f>
        <v>0</v>
      </c>
      <c r="J401" s="8">
        <f>IF(AND(Таблицаx_2[[#This Row],[Месяц окончания]]=Таблицаx_2[[#This Row],[Месяц]],Таблицаx_2[[#This Row],[id]]=A402,EDATE(Таблицаx_2[[#This Row],[Месяц]],1)=D402),F402,0)</f>
        <v>0</v>
      </c>
      <c r="K401" s="8">
        <f>IF(AND(Таблицаx_2[[#This Row],[Месяц окончания]]=Таблицаx_2[[#This Row],[Месяц]],Таблицаx_2[[#This Row],[id]]=A402,EDATE(Таблицаx_2[[#This Row],[Месяц]],2)=D402),F402,0)</f>
        <v>0</v>
      </c>
    </row>
    <row r="402" spans="1:11" ht="12.75" hidden="1" customHeight="1" x14ac:dyDescent="0.2">
      <c r="A402" s="8">
        <v>837</v>
      </c>
      <c r="B402" s="8" t="s">
        <v>52</v>
      </c>
      <c r="C402" s="8" t="s">
        <v>4</v>
      </c>
      <c r="D402" s="12">
        <v>45047</v>
      </c>
      <c r="E402" s="8">
        <v>80000</v>
      </c>
      <c r="F402" s="10">
        <f>IF(ISTEXT(Таблицаx_2[[#This Row],[Значение]]), 0, Таблицаx_2[[#This Row],[Значение]])</f>
        <v>80000</v>
      </c>
      <c r="G402" s="12">
        <v>45047</v>
      </c>
      <c r="H402" s="10" t="str">
        <f>IFERROR(VLOOKUP(Таблицаx_2[[#This Row],[id]],prolongations!A:C,2,)," ")</f>
        <v>май 2023</v>
      </c>
      <c r="I402" s="10">
        <f>IF(Таблицаx_2[[#This Row],[Месяц окончания]]=Таблицаx_2[[#This Row],[Месяц]],Таблицаx_2[[#This Row],[Значения числа]],0)</f>
        <v>80000</v>
      </c>
      <c r="J402" s="8">
        <f>IF(AND(Таблицаx_2[[#This Row],[Месяц окончания]]=Таблицаx_2[[#This Row],[Месяц]],Таблицаx_2[[#This Row],[id]]=A403,EDATE(Таблицаx_2[[#This Row],[Месяц]],1)=D403),F403,0)</f>
        <v>0</v>
      </c>
      <c r="K402" s="8">
        <f>IF(AND(Таблицаx_2[[#This Row],[Месяц окончания]]=Таблицаx_2[[#This Row],[Месяц]],Таблицаx_2[[#This Row],[id]]=A403,EDATE(Таблицаx_2[[#This Row],[Месяц]],2)=D403),F403,0)</f>
        <v>0</v>
      </c>
    </row>
    <row r="403" spans="1:11" ht="12.75" hidden="1" customHeight="1" x14ac:dyDescent="0.2">
      <c r="A403" s="8">
        <v>837</v>
      </c>
      <c r="B403" s="8" t="s">
        <v>50</v>
      </c>
      <c r="C403" s="8" t="s">
        <v>4</v>
      </c>
      <c r="D403" s="12">
        <v>45017</v>
      </c>
      <c r="E403" s="8">
        <v>9150</v>
      </c>
      <c r="F403" s="10">
        <f>IF(ISTEXT(Таблицаx_2[[#This Row],[Значение]]), 0, Таблицаx_2[[#This Row],[Значение]])</f>
        <v>9150</v>
      </c>
      <c r="G403" s="12">
        <v>45047</v>
      </c>
      <c r="H403" s="10" t="str">
        <f>IFERROR(VLOOKUP(Таблицаx_2[[#This Row],[id]],prolongations!A:C,2,)," ")</f>
        <v>май 2023</v>
      </c>
      <c r="I403" s="10">
        <f>IF(Таблицаx_2[[#This Row],[Месяц окончания]]=Таблицаx_2[[#This Row],[Месяц]],Таблицаx_2[[#This Row],[Значения числа]],0)</f>
        <v>0</v>
      </c>
      <c r="J403" s="8">
        <f>IF(AND(Таблицаx_2[[#This Row],[Месяц окончания]]=Таблицаx_2[[#This Row],[Месяц]],Таблицаx_2[[#This Row],[id]]=A404,EDATE(Таблицаx_2[[#This Row],[Месяц]],1)=D404),F404,0)</f>
        <v>0</v>
      </c>
      <c r="K403" s="8">
        <f>IF(AND(Таблицаx_2[[#This Row],[Месяц окончания]]=Таблицаx_2[[#This Row],[Месяц]],Таблицаx_2[[#This Row],[id]]=A404,EDATE(Таблицаx_2[[#This Row],[Месяц]],2)=D404),F404,0)</f>
        <v>0</v>
      </c>
    </row>
    <row r="404" spans="1:11" ht="12.75" hidden="1" customHeight="1" x14ac:dyDescent="0.2">
      <c r="A404" s="8">
        <v>837</v>
      </c>
      <c r="B404" s="8" t="s">
        <v>50</v>
      </c>
      <c r="C404" s="8" t="s">
        <v>4</v>
      </c>
      <c r="D404" s="12">
        <v>45047</v>
      </c>
      <c r="E404" s="8">
        <v>18000</v>
      </c>
      <c r="F404" s="10">
        <f>IF(ISTEXT(Таблицаx_2[[#This Row],[Значение]]), 0, Таблицаx_2[[#This Row],[Значение]])</f>
        <v>18000</v>
      </c>
      <c r="G404" s="12">
        <v>45047</v>
      </c>
      <c r="H404" s="10" t="str">
        <f>IFERROR(VLOOKUP(Таблицаx_2[[#This Row],[id]],prolongations!A:C,2,)," ")</f>
        <v>май 2023</v>
      </c>
      <c r="I404" s="10">
        <f>IF(Таблицаx_2[[#This Row],[Месяц окончания]]=Таблицаx_2[[#This Row],[Месяц]],Таблицаx_2[[#This Row],[Значения числа]],0)</f>
        <v>18000</v>
      </c>
      <c r="J404" s="8">
        <f>IF(AND(Таблицаx_2[[#This Row],[Месяц окончания]]=Таблицаx_2[[#This Row],[Месяц]],Таблицаx_2[[#This Row],[id]]=A405,EDATE(Таблицаx_2[[#This Row],[Месяц]],1)=D405),F405,0)</f>
        <v>0</v>
      </c>
      <c r="K404" s="8">
        <f>IF(AND(Таблицаx_2[[#This Row],[Месяц окончания]]=Таблицаx_2[[#This Row],[Месяц]],Таблицаx_2[[#This Row],[id]]=A405,EDATE(Таблицаx_2[[#This Row],[Месяц]],2)=D405),F405,0)</f>
        <v>0</v>
      </c>
    </row>
    <row r="405" spans="1:11" ht="12.75" hidden="1" customHeight="1" x14ac:dyDescent="0.2">
      <c r="A405" s="8">
        <v>775</v>
      </c>
      <c r="B405" s="8" t="s">
        <v>45</v>
      </c>
      <c r="C405" s="8" t="s">
        <v>7</v>
      </c>
      <c r="D405" s="12">
        <v>44927</v>
      </c>
      <c r="E405" s="8">
        <v>64070</v>
      </c>
      <c r="F405" s="10">
        <f>IF(ISTEXT(Таблицаx_2[[#This Row],[Значение]]), 0, Таблицаx_2[[#This Row],[Значение]])</f>
        <v>64070</v>
      </c>
      <c r="G405" s="12">
        <v>45047</v>
      </c>
      <c r="H405" s="10" t="str">
        <f>IFERROR(VLOOKUP(Таблицаx_2[[#This Row],[id]],prolongations!A:C,2,)," ")</f>
        <v>май 2023</v>
      </c>
      <c r="I405" s="10">
        <f>IF(Таблицаx_2[[#This Row],[Месяц окончания]]=Таблицаx_2[[#This Row],[Месяц]],Таблицаx_2[[#This Row],[Значения числа]],0)</f>
        <v>0</v>
      </c>
      <c r="J405" s="8">
        <f>IF(AND(Таблицаx_2[[#This Row],[Месяц окончания]]=Таблицаx_2[[#This Row],[Месяц]],Таблицаx_2[[#This Row],[id]]=A406,EDATE(Таблицаx_2[[#This Row],[Месяц]],1)=D406),F406,0)</f>
        <v>0</v>
      </c>
      <c r="K405" s="8">
        <f>IF(AND(Таблицаx_2[[#This Row],[Месяц окончания]]=Таблицаx_2[[#This Row],[Месяц]],Таблицаx_2[[#This Row],[id]]=A406,EDATE(Таблицаx_2[[#This Row],[Месяц]],2)=D406),F406,0)</f>
        <v>0</v>
      </c>
    </row>
    <row r="406" spans="1:11" ht="12.75" hidden="1" customHeight="1" x14ac:dyDescent="0.2">
      <c r="A406" s="8">
        <v>775</v>
      </c>
      <c r="B406" s="8" t="s">
        <v>45</v>
      </c>
      <c r="C406" s="8" t="s">
        <v>7</v>
      </c>
      <c r="D406" s="12">
        <v>44958</v>
      </c>
      <c r="E406" s="8">
        <v>88905</v>
      </c>
      <c r="F406" s="10">
        <f>IF(ISTEXT(Таблицаx_2[[#This Row],[Значение]]), 0, Таблицаx_2[[#This Row],[Значение]])</f>
        <v>88905</v>
      </c>
      <c r="G406" s="12">
        <v>45047</v>
      </c>
      <c r="H406" s="10" t="str">
        <f>IFERROR(VLOOKUP(Таблицаx_2[[#This Row],[id]],prolongations!A:C,2,)," ")</f>
        <v>май 2023</v>
      </c>
      <c r="I406" s="10">
        <f>IF(Таблицаx_2[[#This Row],[Месяц окончания]]=Таблицаx_2[[#This Row],[Месяц]],Таблицаx_2[[#This Row],[Значения числа]],0)</f>
        <v>0</v>
      </c>
      <c r="J406" s="8">
        <f>IF(AND(Таблицаx_2[[#This Row],[Месяц окончания]]=Таблицаx_2[[#This Row],[Месяц]],Таблицаx_2[[#This Row],[id]]=A407,EDATE(Таблицаx_2[[#This Row],[Месяц]],1)=D407),F407,0)</f>
        <v>0</v>
      </c>
      <c r="K406" s="8">
        <f>IF(AND(Таблицаx_2[[#This Row],[Месяц окончания]]=Таблицаx_2[[#This Row],[Месяц]],Таблицаx_2[[#This Row],[id]]=A407,EDATE(Таблицаx_2[[#This Row],[Месяц]],2)=D407),F407,0)</f>
        <v>0</v>
      </c>
    </row>
    <row r="407" spans="1:11" ht="12.75" hidden="1" customHeight="1" x14ac:dyDescent="0.2">
      <c r="A407" s="8">
        <v>775</v>
      </c>
      <c r="B407" s="8" t="s">
        <v>45</v>
      </c>
      <c r="C407" s="8" t="s">
        <v>7</v>
      </c>
      <c r="D407" s="12">
        <v>44986</v>
      </c>
      <c r="E407" s="8">
        <v>78475</v>
      </c>
      <c r="F407" s="10">
        <f>IF(ISTEXT(Таблицаx_2[[#This Row],[Значение]]), 0, Таблицаx_2[[#This Row],[Значение]])</f>
        <v>78475</v>
      </c>
      <c r="G407" s="12">
        <v>45047</v>
      </c>
      <c r="H407" s="10" t="str">
        <f>IFERROR(VLOOKUP(Таблицаx_2[[#This Row],[id]],prolongations!A:C,2,)," ")</f>
        <v>май 2023</v>
      </c>
      <c r="I407" s="10">
        <f>IF(Таблицаx_2[[#This Row],[Месяц окончания]]=Таблицаx_2[[#This Row],[Месяц]],Таблицаx_2[[#This Row],[Значения числа]],0)</f>
        <v>0</v>
      </c>
      <c r="J407" s="8">
        <f>IF(AND(Таблицаx_2[[#This Row],[Месяц окончания]]=Таблицаx_2[[#This Row],[Месяц]],Таблицаx_2[[#This Row],[id]]=A408,EDATE(Таблицаx_2[[#This Row],[Месяц]],1)=D408),F408,0)</f>
        <v>0</v>
      </c>
      <c r="K407" s="8">
        <f>IF(AND(Таблицаx_2[[#This Row],[Месяц окончания]]=Таблицаx_2[[#This Row],[Месяц]],Таблицаx_2[[#This Row],[id]]=A408,EDATE(Таблицаx_2[[#This Row],[Месяц]],2)=D408),F408,0)</f>
        <v>0</v>
      </c>
    </row>
    <row r="408" spans="1:11" ht="12.75" hidden="1" customHeight="1" x14ac:dyDescent="0.2">
      <c r="A408" s="8">
        <v>775</v>
      </c>
      <c r="B408" s="8" t="s">
        <v>45</v>
      </c>
      <c r="C408" s="8" t="s">
        <v>7</v>
      </c>
      <c r="D408" s="12">
        <v>45017</v>
      </c>
      <c r="E408" s="8">
        <v>69345</v>
      </c>
      <c r="F408" s="10">
        <f>IF(ISTEXT(Таблицаx_2[[#This Row],[Значение]]), 0, Таблицаx_2[[#This Row],[Значение]])</f>
        <v>69345</v>
      </c>
      <c r="G408" s="12">
        <v>45047</v>
      </c>
      <c r="H408" s="10" t="str">
        <f>IFERROR(VLOOKUP(Таблицаx_2[[#This Row],[id]],prolongations!A:C,2,)," ")</f>
        <v>май 2023</v>
      </c>
      <c r="I408" s="10">
        <f>IF(Таблицаx_2[[#This Row],[Месяц окончания]]=Таблицаx_2[[#This Row],[Месяц]],Таблицаx_2[[#This Row],[Значения числа]],0)</f>
        <v>0</v>
      </c>
      <c r="J408" s="8">
        <f>IF(AND(Таблицаx_2[[#This Row],[Месяц окончания]]=Таблицаx_2[[#This Row],[Месяц]],Таблицаx_2[[#This Row],[id]]=A409,EDATE(Таблицаx_2[[#This Row],[Месяц]],1)=D409),F409,0)</f>
        <v>0</v>
      </c>
      <c r="K408" s="8">
        <f>IF(AND(Таблицаx_2[[#This Row],[Месяц окончания]]=Таблицаx_2[[#This Row],[Месяц]],Таблицаx_2[[#This Row],[id]]=A409,EDATE(Таблицаx_2[[#This Row],[Месяц]],2)=D409),F409,0)</f>
        <v>0</v>
      </c>
    </row>
    <row r="409" spans="1:11" ht="12.75" hidden="1" customHeight="1" x14ac:dyDescent="0.2">
      <c r="A409" s="8">
        <v>775</v>
      </c>
      <c r="B409" s="8" t="s">
        <v>45</v>
      </c>
      <c r="C409" s="8" t="s">
        <v>7</v>
      </c>
      <c r="D409" s="12">
        <v>45047</v>
      </c>
      <c r="E409" s="8">
        <v>54715</v>
      </c>
      <c r="F409" s="10">
        <f>IF(ISTEXT(Таблицаx_2[[#This Row],[Значение]]), 0, Таблицаx_2[[#This Row],[Значение]])</f>
        <v>54715</v>
      </c>
      <c r="G409" s="12">
        <v>45047</v>
      </c>
      <c r="H409" s="10" t="str">
        <f>IFERROR(VLOOKUP(Таблицаx_2[[#This Row],[id]],prolongations!A:C,2,)," ")</f>
        <v>май 2023</v>
      </c>
      <c r="I409" s="10">
        <f>IF(Таблицаx_2[[#This Row],[Месяц окончания]]=Таблицаx_2[[#This Row],[Месяц]],Таблицаx_2[[#This Row],[Значения числа]],0)</f>
        <v>54715</v>
      </c>
      <c r="J409" s="8">
        <f>IF(AND(Таблицаx_2[[#This Row],[Месяц окончания]]=Таблицаx_2[[#This Row],[Месяц]],Таблицаx_2[[#This Row],[id]]=A410,EDATE(Таблицаx_2[[#This Row],[Месяц]],1)=D410),F410,0)</f>
        <v>0</v>
      </c>
      <c r="K409" s="8">
        <f>IF(AND(Таблицаx_2[[#This Row],[Месяц окончания]]=Таблицаx_2[[#This Row],[Месяц]],Таблицаx_2[[#This Row],[id]]=A410,EDATE(Таблицаx_2[[#This Row],[Месяц]],2)=D410),F410,0)</f>
        <v>0</v>
      </c>
    </row>
    <row r="410" spans="1:11" ht="12.75" hidden="1" customHeight="1" x14ac:dyDescent="0.2">
      <c r="A410" s="8">
        <v>775</v>
      </c>
      <c r="B410" s="8" t="s">
        <v>47</v>
      </c>
      <c r="C410" s="8" t="s">
        <v>7</v>
      </c>
      <c r="D410" s="12">
        <v>45047</v>
      </c>
      <c r="E410" s="8">
        <v>16030</v>
      </c>
      <c r="F410" s="10">
        <f>IF(ISTEXT(Таблицаx_2[[#This Row],[Значение]]), 0, Таблицаx_2[[#This Row],[Значение]])</f>
        <v>16030</v>
      </c>
      <c r="G410" s="12">
        <v>45047</v>
      </c>
      <c r="H410" s="10" t="str">
        <f>IFERROR(VLOOKUP(Таблицаx_2[[#This Row],[id]],prolongations!A:C,2,)," ")</f>
        <v>май 2023</v>
      </c>
      <c r="I410" s="10">
        <f>IF(Таблицаx_2[[#This Row],[Месяц окончания]]=Таблицаx_2[[#This Row],[Месяц]],Таблицаx_2[[#This Row],[Значения числа]],0)</f>
        <v>16030</v>
      </c>
      <c r="J410" s="8">
        <f>IF(AND(Таблицаx_2[[#This Row],[Месяц окончания]]=Таблицаx_2[[#This Row],[Месяц]],Таблицаx_2[[#This Row],[id]]=A411,EDATE(Таблицаx_2[[#This Row],[Месяц]],1)=D411),F411,0)</f>
        <v>0</v>
      </c>
      <c r="K410" s="8">
        <f>IF(AND(Таблицаx_2[[#This Row],[Месяц окончания]]=Таблицаx_2[[#This Row],[Месяц]],Таблицаx_2[[#This Row],[id]]=A411,EDATE(Таблицаx_2[[#This Row],[Месяц]],2)=D411),F411,0)</f>
        <v>0</v>
      </c>
    </row>
    <row r="411" spans="1:11" ht="12.75" hidden="1" customHeight="1" x14ac:dyDescent="0.2">
      <c r="A411" s="8">
        <v>813</v>
      </c>
      <c r="B411" s="8" t="s">
        <v>45</v>
      </c>
      <c r="C411" s="8" t="s">
        <v>7</v>
      </c>
      <c r="D411" s="12">
        <v>44986</v>
      </c>
      <c r="E411" s="8">
        <v>37865</v>
      </c>
      <c r="F411" s="10">
        <f>IF(ISTEXT(Таблицаx_2[[#This Row],[Значение]]), 0, Таблицаx_2[[#This Row],[Значение]])</f>
        <v>37865</v>
      </c>
      <c r="G411" s="12">
        <v>45047</v>
      </c>
      <c r="H411" s="10" t="str">
        <f>IFERROR(VLOOKUP(Таблицаx_2[[#This Row],[id]],prolongations!A:C,2,)," ")</f>
        <v>май 2023</v>
      </c>
      <c r="I411" s="10">
        <f>IF(Таблицаx_2[[#This Row],[Месяц окончания]]=Таблицаx_2[[#This Row],[Месяц]],Таблицаx_2[[#This Row],[Значения числа]],0)</f>
        <v>0</v>
      </c>
      <c r="J411" s="8">
        <f>IF(AND(Таблицаx_2[[#This Row],[Месяц окончания]]=Таблицаx_2[[#This Row],[Месяц]],Таблицаx_2[[#This Row],[id]]=A412,EDATE(Таблицаx_2[[#This Row],[Месяц]],1)=D412),F412,0)</f>
        <v>0</v>
      </c>
      <c r="K411" s="8">
        <f>IF(AND(Таблицаx_2[[#This Row],[Месяц окончания]]=Таблицаx_2[[#This Row],[Месяц]],Таблицаx_2[[#This Row],[id]]=A412,EDATE(Таблицаx_2[[#This Row],[Месяц]],2)=D412),F412,0)</f>
        <v>0</v>
      </c>
    </row>
    <row r="412" spans="1:11" ht="12.75" hidden="1" customHeight="1" x14ac:dyDescent="0.2">
      <c r="A412" s="8">
        <v>813</v>
      </c>
      <c r="B412" s="8" t="s">
        <v>45</v>
      </c>
      <c r="C412" s="8" t="s">
        <v>7</v>
      </c>
      <c r="D412" s="12">
        <v>45017</v>
      </c>
      <c r="E412" s="8">
        <v>23590</v>
      </c>
      <c r="F412" s="10">
        <f>IF(ISTEXT(Таблицаx_2[[#This Row],[Значение]]), 0, Таблицаx_2[[#This Row],[Значение]])</f>
        <v>23590</v>
      </c>
      <c r="G412" s="12">
        <v>45047</v>
      </c>
      <c r="H412" s="10" t="str">
        <f>IFERROR(VLOOKUP(Таблицаx_2[[#This Row],[id]],prolongations!A:C,2,)," ")</f>
        <v>май 2023</v>
      </c>
      <c r="I412" s="10">
        <f>IF(Таблицаx_2[[#This Row],[Месяц окончания]]=Таблицаx_2[[#This Row],[Месяц]],Таблицаx_2[[#This Row],[Значения числа]],0)</f>
        <v>0</v>
      </c>
      <c r="J412" s="8">
        <f>IF(AND(Таблицаx_2[[#This Row],[Месяц окончания]]=Таблицаx_2[[#This Row],[Месяц]],Таблицаx_2[[#This Row],[id]]=A413,EDATE(Таблицаx_2[[#This Row],[Месяц]],1)=D413),F413,0)</f>
        <v>0</v>
      </c>
      <c r="K412" s="8">
        <f>IF(AND(Таблицаx_2[[#This Row],[Месяц окончания]]=Таблицаx_2[[#This Row],[Месяц]],Таблицаx_2[[#This Row],[id]]=A413,EDATE(Таблицаx_2[[#This Row],[Месяц]],2)=D413),F413,0)</f>
        <v>0</v>
      </c>
    </row>
    <row r="413" spans="1:11" ht="12.75" hidden="1" customHeight="1" x14ac:dyDescent="0.2">
      <c r="A413" s="8">
        <v>813</v>
      </c>
      <c r="B413" s="8" t="s">
        <v>45</v>
      </c>
      <c r="C413" s="8" t="s">
        <v>7</v>
      </c>
      <c r="D413" s="12">
        <v>45047</v>
      </c>
      <c r="E413" s="8">
        <v>23590</v>
      </c>
      <c r="F413" s="10">
        <f>IF(ISTEXT(Таблицаx_2[[#This Row],[Значение]]), 0, Таблицаx_2[[#This Row],[Значение]])</f>
        <v>23590</v>
      </c>
      <c r="G413" s="12">
        <v>45047</v>
      </c>
      <c r="H413" s="10" t="str">
        <f>IFERROR(VLOOKUP(Таблицаx_2[[#This Row],[id]],prolongations!A:C,2,)," ")</f>
        <v>май 2023</v>
      </c>
      <c r="I413" s="10">
        <f>IF(Таблицаx_2[[#This Row],[Месяц окончания]]=Таблицаx_2[[#This Row],[Месяц]],Таблицаx_2[[#This Row],[Значения числа]],0)</f>
        <v>23590</v>
      </c>
      <c r="J413" s="8">
        <f>IF(AND(Таблицаx_2[[#This Row],[Месяц окончания]]=Таблицаx_2[[#This Row],[Месяц]],Таблицаx_2[[#This Row],[id]]=A414,EDATE(Таблицаx_2[[#This Row],[Месяц]],1)=D414),F414,0)</f>
        <v>0</v>
      </c>
      <c r="K413" s="8">
        <f>IF(AND(Таблицаx_2[[#This Row],[Месяц окончания]]=Таблицаx_2[[#This Row],[Месяц]],Таблицаx_2[[#This Row],[id]]=A414,EDATE(Таблицаx_2[[#This Row],[Месяц]],2)=D414),F414,0)</f>
        <v>0</v>
      </c>
    </row>
    <row r="414" spans="1:11" ht="12.75" hidden="1" customHeight="1" x14ac:dyDescent="0.2">
      <c r="A414" s="8">
        <v>842</v>
      </c>
      <c r="B414" s="8"/>
      <c r="C414" s="8" t="s">
        <v>7</v>
      </c>
      <c r="D414" s="12">
        <v>45017</v>
      </c>
      <c r="E414" s="8">
        <v>7700</v>
      </c>
      <c r="F414" s="10">
        <f>IF(ISTEXT(Таблицаx_2[[#This Row],[Значение]]), 0, Таблицаx_2[[#This Row],[Значение]])</f>
        <v>7700</v>
      </c>
      <c r="G414" s="12">
        <v>45047</v>
      </c>
      <c r="H414" s="10" t="str">
        <f>IFERROR(VLOOKUP(Таблицаx_2[[#This Row],[id]],prolongations!A:C,2,)," ")</f>
        <v>май 2023</v>
      </c>
      <c r="I414" s="10">
        <f>IF(Таблицаx_2[[#This Row],[Месяц окончания]]=Таблицаx_2[[#This Row],[Месяц]],Таблицаx_2[[#This Row],[Значения числа]],0)</f>
        <v>0</v>
      </c>
      <c r="J414" s="8">
        <f>IF(AND(Таблицаx_2[[#This Row],[Месяц окончания]]=Таблицаx_2[[#This Row],[Месяц]],Таблицаx_2[[#This Row],[id]]=A415,EDATE(Таблицаx_2[[#This Row],[Месяц]],1)=D415),F415,0)</f>
        <v>0</v>
      </c>
      <c r="K414" s="8">
        <f>IF(AND(Таблицаx_2[[#This Row],[Месяц окончания]]=Таблицаx_2[[#This Row],[Месяц]],Таблицаx_2[[#This Row],[id]]=A415,EDATE(Таблицаx_2[[#This Row],[Месяц]],2)=D415),F415,0)</f>
        <v>0</v>
      </c>
    </row>
    <row r="415" spans="1:11" ht="12.75" hidden="1" customHeight="1" x14ac:dyDescent="0.2">
      <c r="A415" s="8">
        <v>842</v>
      </c>
      <c r="B415" s="8"/>
      <c r="C415" s="8" t="s">
        <v>7</v>
      </c>
      <c r="D415" s="12">
        <v>45047</v>
      </c>
      <c r="E415" s="8">
        <v>87570</v>
      </c>
      <c r="F415" s="10">
        <f>IF(ISTEXT(Таблицаx_2[[#This Row],[Значение]]), 0, Таблицаx_2[[#This Row],[Значение]])</f>
        <v>87570</v>
      </c>
      <c r="G415" s="12">
        <v>45047</v>
      </c>
      <c r="H415" s="10" t="str">
        <f>IFERROR(VLOOKUP(Таблицаx_2[[#This Row],[id]],prolongations!A:C,2,)," ")</f>
        <v>май 2023</v>
      </c>
      <c r="I415" s="10">
        <f>IF(Таблицаx_2[[#This Row],[Месяц окончания]]=Таблицаx_2[[#This Row],[Месяц]],Таблицаx_2[[#This Row],[Значения числа]],0)</f>
        <v>87570</v>
      </c>
      <c r="J415" s="8">
        <f>IF(AND(Таблицаx_2[[#This Row],[Месяц окончания]]=Таблицаx_2[[#This Row],[Месяц]],Таблицаx_2[[#This Row],[id]]=A416,EDATE(Таблицаx_2[[#This Row],[Месяц]],1)=D416),F416,0)</f>
        <v>0</v>
      </c>
      <c r="K415" s="8">
        <f>IF(AND(Таблицаx_2[[#This Row],[Месяц окончания]]=Таблицаx_2[[#This Row],[Месяц]],Таблицаx_2[[#This Row],[id]]=A416,EDATE(Таблицаx_2[[#This Row],[Месяц]],2)=D416),F416,0)</f>
        <v>0</v>
      </c>
    </row>
    <row r="416" spans="1:11" ht="12.75" hidden="1" customHeight="1" x14ac:dyDescent="0.2">
      <c r="A416" s="8">
        <v>842</v>
      </c>
      <c r="B416" s="8"/>
      <c r="C416" s="8" t="s">
        <v>7</v>
      </c>
      <c r="D416" s="12">
        <v>45078</v>
      </c>
      <c r="E416" s="8" t="s">
        <v>46</v>
      </c>
      <c r="F416" s="10">
        <f>IF(ISTEXT(Таблицаx_2[[#This Row],[Значение]]), 0, Таблицаx_2[[#This Row],[Значение]])</f>
        <v>0</v>
      </c>
      <c r="G416" s="12">
        <v>45047</v>
      </c>
      <c r="H416" s="10" t="str">
        <f>IFERROR(VLOOKUP(Таблицаx_2[[#This Row],[id]],prolongations!A:C,2,)," ")</f>
        <v>май 2023</v>
      </c>
      <c r="I416" s="10">
        <f>IF(Таблицаx_2[[#This Row],[Месяц окончания]]=Таблицаx_2[[#This Row],[Месяц]],Таблицаx_2[[#This Row],[Значения числа]],0)</f>
        <v>0</v>
      </c>
      <c r="J416" s="8">
        <f>IF(AND(Таблицаx_2[[#This Row],[Месяц окончания]]=Таблицаx_2[[#This Row],[Месяц]],Таблицаx_2[[#This Row],[id]]=A417,EDATE(Таблицаx_2[[#This Row],[Месяц]],1)=D417),F417,0)</f>
        <v>0</v>
      </c>
      <c r="K416" s="8">
        <f>IF(AND(Таблицаx_2[[#This Row],[Месяц окончания]]=Таблицаx_2[[#This Row],[Месяц]],Таблицаx_2[[#This Row],[id]]=A417,EDATE(Таблицаx_2[[#This Row],[Месяц]],2)=D417),F417,0)</f>
        <v>0</v>
      </c>
    </row>
    <row r="417" spans="1:11" ht="12.75" hidden="1" customHeight="1" x14ac:dyDescent="0.2">
      <c r="A417" s="8">
        <v>843</v>
      </c>
      <c r="B417" s="8"/>
      <c r="C417" s="8" t="s">
        <v>7</v>
      </c>
      <c r="D417" s="12">
        <v>45017</v>
      </c>
      <c r="E417" s="8">
        <v>7700</v>
      </c>
      <c r="F417" s="10">
        <f>IF(ISTEXT(Таблицаx_2[[#This Row],[Значение]]), 0, Таблицаx_2[[#This Row],[Значение]])</f>
        <v>7700</v>
      </c>
      <c r="G417" s="12">
        <v>45047</v>
      </c>
      <c r="H417" s="10" t="str">
        <f>IFERROR(VLOOKUP(Таблицаx_2[[#This Row],[id]],prolongations!A:C,2,)," ")</f>
        <v>май 2023</v>
      </c>
      <c r="I417" s="10">
        <f>IF(Таблицаx_2[[#This Row],[Месяц окончания]]=Таблицаx_2[[#This Row],[Месяц]],Таблицаx_2[[#This Row],[Значения числа]],0)</f>
        <v>0</v>
      </c>
      <c r="J417" s="8">
        <f>IF(AND(Таблицаx_2[[#This Row],[Месяц окончания]]=Таблицаx_2[[#This Row],[Месяц]],Таблицаx_2[[#This Row],[id]]=A418,EDATE(Таблицаx_2[[#This Row],[Месяц]],1)=D418),F418,0)</f>
        <v>0</v>
      </c>
      <c r="K417" s="8">
        <f>IF(AND(Таблицаx_2[[#This Row],[Месяц окончания]]=Таблицаx_2[[#This Row],[Месяц]],Таблицаx_2[[#This Row],[id]]=A418,EDATE(Таблицаx_2[[#This Row],[Месяц]],2)=D418),F418,0)</f>
        <v>0</v>
      </c>
    </row>
    <row r="418" spans="1:11" ht="12.75" hidden="1" customHeight="1" x14ac:dyDescent="0.2">
      <c r="A418" s="8">
        <v>843</v>
      </c>
      <c r="B418" s="8"/>
      <c r="C418" s="8" t="s">
        <v>7</v>
      </c>
      <c r="D418" s="12">
        <v>45047</v>
      </c>
      <c r="E418" s="8">
        <v>20890</v>
      </c>
      <c r="F418" s="10">
        <f>IF(ISTEXT(Таблицаx_2[[#This Row],[Значение]]), 0, Таблицаx_2[[#This Row],[Значение]])</f>
        <v>20890</v>
      </c>
      <c r="G418" s="12">
        <v>45047</v>
      </c>
      <c r="H418" s="10" t="str">
        <f>IFERROR(VLOOKUP(Таблицаx_2[[#This Row],[id]],prolongations!A:C,2,)," ")</f>
        <v>май 2023</v>
      </c>
      <c r="I418" s="10">
        <f>IF(Таблицаx_2[[#This Row],[Месяц окончания]]=Таблицаx_2[[#This Row],[Месяц]],Таблицаx_2[[#This Row],[Значения числа]],0)</f>
        <v>20890</v>
      </c>
      <c r="J418" s="8">
        <f>IF(AND(Таблицаx_2[[#This Row],[Месяц окончания]]=Таблицаx_2[[#This Row],[Месяц]],Таблицаx_2[[#This Row],[id]]=A419,EDATE(Таблицаx_2[[#This Row],[Месяц]],1)=D419),F419,0)</f>
        <v>0</v>
      </c>
      <c r="K418" s="8">
        <f>IF(AND(Таблицаx_2[[#This Row],[Месяц окончания]]=Таблицаx_2[[#This Row],[Месяц]],Таблицаx_2[[#This Row],[id]]=A419,EDATE(Таблицаx_2[[#This Row],[Месяц]],2)=D419),F419,0)</f>
        <v>0</v>
      </c>
    </row>
    <row r="419" spans="1:11" ht="12.75" hidden="1" customHeight="1" x14ac:dyDescent="0.2">
      <c r="A419" s="8">
        <v>843</v>
      </c>
      <c r="B419" s="8"/>
      <c r="C419" s="8" t="s">
        <v>7</v>
      </c>
      <c r="D419" s="12">
        <v>45078</v>
      </c>
      <c r="E419" s="8" t="s">
        <v>46</v>
      </c>
      <c r="F419" s="10">
        <f>IF(ISTEXT(Таблицаx_2[[#This Row],[Значение]]), 0, Таблицаx_2[[#This Row],[Значение]])</f>
        <v>0</v>
      </c>
      <c r="G419" s="12">
        <v>45047</v>
      </c>
      <c r="H419" s="10" t="str">
        <f>IFERROR(VLOOKUP(Таблицаx_2[[#This Row],[id]],prolongations!A:C,2,)," ")</f>
        <v>май 2023</v>
      </c>
      <c r="I419" s="10">
        <f>IF(Таблицаx_2[[#This Row],[Месяц окончания]]=Таблицаx_2[[#This Row],[Месяц]],Таблицаx_2[[#This Row],[Значения числа]],0)</f>
        <v>0</v>
      </c>
      <c r="J419" s="8">
        <f>IF(AND(Таблицаx_2[[#This Row],[Месяц окончания]]=Таблицаx_2[[#This Row],[Месяц]],Таблицаx_2[[#This Row],[id]]=A420,EDATE(Таблицаx_2[[#This Row],[Месяц]],1)=D420),F420,0)</f>
        <v>0</v>
      </c>
      <c r="K419" s="8">
        <f>IF(AND(Таблицаx_2[[#This Row],[Месяц окончания]]=Таблицаx_2[[#This Row],[Месяц]],Таблицаx_2[[#This Row],[id]]=A420,EDATE(Таблицаx_2[[#This Row],[Месяц]],2)=D420),F420,0)</f>
        <v>0</v>
      </c>
    </row>
    <row r="420" spans="1:11" ht="12.75" hidden="1" customHeight="1" x14ac:dyDescent="0.2">
      <c r="A420" s="8">
        <v>844</v>
      </c>
      <c r="B420" s="8"/>
      <c r="C420" s="8" t="s">
        <v>7</v>
      </c>
      <c r="D420" s="12">
        <v>45017</v>
      </c>
      <c r="E420" s="8">
        <v>7700</v>
      </c>
      <c r="F420" s="10">
        <f>IF(ISTEXT(Таблицаx_2[[#This Row],[Значение]]), 0, Таблицаx_2[[#This Row],[Значение]])</f>
        <v>7700</v>
      </c>
      <c r="G420" s="12">
        <v>45047</v>
      </c>
      <c r="H420" s="10" t="str">
        <f>IFERROR(VLOOKUP(Таблицаx_2[[#This Row],[id]],prolongations!A:C,2,)," ")</f>
        <v>май 2023</v>
      </c>
      <c r="I420" s="10">
        <f>IF(Таблицаx_2[[#This Row],[Месяц окончания]]=Таблицаx_2[[#This Row],[Месяц]],Таблицаx_2[[#This Row],[Значения числа]],0)</f>
        <v>0</v>
      </c>
      <c r="J420" s="8">
        <f>IF(AND(Таблицаx_2[[#This Row],[Месяц окончания]]=Таблицаx_2[[#This Row],[Месяц]],Таблицаx_2[[#This Row],[id]]=A421,EDATE(Таблицаx_2[[#This Row],[Месяц]],1)=D421),F421,0)</f>
        <v>0</v>
      </c>
      <c r="K420" s="8">
        <f>IF(AND(Таблицаx_2[[#This Row],[Месяц окончания]]=Таблицаx_2[[#This Row],[Месяц]],Таблицаx_2[[#This Row],[id]]=A421,EDATE(Таблицаx_2[[#This Row],[Месяц]],2)=D421),F421,0)</f>
        <v>0</v>
      </c>
    </row>
    <row r="421" spans="1:11" ht="12.75" hidden="1" customHeight="1" x14ac:dyDescent="0.2">
      <c r="A421" s="8">
        <v>844</v>
      </c>
      <c r="B421" s="8"/>
      <c r="C421" s="8" t="s">
        <v>7</v>
      </c>
      <c r="D421" s="12">
        <v>45047</v>
      </c>
      <c r="E421" s="8">
        <v>19045</v>
      </c>
      <c r="F421" s="10">
        <f>IF(ISTEXT(Таблицаx_2[[#This Row],[Значение]]), 0, Таблицаx_2[[#This Row],[Значение]])</f>
        <v>19045</v>
      </c>
      <c r="G421" s="12">
        <v>45047</v>
      </c>
      <c r="H421" s="10" t="str">
        <f>IFERROR(VLOOKUP(Таблицаx_2[[#This Row],[id]],prolongations!A:C,2,)," ")</f>
        <v>май 2023</v>
      </c>
      <c r="I421" s="10">
        <f>IF(Таблицаx_2[[#This Row],[Месяц окончания]]=Таблицаx_2[[#This Row],[Месяц]],Таблицаx_2[[#This Row],[Значения числа]],0)</f>
        <v>19045</v>
      </c>
      <c r="J421" s="8">
        <f>IF(AND(Таблицаx_2[[#This Row],[Месяц окончания]]=Таблицаx_2[[#This Row],[Месяц]],Таблицаx_2[[#This Row],[id]]=A422,EDATE(Таблицаx_2[[#This Row],[Месяц]],1)=D422),F422,0)</f>
        <v>0</v>
      </c>
      <c r="K421" s="8">
        <f>IF(AND(Таблицаx_2[[#This Row],[Месяц окончания]]=Таблицаx_2[[#This Row],[Месяц]],Таблицаx_2[[#This Row],[id]]=A422,EDATE(Таблицаx_2[[#This Row],[Месяц]],2)=D422),F422,0)</f>
        <v>0</v>
      </c>
    </row>
    <row r="422" spans="1:11" ht="12.75" hidden="1" customHeight="1" x14ac:dyDescent="0.2">
      <c r="A422" s="8">
        <v>844</v>
      </c>
      <c r="B422" s="8"/>
      <c r="C422" s="8" t="s">
        <v>7</v>
      </c>
      <c r="D422" s="12">
        <v>45078</v>
      </c>
      <c r="E422" s="8" t="s">
        <v>46</v>
      </c>
      <c r="F422" s="10">
        <f>IF(ISTEXT(Таблицаx_2[[#This Row],[Значение]]), 0, Таблицаx_2[[#This Row],[Значение]])</f>
        <v>0</v>
      </c>
      <c r="G422" s="12">
        <v>45047</v>
      </c>
      <c r="H422" s="10" t="str">
        <f>IFERROR(VLOOKUP(Таблицаx_2[[#This Row],[id]],prolongations!A:C,2,)," ")</f>
        <v>май 2023</v>
      </c>
      <c r="I422" s="10">
        <f>IF(Таблицаx_2[[#This Row],[Месяц окончания]]=Таблицаx_2[[#This Row],[Месяц]],Таблицаx_2[[#This Row],[Значения числа]],0)</f>
        <v>0</v>
      </c>
      <c r="J422" s="8">
        <f>IF(AND(Таблицаx_2[[#This Row],[Месяц окончания]]=Таблицаx_2[[#This Row],[Месяц]],Таблицаx_2[[#This Row],[id]]=A423,EDATE(Таблицаx_2[[#This Row],[Месяц]],1)=D423),F423,0)</f>
        <v>0</v>
      </c>
      <c r="K422" s="8">
        <f>IF(AND(Таблицаx_2[[#This Row],[Месяц окончания]]=Таблицаx_2[[#This Row],[Месяц]],Таблицаx_2[[#This Row],[id]]=A423,EDATE(Таблицаx_2[[#This Row],[Месяц]],2)=D423),F423,0)</f>
        <v>0</v>
      </c>
    </row>
    <row r="423" spans="1:11" ht="12.75" hidden="1" customHeight="1" x14ac:dyDescent="0.2">
      <c r="A423" s="8">
        <v>845</v>
      </c>
      <c r="B423" s="8"/>
      <c r="C423" s="8" t="s">
        <v>7</v>
      </c>
      <c r="D423" s="12">
        <v>45017</v>
      </c>
      <c r="E423" s="8">
        <v>7700</v>
      </c>
      <c r="F423" s="10">
        <f>IF(ISTEXT(Таблицаx_2[[#This Row],[Значение]]), 0, Таблицаx_2[[#This Row],[Значение]])</f>
        <v>7700</v>
      </c>
      <c r="G423" s="12">
        <v>45047</v>
      </c>
      <c r="H423" s="10" t="str">
        <f>IFERROR(VLOOKUP(Таблицаx_2[[#This Row],[id]],prolongations!A:C,2,)," ")</f>
        <v>май 2023</v>
      </c>
      <c r="I423" s="10">
        <f>IF(Таблицаx_2[[#This Row],[Месяц окончания]]=Таблицаx_2[[#This Row],[Месяц]],Таблицаx_2[[#This Row],[Значения числа]],0)</f>
        <v>0</v>
      </c>
      <c r="J423" s="8">
        <f>IF(AND(Таблицаx_2[[#This Row],[Месяц окончания]]=Таблицаx_2[[#This Row],[Месяц]],Таблицаx_2[[#This Row],[id]]=A424,EDATE(Таблицаx_2[[#This Row],[Месяц]],1)=D424),F424,0)</f>
        <v>0</v>
      </c>
      <c r="K423" s="8">
        <f>IF(AND(Таблицаx_2[[#This Row],[Месяц окончания]]=Таблицаx_2[[#This Row],[Месяц]],Таблицаx_2[[#This Row],[id]]=A424,EDATE(Таблицаx_2[[#This Row],[Месяц]],2)=D424),F424,0)</f>
        <v>0</v>
      </c>
    </row>
    <row r="424" spans="1:11" ht="12.75" hidden="1" customHeight="1" x14ac:dyDescent="0.2">
      <c r="A424" s="8">
        <v>845</v>
      </c>
      <c r="B424" s="8"/>
      <c r="C424" s="8" t="s">
        <v>7</v>
      </c>
      <c r="D424" s="12">
        <v>45047</v>
      </c>
      <c r="E424" s="8">
        <v>19940</v>
      </c>
      <c r="F424" s="10">
        <f>IF(ISTEXT(Таблицаx_2[[#This Row],[Значение]]), 0, Таблицаx_2[[#This Row],[Значение]])</f>
        <v>19940</v>
      </c>
      <c r="G424" s="12">
        <v>45047</v>
      </c>
      <c r="H424" s="10" t="str">
        <f>IFERROR(VLOOKUP(Таблицаx_2[[#This Row],[id]],prolongations!A:C,2,)," ")</f>
        <v>май 2023</v>
      </c>
      <c r="I424" s="10">
        <f>IF(Таблицаx_2[[#This Row],[Месяц окончания]]=Таблицаx_2[[#This Row],[Месяц]],Таблицаx_2[[#This Row],[Значения числа]],0)</f>
        <v>19940</v>
      </c>
      <c r="J424" s="8">
        <f>IF(AND(Таблицаx_2[[#This Row],[Месяц окончания]]=Таблицаx_2[[#This Row],[Месяц]],Таблицаx_2[[#This Row],[id]]=A425,EDATE(Таблицаx_2[[#This Row],[Месяц]],1)=D425),F425,0)</f>
        <v>0</v>
      </c>
      <c r="K424" s="8">
        <f>IF(AND(Таблицаx_2[[#This Row],[Месяц окончания]]=Таблицаx_2[[#This Row],[Месяц]],Таблицаx_2[[#This Row],[id]]=A425,EDATE(Таблицаx_2[[#This Row],[Месяц]],2)=D425),F425,0)</f>
        <v>0</v>
      </c>
    </row>
    <row r="425" spans="1:11" ht="12.75" hidden="1" customHeight="1" x14ac:dyDescent="0.2">
      <c r="A425" s="8">
        <v>845</v>
      </c>
      <c r="B425" s="8"/>
      <c r="C425" s="8" t="s">
        <v>7</v>
      </c>
      <c r="D425" s="12">
        <v>45078</v>
      </c>
      <c r="E425" s="8" t="s">
        <v>46</v>
      </c>
      <c r="F425" s="10">
        <f>IF(ISTEXT(Таблицаx_2[[#This Row],[Значение]]), 0, Таблицаx_2[[#This Row],[Значение]])</f>
        <v>0</v>
      </c>
      <c r="G425" s="12">
        <v>45047</v>
      </c>
      <c r="H425" s="10" t="str">
        <f>IFERROR(VLOOKUP(Таблицаx_2[[#This Row],[id]],prolongations!A:C,2,)," ")</f>
        <v>май 2023</v>
      </c>
      <c r="I425" s="10">
        <f>IF(Таблицаx_2[[#This Row],[Месяц окончания]]=Таблицаx_2[[#This Row],[Месяц]],Таблицаx_2[[#This Row],[Значения числа]],0)</f>
        <v>0</v>
      </c>
      <c r="J425" s="8">
        <f>IF(AND(Таблицаx_2[[#This Row],[Месяц окончания]]=Таблицаx_2[[#This Row],[Месяц]],Таблицаx_2[[#This Row],[id]]=A426,EDATE(Таблицаx_2[[#This Row],[Месяц]],1)=D426),F426,0)</f>
        <v>0</v>
      </c>
      <c r="K425" s="8">
        <f>IF(AND(Таблицаx_2[[#This Row],[Месяц окончания]]=Таблицаx_2[[#This Row],[Месяц]],Таблицаx_2[[#This Row],[id]]=A426,EDATE(Таблицаx_2[[#This Row],[Месяц]],2)=D426),F426,0)</f>
        <v>0</v>
      </c>
    </row>
    <row r="426" spans="1:11" ht="12.75" hidden="1" customHeight="1" x14ac:dyDescent="0.2">
      <c r="A426" s="8">
        <v>301</v>
      </c>
      <c r="B426" s="8" t="s">
        <v>52</v>
      </c>
      <c r="C426" s="8" t="s">
        <v>8</v>
      </c>
      <c r="D426" s="12">
        <v>44866</v>
      </c>
      <c r="E426" s="8">
        <v>55220</v>
      </c>
      <c r="F426" s="10">
        <f>IF(ISTEXT(Таблицаx_2[[#This Row],[Значение]]), 0, Таблицаx_2[[#This Row],[Значение]])</f>
        <v>55220</v>
      </c>
      <c r="G426" s="12">
        <v>44866</v>
      </c>
      <c r="H426" s="10" t="str">
        <f>IFERROR(VLOOKUP(Таблицаx_2[[#This Row],[id]],prolongations!A:C,2,)," ")</f>
        <v>ноябрь 2022</v>
      </c>
      <c r="I426" s="10">
        <f>IF(Таблицаx_2[[#This Row],[Месяц окончания]]=Таблицаx_2[[#This Row],[Месяц]],Таблицаx_2[[#This Row],[Значения числа]],0)</f>
        <v>55220</v>
      </c>
      <c r="J426" s="8">
        <f>IF(AND(Таблицаx_2[[#This Row],[Месяц окончания]]=Таблицаx_2[[#This Row],[Месяц]],Таблицаx_2[[#This Row],[id]]=A427,EDATE(Таблицаx_2[[#This Row],[Месяц]],1)=D427),F427,0)</f>
        <v>40830</v>
      </c>
      <c r="K426" s="8">
        <f>IF(AND(Таблицаx_2[[#This Row],[Месяц окончания]]=Таблицаx_2[[#This Row],[Месяц]],Таблицаx_2[[#This Row],[id]]=A427,EDATE(Таблицаx_2[[#This Row],[Месяц]],2)=D427),F427,0)</f>
        <v>0</v>
      </c>
    </row>
    <row r="427" spans="1:11" ht="12.75" hidden="1" customHeight="1" x14ac:dyDescent="0.2">
      <c r="A427" s="8">
        <v>301</v>
      </c>
      <c r="B427" s="8" t="s">
        <v>52</v>
      </c>
      <c r="C427" s="8" t="s">
        <v>8</v>
      </c>
      <c r="D427" s="12">
        <v>44896</v>
      </c>
      <c r="E427" s="8">
        <v>40830</v>
      </c>
      <c r="F427" s="10">
        <f>IF(ISTEXT(Таблицаx_2[[#This Row],[Значение]]), 0, Таблицаx_2[[#This Row],[Значение]])</f>
        <v>40830</v>
      </c>
      <c r="G427" s="12">
        <v>44866</v>
      </c>
      <c r="H427" s="10" t="str">
        <f>IFERROR(VLOOKUP(Таблицаx_2[[#This Row],[id]],prolongations!A:C,2,)," ")</f>
        <v>ноябрь 2022</v>
      </c>
      <c r="I427" s="10">
        <f>IF(Таблицаx_2[[#This Row],[Месяц окончания]]=Таблицаx_2[[#This Row],[Месяц]],Таблицаx_2[[#This Row],[Значения числа]],0)</f>
        <v>0</v>
      </c>
      <c r="J427" s="8">
        <f>IF(AND(Таблицаx_2[[#This Row],[Месяц окончания]]=Таблицаx_2[[#This Row],[Месяц]],Таблицаx_2[[#This Row],[id]]=A428,EDATE(Таблицаx_2[[#This Row],[Месяц]],1)=D428),F428,0)</f>
        <v>0</v>
      </c>
      <c r="K427" s="8">
        <f>IF(AND(Таблицаx_2[[#This Row],[Месяц окончания]]=Таблицаx_2[[#This Row],[Месяц]],Таблицаx_2[[#This Row],[id]]=A428,EDATE(Таблицаx_2[[#This Row],[Месяц]],2)=D428),F428,0)</f>
        <v>0</v>
      </c>
    </row>
    <row r="428" spans="1:11" ht="12.75" hidden="1" customHeight="1" x14ac:dyDescent="0.2">
      <c r="A428" s="8">
        <v>301</v>
      </c>
      <c r="B428" s="8" t="s">
        <v>52</v>
      </c>
      <c r="C428" s="8" t="s">
        <v>8</v>
      </c>
      <c r="D428" s="12">
        <v>44927</v>
      </c>
      <c r="E428" s="8">
        <v>40830</v>
      </c>
      <c r="F428" s="10">
        <f>IF(ISTEXT(Таблицаx_2[[#This Row],[Значение]]), 0, Таблицаx_2[[#This Row],[Значение]])</f>
        <v>40830</v>
      </c>
      <c r="G428" s="12">
        <v>44866</v>
      </c>
      <c r="H428" s="10" t="str">
        <f>IFERROR(VLOOKUP(Таблицаx_2[[#This Row],[id]],prolongations!A:C,2,)," ")</f>
        <v>ноябрь 2022</v>
      </c>
      <c r="I428" s="10">
        <f>IF(Таблицаx_2[[#This Row],[Месяц окончания]]=Таблицаx_2[[#This Row],[Месяц]],Таблицаx_2[[#This Row],[Значения числа]],0)</f>
        <v>0</v>
      </c>
      <c r="J428" s="8">
        <f>IF(AND(Таблицаx_2[[#This Row],[Месяц окончания]]=Таблицаx_2[[#This Row],[Месяц]],Таблицаx_2[[#This Row],[id]]=A429,EDATE(Таблицаx_2[[#This Row],[Месяц]],1)=D429),F429,0)</f>
        <v>0</v>
      </c>
      <c r="K428" s="8">
        <f>IF(AND(Таблицаx_2[[#This Row],[Месяц окончания]]=Таблицаx_2[[#This Row],[Месяц]],Таблицаx_2[[#This Row],[id]]=A429,EDATE(Таблицаx_2[[#This Row],[Месяц]],2)=D429),F429,0)</f>
        <v>0</v>
      </c>
    </row>
    <row r="429" spans="1:11" ht="12.75" hidden="1" customHeight="1" x14ac:dyDescent="0.2">
      <c r="A429" s="8">
        <v>301</v>
      </c>
      <c r="B429" s="8" t="s">
        <v>52</v>
      </c>
      <c r="C429" s="8" t="s">
        <v>8</v>
      </c>
      <c r="D429" s="12">
        <v>44958</v>
      </c>
      <c r="E429" s="8">
        <v>49515</v>
      </c>
      <c r="F429" s="10">
        <f>IF(ISTEXT(Таблицаx_2[[#This Row],[Значение]]), 0, Таблицаx_2[[#This Row],[Значение]])</f>
        <v>49515</v>
      </c>
      <c r="G429" s="12">
        <v>44866</v>
      </c>
      <c r="H429" s="10" t="str">
        <f>IFERROR(VLOOKUP(Таблицаx_2[[#This Row],[id]],prolongations!A:C,2,)," ")</f>
        <v>ноябрь 2022</v>
      </c>
      <c r="I429" s="10">
        <f>IF(Таблицаx_2[[#This Row],[Месяц окончания]]=Таблицаx_2[[#This Row],[Месяц]],Таблицаx_2[[#This Row],[Значения числа]],0)</f>
        <v>0</v>
      </c>
      <c r="J429" s="8">
        <f>IF(AND(Таблицаx_2[[#This Row],[Месяц окончания]]=Таблицаx_2[[#This Row],[Месяц]],Таблицаx_2[[#This Row],[id]]=A430,EDATE(Таблицаx_2[[#This Row],[Месяц]],1)=D430),F430,0)</f>
        <v>0</v>
      </c>
      <c r="K429" s="8">
        <f>IF(AND(Таблицаx_2[[#This Row],[Месяц окончания]]=Таблицаx_2[[#This Row],[Месяц]],Таблицаx_2[[#This Row],[id]]=A430,EDATE(Таблицаx_2[[#This Row],[Месяц]],2)=D430),F430,0)</f>
        <v>0</v>
      </c>
    </row>
    <row r="430" spans="1:11" ht="12.75" hidden="1" customHeight="1" x14ac:dyDescent="0.2">
      <c r="A430" s="8">
        <v>301</v>
      </c>
      <c r="B430" s="8" t="s">
        <v>52</v>
      </c>
      <c r="C430" s="8" t="s">
        <v>8</v>
      </c>
      <c r="D430" s="12">
        <v>44986</v>
      </c>
      <c r="E430" s="8">
        <v>31700</v>
      </c>
      <c r="F430" s="10">
        <f>IF(ISTEXT(Таблицаx_2[[#This Row],[Значение]]), 0, Таблицаx_2[[#This Row],[Значение]])</f>
        <v>31700</v>
      </c>
      <c r="G430" s="12">
        <v>44866</v>
      </c>
      <c r="H430" s="10" t="str">
        <f>IFERROR(VLOOKUP(Таблицаx_2[[#This Row],[id]],prolongations!A:C,2,)," ")</f>
        <v>ноябрь 2022</v>
      </c>
      <c r="I430" s="10">
        <f>IF(Таблицаx_2[[#This Row],[Месяц окончания]]=Таблицаx_2[[#This Row],[Месяц]],Таблицаx_2[[#This Row],[Значения числа]],0)</f>
        <v>0</v>
      </c>
      <c r="J430" s="8">
        <f>IF(AND(Таблицаx_2[[#This Row],[Месяц окончания]]=Таблицаx_2[[#This Row],[Месяц]],Таблицаx_2[[#This Row],[id]]=A431,EDATE(Таблицаx_2[[#This Row],[Месяц]],1)=D431),F431,0)</f>
        <v>0</v>
      </c>
      <c r="K430" s="8">
        <f>IF(AND(Таблицаx_2[[#This Row],[Месяц окончания]]=Таблицаx_2[[#This Row],[Месяц]],Таблицаx_2[[#This Row],[id]]=A431,EDATE(Таблицаx_2[[#This Row],[Месяц]],2)=D431),F431,0)</f>
        <v>0</v>
      </c>
    </row>
    <row r="431" spans="1:11" ht="12.75" hidden="1" customHeight="1" x14ac:dyDescent="0.2">
      <c r="A431" s="8">
        <v>301</v>
      </c>
      <c r="B431" s="8" t="s">
        <v>52</v>
      </c>
      <c r="C431" s="8" t="s">
        <v>8</v>
      </c>
      <c r="D431" s="12">
        <v>45017</v>
      </c>
      <c r="E431" s="8">
        <v>33100</v>
      </c>
      <c r="F431" s="10">
        <f>IF(ISTEXT(Таблицаx_2[[#This Row],[Значение]]), 0, Таблицаx_2[[#This Row],[Значение]])</f>
        <v>33100</v>
      </c>
      <c r="G431" s="12">
        <v>44866</v>
      </c>
      <c r="H431" s="10" t="str">
        <f>IFERROR(VLOOKUP(Таблицаx_2[[#This Row],[id]],prolongations!A:C,2,)," ")</f>
        <v>ноябрь 2022</v>
      </c>
      <c r="I431" s="10">
        <f>IF(Таблицаx_2[[#This Row],[Месяц окончания]]=Таблицаx_2[[#This Row],[Месяц]],Таблицаx_2[[#This Row],[Значения числа]],0)</f>
        <v>0</v>
      </c>
      <c r="J431" s="8">
        <f>IF(AND(Таблицаx_2[[#This Row],[Месяц окончания]]=Таблицаx_2[[#This Row],[Месяц]],Таблицаx_2[[#This Row],[id]]=A432,EDATE(Таблицаx_2[[#This Row],[Месяц]],1)=D432),F432,0)</f>
        <v>0</v>
      </c>
      <c r="K431" s="8">
        <f>IF(AND(Таблицаx_2[[#This Row],[Месяц окончания]]=Таблицаx_2[[#This Row],[Месяц]],Таблицаx_2[[#This Row],[id]]=A432,EDATE(Таблицаx_2[[#This Row],[Месяц]],2)=D432),F432,0)</f>
        <v>0</v>
      </c>
    </row>
    <row r="432" spans="1:11" ht="12.75" hidden="1" customHeight="1" x14ac:dyDescent="0.2">
      <c r="A432" s="8">
        <v>301</v>
      </c>
      <c r="B432" s="8" t="s">
        <v>52</v>
      </c>
      <c r="C432" s="8" t="s">
        <v>8</v>
      </c>
      <c r="D432" s="12">
        <v>45047</v>
      </c>
      <c r="E432" s="8">
        <v>37100</v>
      </c>
      <c r="F432" s="10">
        <f>IF(ISTEXT(Таблицаx_2[[#This Row],[Значение]]), 0, Таблицаx_2[[#This Row],[Значение]])</f>
        <v>37100</v>
      </c>
      <c r="G432" s="12">
        <v>44866</v>
      </c>
      <c r="H432" s="10" t="str">
        <f>IFERROR(VLOOKUP(Таблицаx_2[[#This Row],[id]],prolongations!A:C,2,)," ")</f>
        <v>ноябрь 2022</v>
      </c>
      <c r="I432" s="10">
        <f>IF(Таблицаx_2[[#This Row],[Месяц окончания]]=Таблицаx_2[[#This Row],[Месяц]],Таблицаx_2[[#This Row],[Значения числа]],0)</f>
        <v>0</v>
      </c>
      <c r="J432" s="8">
        <f>IF(AND(Таблицаx_2[[#This Row],[Месяц окончания]]=Таблицаx_2[[#This Row],[Месяц]],Таблицаx_2[[#This Row],[id]]=A433,EDATE(Таблицаx_2[[#This Row],[Месяц]],1)=D433),F433,0)</f>
        <v>0</v>
      </c>
      <c r="K432" s="8">
        <f>IF(AND(Таблицаx_2[[#This Row],[Месяц окончания]]=Таблицаx_2[[#This Row],[Месяц]],Таблицаx_2[[#This Row],[id]]=A433,EDATE(Таблицаx_2[[#This Row],[Месяц]],2)=D433),F433,0)</f>
        <v>0</v>
      </c>
    </row>
    <row r="433" spans="1:11" ht="12.75" hidden="1" customHeight="1" x14ac:dyDescent="0.2">
      <c r="A433" s="8">
        <v>301</v>
      </c>
      <c r="B433" s="8" t="s">
        <v>50</v>
      </c>
      <c r="C433" s="8" t="s">
        <v>8</v>
      </c>
      <c r="D433" s="12">
        <v>44986</v>
      </c>
      <c r="E433" s="8" t="s">
        <v>48</v>
      </c>
      <c r="F433" s="10">
        <f>IF(ISTEXT(Таблицаx_2[[#This Row],[Значение]]), 0, Таблицаx_2[[#This Row],[Значение]])</f>
        <v>0</v>
      </c>
      <c r="G433" s="12">
        <v>44866</v>
      </c>
      <c r="H433" s="10" t="str">
        <f>IFERROR(VLOOKUP(Таблицаx_2[[#This Row],[id]],prolongations!A:C,2,)," ")</f>
        <v>ноябрь 2022</v>
      </c>
      <c r="I433" s="10">
        <f>IF(Таблицаx_2[[#This Row],[Месяц окончания]]=Таблицаx_2[[#This Row],[Месяц]],Таблицаx_2[[#This Row],[Значения числа]],0)</f>
        <v>0</v>
      </c>
      <c r="J433" s="8">
        <f>IF(AND(Таблицаx_2[[#This Row],[Месяц окончания]]=Таблицаx_2[[#This Row],[Месяц]],Таблицаx_2[[#This Row],[id]]=A434,EDATE(Таблицаx_2[[#This Row],[Месяц]],1)=D434),F434,0)</f>
        <v>0</v>
      </c>
      <c r="K433" s="8">
        <f>IF(AND(Таблицаx_2[[#This Row],[Месяц окончания]]=Таблицаx_2[[#This Row],[Месяц]],Таблицаx_2[[#This Row],[id]]=A434,EDATE(Таблицаx_2[[#This Row],[Месяц]],2)=D434),F434,0)</f>
        <v>0</v>
      </c>
    </row>
    <row r="434" spans="1:11" ht="12.75" hidden="1" customHeight="1" x14ac:dyDescent="0.2">
      <c r="A434" s="8">
        <v>301</v>
      </c>
      <c r="B434" s="8" t="s">
        <v>50</v>
      </c>
      <c r="C434" s="8" t="s">
        <v>8</v>
      </c>
      <c r="D434" s="12">
        <v>45017</v>
      </c>
      <c r="E434" s="8">
        <v>49225</v>
      </c>
      <c r="F434" s="10">
        <f>IF(ISTEXT(Таблицаx_2[[#This Row],[Значение]]), 0, Таблицаx_2[[#This Row],[Значение]])</f>
        <v>49225</v>
      </c>
      <c r="G434" s="12">
        <v>44866</v>
      </c>
      <c r="H434" s="10" t="str">
        <f>IFERROR(VLOOKUP(Таблицаx_2[[#This Row],[id]],prolongations!A:C,2,)," ")</f>
        <v>ноябрь 2022</v>
      </c>
      <c r="I434" s="10">
        <f>IF(Таблицаx_2[[#This Row],[Месяц окончания]]=Таблицаx_2[[#This Row],[Месяц]],Таблицаx_2[[#This Row],[Значения числа]],0)</f>
        <v>0</v>
      </c>
      <c r="J434" s="8">
        <f>IF(AND(Таблицаx_2[[#This Row],[Месяц окончания]]=Таблицаx_2[[#This Row],[Месяц]],Таблицаx_2[[#This Row],[id]]=A435,EDATE(Таблицаx_2[[#This Row],[Месяц]],1)=D435),F435,0)</f>
        <v>0</v>
      </c>
      <c r="K434" s="8">
        <f>IF(AND(Таблицаx_2[[#This Row],[Месяц окончания]]=Таблицаx_2[[#This Row],[Месяц]],Таблицаx_2[[#This Row],[id]]=A435,EDATE(Таблицаx_2[[#This Row],[Месяц]],2)=D435),F435,0)</f>
        <v>0</v>
      </c>
    </row>
    <row r="435" spans="1:11" ht="12.75" hidden="1" customHeight="1" x14ac:dyDescent="0.2">
      <c r="A435" s="8">
        <v>301</v>
      </c>
      <c r="B435" s="8" t="s">
        <v>50</v>
      </c>
      <c r="C435" s="8" t="s">
        <v>8</v>
      </c>
      <c r="D435" s="12">
        <v>45047</v>
      </c>
      <c r="E435" s="8" t="s">
        <v>48</v>
      </c>
      <c r="F435" s="10">
        <f>IF(ISTEXT(Таблицаx_2[[#This Row],[Значение]]), 0, Таблицаx_2[[#This Row],[Значение]])</f>
        <v>0</v>
      </c>
      <c r="G435" s="12">
        <v>44866</v>
      </c>
      <c r="H435" s="10" t="str">
        <f>IFERROR(VLOOKUP(Таблицаx_2[[#This Row],[id]],prolongations!A:C,2,)," ")</f>
        <v>ноябрь 2022</v>
      </c>
      <c r="I435" s="10">
        <f>IF(Таблицаx_2[[#This Row],[Месяц окончания]]=Таблицаx_2[[#This Row],[Месяц]],Таблицаx_2[[#This Row],[Значения числа]],0)</f>
        <v>0</v>
      </c>
      <c r="J435" s="8">
        <f>IF(AND(Таблицаx_2[[#This Row],[Месяц окончания]]=Таблицаx_2[[#This Row],[Месяц]],Таблицаx_2[[#This Row],[id]]=A436,EDATE(Таблицаx_2[[#This Row],[Месяц]],1)=D436),F436,0)</f>
        <v>0</v>
      </c>
      <c r="K435" s="8">
        <f>IF(AND(Таблицаx_2[[#This Row],[Месяц окончания]]=Таблицаx_2[[#This Row],[Месяц]],Таблицаx_2[[#This Row],[id]]=A436,EDATE(Таблицаx_2[[#This Row],[Месяц]],2)=D436),F436,0)</f>
        <v>0</v>
      </c>
    </row>
    <row r="436" spans="1:11" ht="12.75" hidden="1" customHeight="1" x14ac:dyDescent="0.2">
      <c r="A436" s="8">
        <v>855</v>
      </c>
      <c r="B436" s="8"/>
      <c r="C436" s="8" t="s">
        <v>6</v>
      </c>
      <c r="D436" s="12">
        <v>45047</v>
      </c>
      <c r="E436" s="8">
        <v>12175</v>
      </c>
      <c r="F436" s="10">
        <f>IF(ISTEXT(Таблицаx_2[[#This Row],[Значение]]), 0, Таблицаx_2[[#This Row],[Значение]])</f>
        <v>12175</v>
      </c>
      <c r="G436" s="12">
        <v>45047</v>
      </c>
      <c r="H436" s="10" t="str">
        <f>IFERROR(VLOOKUP(Таблицаx_2[[#This Row],[id]],prolongations!A:C,2,)," ")</f>
        <v>май 2023</v>
      </c>
      <c r="I436" s="10">
        <f>IF(Таблицаx_2[[#This Row],[Месяц окончания]]=Таблицаx_2[[#This Row],[Месяц]],Таблицаx_2[[#This Row],[Значения числа]],0)</f>
        <v>12175</v>
      </c>
      <c r="J436" s="8">
        <f>IF(AND(Таблицаx_2[[#This Row],[Месяц окончания]]=Таблицаx_2[[#This Row],[Месяц]],Таблицаx_2[[#This Row],[id]]=A437,EDATE(Таблицаx_2[[#This Row],[Месяц]],1)=D437),F437,0)</f>
        <v>0</v>
      </c>
      <c r="K436" s="8">
        <f>IF(AND(Таблицаx_2[[#This Row],[Месяц окончания]]=Таблицаx_2[[#This Row],[Месяц]],Таблицаx_2[[#This Row],[id]]=A437,EDATE(Таблицаx_2[[#This Row],[Месяц]],2)=D437),F437,0)</f>
        <v>0</v>
      </c>
    </row>
    <row r="437" spans="1:11" ht="12.75" hidden="1" customHeight="1" x14ac:dyDescent="0.2">
      <c r="A437" s="8">
        <v>583</v>
      </c>
      <c r="B437" s="8" t="s">
        <v>52</v>
      </c>
      <c r="C437" s="8" t="s">
        <v>6</v>
      </c>
      <c r="D437" s="12">
        <v>44866</v>
      </c>
      <c r="E437" s="8">
        <v>92505</v>
      </c>
      <c r="F437" s="10">
        <f>IF(ISTEXT(Таблицаx_2[[#This Row],[Значение]]), 0, Таблицаx_2[[#This Row],[Значение]])</f>
        <v>92505</v>
      </c>
      <c r="G437" s="12">
        <v>44896</v>
      </c>
      <c r="H437" s="10" t="str">
        <f>IFERROR(VLOOKUP(Таблицаx_2[[#This Row],[id]],prolongations!A:C,2,)," ")</f>
        <v>декабрь 2022</v>
      </c>
      <c r="I437" s="10">
        <f>IF(Таблицаx_2[[#This Row],[Месяц окончания]]=Таблицаx_2[[#This Row],[Месяц]],Таблицаx_2[[#This Row],[Значения числа]],0)</f>
        <v>0</v>
      </c>
      <c r="J437" s="8">
        <f>IF(AND(Таблицаx_2[[#This Row],[Месяц окончания]]=Таблицаx_2[[#This Row],[Месяц]],Таблицаx_2[[#This Row],[id]]=A438,EDATE(Таблицаx_2[[#This Row],[Месяц]],1)=D438),F438,0)</f>
        <v>0</v>
      </c>
      <c r="K437" s="8">
        <f>IF(AND(Таблицаx_2[[#This Row],[Месяц окончания]]=Таблицаx_2[[#This Row],[Месяц]],Таблицаx_2[[#This Row],[id]]=A438,EDATE(Таблицаx_2[[#This Row],[Месяц]],2)=D438),F438,0)</f>
        <v>0</v>
      </c>
    </row>
    <row r="438" spans="1:11" hidden="1" x14ac:dyDescent="0.2">
      <c r="A438" s="8">
        <v>583</v>
      </c>
      <c r="B438" s="8" t="s">
        <v>52</v>
      </c>
      <c r="C438" s="8" t="s">
        <v>6</v>
      </c>
      <c r="D438" s="12">
        <v>44896</v>
      </c>
      <c r="E438" s="8">
        <v>107275</v>
      </c>
      <c r="F438" s="10">
        <f>IF(ISTEXT(Таблицаx_2[[#This Row],[Значение]]), 0, Таблицаx_2[[#This Row],[Значение]])</f>
        <v>107275</v>
      </c>
      <c r="G438" s="12">
        <v>44896</v>
      </c>
      <c r="H438" s="10" t="str">
        <f>IFERROR(VLOOKUP(Таблицаx_2[[#This Row],[id]],prolongations!A:C,2,)," ")</f>
        <v>декабрь 2022</v>
      </c>
      <c r="I438" s="10">
        <f>IF(Таблицаx_2[[#This Row],[Месяц окончания]]=Таблицаx_2[[#This Row],[Месяц]],Таблицаx_2[[#This Row],[Значения числа]],0)</f>
        <v>107275</v>
      </c>
      <c r="J438" s="8">
        <f>IF(AND(Таблицаx_2[[#This Row],[Месяц окончания]]=Таблицаx_2[[#This Row],[Месяц]],Таблицаx_2[[#This Row],[id]]=A439,EDATE(Таблицаx_2[[#This Row],[Месяц]],1)=D439),F439,0)</f>
        <v>76450</v>
      </c>
      <c r="K438" s="8">
        <f>IF(AND(Таблицаx_2[[#This Row],[Месяц окончания]]=Таблицаx_2[[#This Row],[Месяц]],Таблицаx_2[[#This Row],[id]]=A439,EDATE(Таблицаx_2[[#This Row],[Месяц]],2)=D439),F439,0)</f>
        <v>0</v>
      </c>
    </row>
    <row r="439" spans="1:11" ht="12.75" hidden="1" customHeight="1" x14ac:dyDescent="0.2">
      <c r="A439" s="8">
        <v>583</v>
      </c>
      <c r="B439" s="8" t="s">
        <v>52</v>
      </c>
      <c r="C439" s="8" t="s">
        <v>6</v>
      </c>
      <c r="D439" s="12">
        <v>44927</v>
      </c>
      <c r="E439" s="8">
        <v>76450</v>
      </c>
      <c r="F439" s="10">
        <f>IF(ISTEXT(Таблицаx_2[[#This Row],[Значение]]), 0, Таблицаx_2[[#This Row],[Значение]])</f>
        <v>76450</v>
      </c>
      <c r="G439" s="12">
        <v>44896</v>
      </c>
      <c r="H439" s="10" t="str">
        <f>IFERROR(VLOOKUP(Таблицаx_2[[#This Row],[id]],prolongations!A:C,2,)," ")</f>
        <v>декабрь 2022</v>
      </c>
      <c r="I439" s="10">
        <f>IF(Таблицаx_2[[#This Row],[Месяц окончания]]=Таблицаx_2[[#This Row],[Месяц]],Таблицаx_2[[#This Row],[Значения числа]],0)</f>
        <v>0</v>
      </c>
      <c r="J439" s="8">
        <f>IF(AND(Таблицаx_2[[#This Row],[Месяц окончания]]=Таблицаx_2[[#This Row],[Месяц]],Таблицаx_2[[#This Row],[id]]=A440,EDATE(Таблицаx_2[[#This Row],[Месяц]],1)=D440),F440,0)</f>
        <v>0</v>
      </c>
      <c r="K439" s="8">
        <f>IF(AND(Таблицаx_2[[#This Row],[Месяц окончания]]=Таблицаx_2[[#This Row],[Месяц]],Таблицаx_2[[#This Row],[id]]=A440,EDATE(Таблицаx_2[[#This Row],[Месяц]],2)=D440),F440,0)</f>
        <v>0</v>
      </c>
    </row>
    <row r="440" spans="1:11" ht="12.75" hidden="1" customHeight="1" x14ac:dyDescent="0.2">
      <c r="A440" s="8">
        <v>583</v>
      </c>
      <c r="B440" s="8" t="s">
        <v>52</v>
      </c>
      <c r="C440" s="8" t="s">
        <v>6</v>
      </c>
      <c r="D440" s="12">
        <v>44958</v>
      </c>
      <c r="E440" s="8">
        <v>74425</v>
      </c>
      <c r="F440" s="10">
        <f>IF(ISTEXT(Таблицаx_2[[#This Row],[Значение]]), 0, Таблицаx_2[[#This Row],[Значение]])</f>
        <v>74425</v>
      </c>
      <c r="G440" s="12">
        <v>44896</v>
      </c>
      <c r="H440" s="10" t="str">
        <f>IFERROR(VLOOKUP(Таблицаx_2[[#This Row],[id]],prolongations!A:C,2,)," ")</f>
        <v>декабрь 2022</v>
      </c>
      <c r="I440" s="10">
        <f>IF(Таблицаx_2[[#This Row],[Месяц окончания]]=Таблицаx_2[[#This Row],[Месяц]],Таблицаx_2[[#This Row],[Значения числа]],0)</f>
        <v>0</v>
      </c>
      <c r="J440" s="8">
        <f>IF(AND(Таблицаx_2[[#This Row],[Месяц окончания]]=Таблицаx_2[[#This Row],[Месяц]],Таблицаx_2[[#This Row],[id]]=A441,EDATE(Таблицаx_2[[#This Row],[Месяц]],1)=D441),F441,0)</f>
        <v>0</v>
      </c>
      <c r="K440" s="8">
        <f>IF(AND(Таблицаx_2[[#This Row],[Месяц окончания]]=Таблицаx_2[[#This Row],[Месяц]],Таблицаx_2[[#This Row],[id]]=A441,EDATE(Таблицаx_2[[#This Row],[Месяц]],2)=D441),F441,0)</f>
        <v>0</v>
      </c>
    </row>
    <row r="441" spans="1:11" ht="12.75" hidden="1" customHeight="1" x14ac:dyDescent="0.2">
      <c r="A441" s="8">
        <v>583</v>
      </c>
      <c r="B441" s="8" t="s">
        <v>52</v>
      </c>
      <c r="C441" s="8" t="s">
        <v>6</v>
      </c>
      <c r="D441" s="12">
        <v>44986</v>
      </c>
      <c r="E441" s="8">
        <v>80800</v>
      </c>
      <c r="F441" s="10">
        <f>IF(ISTEXT(Таблицаx_2[[#This Row],[Значение]]), 0, Таблицаx_2[[#This Row],[Значение]])</f>
        <v>80800</v>
      </c>
      <c r="G441" s="12">
        <v>44896</v>
      </c>
      <c r="H441" s="10" t="str">
        <f>IFERROR(VLOOKUP(Таблицаx_2[[#This Row],[id]],prolongations!A:C,2,)," ")</f>
        <v>декабрь 2022</v>
      </c>
      <c r="I441" s="10">
        <f>IF(Таблицаx_2[[#This Row],[Месяц окончания]]=Таблицаx_2[[#This Row],[Месяц]],Таблицаx_2[[#This Row],[Значения числа]],0)</f>
        <v>0</v>
      </c>
      <c r="J441" s="8">
        <f>IF(AND(Таблицаx_2[[#This Row],[Месяц окончания]]=Таблицаx_2[[#This Row],[Месяц]],Таблицаx_2[[#This Row],[id]]=A442,EDATE(Таблицаx_2[[#This Row],[Месяц]],1)=D442),F442,0)</f>
        <v>0</v>
      </c>
      <c r="K441" s="8">
        <f>IF(AND(Таблицаx_2[[#This Row],[Месяц окончания]]=Таблицаx_2[[#This Row],[Месяц]],Таблицаx_2[[#This Row],[id]]=A442,EDATE(Таблицаx_2[[#This Row],[Месяц]],2)=D442),F442,0)</f>
        <v>0</v>
      </c>
    </row>
    <row r="442" spans="1:11" ht="12.75" hidden="1" customHeight="1" x14ac:dyDescent="0.2">
      <c r="A442" s="8">
        <v>583</v>
      </c>
      <c r="B442" s="8" t="s">
        <v>52</v>
      </c>
      <c r="C442" s="8" t="s">
        <v>6</v>
      </c>
      <c r="D442" s="12">
        <v>45017</v>
      </c>
      <c r="E442" s="8">
        <v>81460</v>
      </c>
      <c r="F442" s="10">
        <f>IF(ISTEXT(Таблицаx_2[[#This Row],[Значение]]), 0, Таблицаx_2[[#This Row],[Значение]])</f>
        <v>81460</v>
      </c>
      <c r="G442" s="12">
        <v>44896</v>
      </c>
      <c r="H442" s="10" t="str">
        <f>IFERROR(VLOOKUP(Таблицаx_2[[#This Row],[id]],prolongations!A:C,2,)," ")</f>
        <v>декабрь 2022</v>
      </c>
      <c r="I442" s="10">
        <f>IF(Таблицаx_2[[#This Row],[Месяц окончания]]=Таблицаx_2[[#This Row],[Месяц]],Таблицаx_2[[#This Row],[Значения числа]],0)</f>
        <v>0</v>
      </c>
      <c r="J442" s="8">
        <f>IF(AND(Таблицаx_2[[#This Row],[Месяц окончания]]=Таблицаx_2[[#This Row],[Месяц]],Таблицаx_2[[#This Row],[id]]=A443,EDATE(Таблицаx_2[[#This Row],[Месяц]],1)=D443),F443,0)</f>
        <v>0</v>
      </c>
      <c r="K442" s="8">
        <f>IF(AND(Таблицаx_2[[#This Row],[Месяц окончания]]=Таблицаx_2[[#This Row],[Месяц]],Таблицаx_2[[#This Row],[id]]=A443,EDATE(Таблицаx_2[[#This Row],[Месяц]],2)=D443),F443,0)</f>
        <v>0</v>
      </c>
    </row>
    <row r="443" spans="1:11" ht="12.75" hidden="1" customHeight="1" x14ac:dyDescent="0.2">
      <c r="A443" s="8">
        <v>583</v>
      </c>
      <c r="B443" s="8" t="s">
        <v>52</v>
      </c>
      <c r="C443" s="8" t="s">
        <v>6</v>
      </c>
      <c r="D443" s="12">
        <v>45047</v>
      </c>
      <c r="E443" s="8">
        <v>62405</v>
      </c>
      <c r="F443" s="10">
        <f>IF(ISTEXT(Таблицаx_2[[#This Row],[Значение]]), 0, Таблицаx_2[[#This Row],[Значение]])</f>
        <v>62405</v>
      </c>
      <c r="G443" s="12">
        <v>44896</v>
      </c>
      <c r="H443" s="10" t="str">
        <f>IFERROR(VLOOKUP(Таблицаx_2[[#This Row],[id]],prolongations!A:C,2,)," ")</f>
        <v>декабрь 2022</v>
      </c>
      <c r="I443" s="10">
        <f>IF(Таблицаx_2[[#This Row],[Месяц окончания]]=Таблицаx_2[[#This Row],[Месяц]],Таблицаx_2[[#This Row],[Значения числа]],0)</f>
        <v>0</v>
      </c>
      <c r="J443" s="8">
        <f>IF(AND(Таблицаx_2[[#This Row],[Месяц окончания]]=Таблицаx_2[[#This Row],[Месяц]],Таблицаx_2[[#This Row],[id]]=A444,EDATE(Таблицаx_2[[#This Row],[Месяц]],1)=D444),F444,0)</f>
        <v>0</v>
      </c>
      <c r="K443" s="8">
        <f>IF(AND(Таблицаx_2[[#This Row],[Месяц окончания]]=Таблицаx_2[[#This Row],[Месяц]],Таблицаx_2[[#This Row],[id]]=A444,EDATE(Таблицаx_2[[#This Row],[Месяц]],2)=D444),F444,0)</f>
        <v>0</v>
      </c>
    </row>
    <row r="444" spans="1:11" ht="12.75" hidden="1" customHeight="1" x14ac:dyDescent="0.2">
      <c r="A444" s="8">
        <v>585</v>
      </c>
      <c r="B444" s="8" t="s">
        <v>52</v>
      </c>
      <c r="C444" s="8" t="s">
        <v>5</v>
      </c>
      <c r="D444" s="12">
        <v>44986</v>
      </c>
      <c r="E444" s="8">
        <v>105793.24</v>
      </c>
      <c r="F444" s="10">
        <f>IF(ISTEXT(Таблицаx_2[[#This Row],[Значение]]), 0, Таблицаx_2[[#This Row],[Значение]])</f>
        <v>105793.24</v>
      </c>
      <c r="G444" s="12">
        <v>45047</v>
      </c>
      <c r="H444" s="10" t="str">
        <f>IFERROR(VLOOKUP(Таблицаx_2[[#This Row],[id]],prolongations!A:C,2,)," ")</f>
        <v>май 2023</v>
      </c>
      <c r="I444" s="10">
        <f>IF(Таблицаx_2[[#This Row],[Месяц окончания]]=Таблицаx_2[[#This Row],[Месяц]],Таблицаx_2[[#This Row],[Значения числа]],0)</f>
        <v>0</v>
      </c>
      <c r="J444" s="8">
        <f>IF(AND(Таблицаx_2[[#This Row],[Месяц окончания]]=Таблицаx_2[[#This Row],[Месяц]],Таблицаx_2[[#This Row],[id]]=A445,EDATE(Таблицаx_2[[#This Row],[Месяц]],1)=D445),F445,0)</f>
        <v>0</v>
      </c>
      <c r="K444" s="8">
        <f>IF(AND(Таблицаx_2[[#This Row],[Месяц окончания]]=Таблицаx_2[[#This Row],[Месяц]],Таблицаx_2[[#This Row],[id]]=A445,EDATE(Таблицаx_2[[#This Row],[Месяц]],2)=D445),F445,0)</f>
        <v>0</v>
      </c>
    </row>
    <row r="445" spans="1:11" ht="12.75" hidden="1" customHeight="1" x14ac:dyDescent="0.2">
      <c r="A445" s="8">
        <v>585</v>
      </c>
      <c r="B445" s="8" t="s">
        <v>52</v>
      </c>
      <c r="C445" s="8" t="s">
        <v>5</v>
      </c>
      <c r="D445" s="12">
        <v>45017</v>
      </c>
      <c r="E445" s="8">
        <v>103631.57</v>
      </c>
      <c r="F445" s="10">
        <f>IF(ISTEXT(Таблицаx_2[[#This Row],[Значение]]), 0, Таблицаx_2[[#This Row],[Значение]])</f>
        <v>103631.57</v>
      </c>
      <c r="G445" s="12">
        <v>45047</v>
      </c>
      <c r="H445" s="10" t="str">
        <f>IFERROR(VLOOKUP(Таблицаx_2[[#This Row],[id]],prolongations!A:C,2,)," ")</f>
        <v>май 2023</v>
      </c>
      <c r="I445" s="10">
        <f>IF(Таблицаx_2[[#This Row],[Месяц окончания]]=Таблицаx_2[[#This Row],[Месяц]],Таблицаx_2[[#This Row],[Значения числа]],0)</f>
        <v>0</v>
      </c>
      <c r="J445" s="8">
        <f>IF(AND(Таблицаx_2[[#This Row],[Месяц окончания]]=Таблицаx_2[[#This Row],[Месяц]],Таблицаx_2[[#This Row],[id]]=A446,EDATE(Таблицаx_2[[#This Row],[Месяц]],1)=D446),F446,0)</f>
        <v>0</v>
      </c>
      <c r="K445" s="8">
        <f>IF(AND(Таблицаx_2[[#This Row],[Месяц окончания]]=Таблицаx_2[[#This Row],[Месяц]],Таблицаx_2[[#This Row],[id]]=A446,EDATE(Таблицаx_2[[#This Row],[Месяц]],2)=D446),F446,0)</f>
        <v>0</v>
      </c>
    </row>
    <row r="446" spans="1:11" ht="12.75" hidden="1" customHeight="1" x14ac:dyDescent="0.2">
      <c r="A446" s="8">
        <v>585</v>
      </c>
      <c r="B446" s="8" t="s">
        <v>52</v>
      </c>
      <c r="C446" s="8" t="s">
        <v>5</v>
      </c>
      <c r="D446" s="12">
        <v>45047</v>
      </c>
      <c r="E446" s="8">
        <v>103860.56</v>
      </c>
      <c r="F446" s="10">
        <f>IF(ISTEXT(Таблицаx_2[[#This Row],[Значение]]), 0, Таблицаx_2[[#This Row],[Значение]])</f>
        <v>103860.56</v>
      </c>
      <c r="G446" s="12">
        <v>45047</v>
      </c>
      <c r="H446" s="10" t="str">
        <f>IFERROR(VLOOKUP(Таблицаx_2[[#This Row],[id]],prolongations!A:C,2,)," ")</f>
        <v>май 2023</v>
      </c>
      <c r="I446" s="10">
        <f>IF(Таблицаx_2[[#This Row],[Месяц окончания]]=Таблицаx_2[[#This Row],[Месяц]],Таблицаx_2[[#This Row],[Значения числа]],0)</f>
        <v>103860.56</v>
      </c>
      <c r="J446" s="8">
        <f>IF(AND(Таблицаx_2[[#This Row],[Месяц окончания]]=Таблицаx_2[[#This Row],[Месяц]],Таблицаx_2[[#This Row],[id]]=A447,EDATE(Таблицаx_2[[#This Row],[Месяц]],1)=D447),F447,0)</f>
        <v>0</v>
      </c>
      <c r="K446" s="8">
        <f>IF(AND(Таблицаx_2[[#This Row],[Месяц окончания]]=Таблицаx_2[[#This Row],[Месяц]],Таблицаx_2[[#This Row],[id]]=A447,EDATE(Таблицаx_2[[#This Row],[Месяц]],2)=D447),F447,0)</f>
        <v>0</v>
      </c>
    </row>
    <row r="447" spans="1:11" ht="12.75" hidden="1" customHeight="1" x14ac:dyDescent="0.2">
      <c r="A447" s="8">
        <v>585</v>
      </c>
      <c r="B447" s="8" t="s">
        <v>50</v>
      </c>
      <c r="C447" s="8" t="s">
        <v>5</v>
      </c>
      <c r="D447" s="12">
        <v>44986</v>
      </c>
      <c r="E447" s="8">
        <v>107365.8</v>
      </c>
      <c r="F447" s="10">
        <f>IF(ISTEXT(Таблицаx_2[[#This Row],[Значение]]), 0, Таблицаx_2[[#This Row],[Значение]])</f>
        <v>107365.8</v>
      </c>
      <c r="G447" s="12">
        <v>45047</v>
      </c>
      <c r="H447" s="10" t="str">
        <f>IFERROR(VLOOKUP(Таблицаx_2[[#This Row],[id]],prolongations!A:C,2,)," ")</f>
        <v>май 2023</v>
      </c>
      <c r="I447" s="10">
        <f>IF(Таблицаx_2[[#This Row],[Месяц окончания]]=Таблицаx_2[[#This Row],[Месяц]],Таблицаx_2[[#This Row],[Значения числа]],0)</f>
        <v>0</v>
      </c>
      <c r="J447" s="8">
        <f>IF(AND(Таблицаx_2[[#This Row],[Месяц окончания]]=Таблицаx_2[[#This Row],[Месяц]],Таблицаx_2[[#This Row],[id]]=A448,EDATE(Таблицаx_2[[#This Row],[Месяц]],1)=D448),F448,0)</f>
        <v>0</v>
      </c>
      <c r="K447" s="8">
        <f>IF(AND(Таблицаx_2[[#This Row],[Месяц окончания]]=Таблицаx_2[[#This Row],[Месяц]],Таблицаx_2[[#This Row],[id]]=A448,EDATE(Таблицаx_2[[#This Row],[Месяц]],2)=D448),F448,0)</f>
        <v>0</v>
      </c>
    </row>
    <row r="448" spans="1:11" ht="12.75" hidden="1" customHeight="1" x14ac:dyDescent="0.2">
      <c r="A448" s="8">
        <v>585</v>
      </c>
      <c r="B448" s="8" t="s">
        <v>50</v>
      </c>
      <c r="C448" s="8" t="s">
        <v>5</v>
      </c>
      <c r="D448" s="12">
        <v>45017</v>
      </c>
      <c r="E448" s="8">
        <v>92859.43</v>
      </c>
      <c r="F448" s="10">
        <f>IF(ISTEXT(Таблицаx_2[[#This Row],[Значение]]), 0, Таблицаx_2[[#This Row],[Значение]])</f>
        <v>92859.43</v>
      </c>
      <c r="G448" s="12">
        <v>45047</v>
      </c>
      <c r="H448" s="10" t="str">
        <f>IFERROR(VLOOKUP(Таблицаx_2[[#This Row],[id]],prolongations!A:C,2,)," ")</f>
        <v>май 2023</v>
      </c>
      <c r="I448" s="10">
        <f>IF(Таблицаx_2[[#This Row],[Месяц окончания]]=Таблицаx_2[[#This Row],[Месяц]],Таблицаx_2[[#This Row],[Значения числа]],0)</f>
        <v>0</v>
      </c>
      <c r="J448" s="8">
        <f>IF(AND(Таблицаx_2[[#This Row],[Месяц окончания]]=Таблицаx_2[[#This Row],[Месяц]],Таблицаx_2[[#This Row],[id]]=A449,EDATE(Таблицаx_2[[#This Row],[Месяц]],1)=D449),F449,0)</f>
        <v>0</v>
      </c>
      <c r="K448" s="8">
        <f>IF(AND(Таблицаx_2[[#This Row],[Месяц окончания]]=Таблицаx_2[[#This Row],[Месяц]],Таблицаx_2[[#This Row],[id]]=A449,EDATE(Таблицаx_2[[#This Row],[Месяц]],2)=D449),F449,0)</f>
        <v>0</v>
      </c>
    </row>
    <row r="449" spans="1:11" ht="12.75" hidden="1" customHeight="1" x14ac:dyDescent="0.2">
      <c r="A449" s="8">
        <v>585</v>
      </c>
      <c r="B449" s="8" t="s">
        <v>50</v>
      </c>
      <c r="C449" s="8" t="s">
        <v>5</v>
      </c>
      <c r="D449" s="12">
        <v>45047</v>
      </c>
      <c r="E449" s="8">
        <v>93064.62</v>
      </c>
      <c r="F449" s="10">
        <f>IF(ISTEXT(Таблицаx_2[[#This Row],[Значение]]), 0, Таблицаx_2[[#This Row],[Значение]])</f>
        <v>93064.62</v>
      </c>
      <c r="G449" s="12">
        <v>45047</v>
      </c>
      <c r="H449" s="10" t="str">
        <f>IFERROR(VLOOKUP(Таблицаx_2[[#This Row],[id]],prolongations!A:C,2,)," ")</f>
        <v>май 2023</v>
      </c>
      <c r="I449" s="10">
        <f>IF(Таблицаx_2[[#This Row],[Месяц окончания]]=Таблицаx_2[[#This Row],[Месяц]],Таблицаx_2[[#This Row],[Значения числа]],0)</f>
        <v>93064.62</v>
      </c>
      <c r="J449" s="8">
        <f>IF(AND(Таблицаx_2[[#This Row],[Месяц окончания]]=Таблицаx_2[[#This Row],[Месяц]],Таблицаx_2[[#This Row],[id]]=A450,EDATE(Таблицаx_2[[#This Row],[Месяц]],1)=D450),F450,0)</f>
        <v>0</v>
      </c>
      <c r="K449" s="8">
        <f>IF(AND(Таблицаx_2[[#This Row],[Месяц окончания]]=Таблицаx_2[[#This Row],[Месяц]],Таблицаx_2[[#This Row],[id]]=A450,EDATE(Таблицаx_2[[#This Row],[Месяц]],2)=D450),F450,0)</f>
        <v>0</v>
      </c>
    </row>
    <row r="450" spans="1:11" ht="12.75" hidden="1" customHeight="1" x14ac:dyDescent="0.2">
      <c r="A450" s="8">
        <v>15</v>
      </c>
      <c r="B450" s="8" t="s">
        <v>45</v>
      </c>
      <c r="C450" s="8" t="s">
        <v>7</v>
      </c>
      <c r="D450" s="12">
        <v>44866</v>
      </c>
      <c r="E450" s="8">
        <v>329460</v>
      </c>
      <c r="F450" s="10">
        <f>IF(ISTEXT(Таблицаx_2[[#This Row],[Значение]]), 0, Таблицаx_2[[#This Row],[Значение]])</f>
        <v>329460</v>
      </c>
      <c r="G450" s="12">
        <v>44896</v>
      </c>
      <c r="H450" s="10" t="str">
        <f>IFERROR(VLOOKUP(Таблицаx_2[[#This Row],[id]],prolongations!A:C,2,)," ")</f>
        <v>декабрь 2022</v>
      </c>
      <c r="I450" s="10">
        <f>IF(Таблицаx_2[[#This Row],[Месяц окончания]]=Таблицаx_2[[#This Row],[Месяц]],Таблицаx_2[[#This Row],[Значения числа]],0)</f>
        <v>0</v>
      </c>
      <c r="J450" s="8">
        <f>IF(AND(Таблицаx_2[[#This Row],[Месяц окончания]]=Таблицаx_2[[#This Row],[Месяц]],Таблицаx_2[[#This Row],[id]]=A451,EDATE(Таблицаx_2[[#This Row],[Месяц]],1)=D451),F451,0)</f>
        <v>0</v>
      </c>
      <c r="K450" s="8">
        <f>IF(AND(Таблицаx_2[[#This Row],[Месяц окончания]]=Таблицаx_2[[#This Row],[Месяц]],Таблицаx_2[[#This Row],[id]]=A451,EDATE(Таблицаx_2[[#This Row],[Месяц]],2)=D451),F451,0)</f>
        <v>0</v>
      </c>
    </row>
    <row r="451" spans="1:11" hidden="1" x14ac:dyDescent="0.2">
      <c r="A451" s="8">
        <v>15</v>
      </c>
      <c r="B451" s="8" t="s">
        <v>45</v>
      </c>
      <c r="C451" s="8" t="s">
        <v>7</v>
      </c>
      <c r="D451" s="12">
        <v>44896</v>
      </c>
      <c r="E451" s="8">
        <v>329460</v>
      </c>
      <c r="F451" s="10">
        <f>IF(ISTEXT(Таблицаx_2[[#This Row],[Значение]]), 0, Таблицаx_2[[#This Row],[Значение]])</f>
        <v>329460</v>
      </c>
      <c r="G451" s="12">
        <v>44896</v>
      </c>
      <c r="H451" s="10" t="str">
        <f>IFERROR(VLOOKUP(Таблицаx_2[[#This Row],[id]],prolongations!A:C,2,)," ")</f>
        <v>декабрь 2022</v>
      </c>
      <c r="I451" s="10">
        <f>IF(Таблицаx_2[[#This Row],[Месяц окончания]]=Таблицаx_2[[#This Row],[Месяц]],Таблицаx_2[[#This Row],[Значения числа]],0)</f>
        <v>329460</v>
      </c>
      <c r="J451" s="8">
        <f>IF(AND(Таблицаx_2[[#This Row],[Месяц окончания]]=Таблицаx_2[[#This Row],[Месяц]],Таблицаx_2[[#This Row],[id]]=A452,EDATE(Таблицаx_2[[#This Row],[Месяц]],1)=D452),F452,0)</f>
        <v>102433.75</v>
      </c>
      <c r="K451" s="8">
        <f>IF(AND(Таблицаx_2[[#This Row],[Месяц окончания]]=Таблицаx_2[[#This Row],[Месяц]],Таблицаx_2[[#This Row],[id]]=A452,EDATE(Таблицаx_2[[#This Row],[Месяц]],2)=D452),F452,0)</f>
        <v>0</v>
      </c>
    </row>
    <row r="452" spans="1:11" ht="12.75" hidden="1" customHeight="1" x14ac:dyDescent="0.2">
      <c r="A452" s="8">
        <v>15</v>
      </c>
      <c r="B452" s="8" t="s">
        <v>45</v>
      </c>
      <c r="C452" s="8" t="s">
        <v>7</v>
      </c>
      <c r="D452" s="12">
        <v>44927</v>
      </c>
      <c r="E452" s="8">
        <v>102433.75</v>
      </c>
      <c r="F452" s="10">
        <f>IF(ISTEXT(Таблицаx_2[[#This Row],[Значение]]), 0, Таблицаx_2[[#This Row],[Значение]])</f>
        <v>102433.75</v>
      </c>
      <c r="G452" s="12">
        <v>44896</v>
      </c>
      <c r="H452" s="10" t="str">
        <f>IFERROR(VLOOKUP(Таблицаx_2[[#This Row],[id]],prolongations!A:C,2,)," ")</f>
        <v>декабрь 2022</v>
      </c>
      <c r="I452" s="10">
        <f>IF(Таблицаx_2[[#This Row],[Месяц окончания]]=Таблицаx_2[[#This Row],[Месяц]],Таблицаx_2[[#This Row],[Значения числа]],0)</f>
        <v>0</v>
      </c>
      <c r="J452" s="8">
        <f>IF(AND(Таблицаx_2[[#This Row],[Месяц окончания]]=Таблицаx_2[[#This Row],[Месяц]],Таблицаx_2[[#This Row],[id]]=A453,EDATE(Таблицаx_2[[#This Row],[Месяц]],1)=D453),F453,0)</f>
        <v>0</v>
      </c>
      <c r="K452" s="8">
        <f>IF(AND(Таблицаx_2[[#This Row],[Месяц окончания]]=Таблицаx_2[[#This Row],[Месяц]],Таблицаx_2[[#This Row],[id]]=A453,EDATE(Таблицаx_2[[#This Row],[Месяц]],2)=D453),F453,0)</f>
        <v>0</v>
      </c>
    </row>
    <row r="453" spans="1:11" ht="12.75" hidden="1" customHeight="1" x14ac:dyDescent="0.2">
      <c r="A453" s="8">
        <v>15</v>
      </c>
      <c r="B453" s="8" t="s">
        <v>45</v>
      </c>
      <c r="C453" s="8" t="s">
        <v>7</v>
      </c>
      <c r="D453" s="12">
        <v>44958</v>
      </c>
      <c r="E453" s="8">
        <v>102433.75</v>
      </c>
      <c r="F453" s="10">
        <f>IF(ISTEXT(Таблицаx_2[[#This Row],[Значение]]), 0, Таблицаx_2[[#This Row],[Значение]])</f>
        <v>102433.75</v>
      </c>
      <c r="G453" s="12">
        <v>44896</v>
      </c>
      <c r="H453" s="10" t="str">
        <f>IFERROR(VLOOKUP(Таблицаx_2[[#This Row],[id]],prolongations!A:C,2,)," ")</f>
        <v>декабрь 2022</v>
      </c>
      <c r="I453" s="10">
        <f>IF(Таблицаx_2[[#This Row],[Месяц окончания]]=Таблицаx_2[[#This Row],[Месяц]],Таблицаx_2[[#This Row],[Значения числа]],0)</f>
        <v>0</v>
      </c>
      <c r="J453" s="8">
        <f>IF(AND(Таблицаx_2[[#This Row],[Месяц окончания]]=Таблицаx_2[[#This Row],[Месяц]],Таблицаx_2[[#This Row],[id]]=A454,EDATE(Таблицаx_2[[#This Row],[Месяц]],1)=D454),F454,0)</f>
        <v>0</v>
      </c>
      <c r="K453" s="8">
        <f>IF(AND(Таблицаx_2[[#This Row],[Месяц окончания]]=Таблицаx_2[[#This Row],[Месяц]],Таблицаx_2[[#This Row],[id]]=A454,EDATE(Таблицаx_2[[#This Row],[Месяц]],2)=D454),F454,0)</f>
        <v>0</v>
      </c>
    </row>
    <row r="454" spans="1:11" ht="12.75" hidden="1" customHeight="1" x14ac:dyDescent="0.2">
      <c r="A454" s="8">
        <v>15</v>
      </c>
      <c r="B454" s="8" t="s">
        <v>45</v>
      </c>
      <c r="C454" s="8" t="s">
        <v>7</v>
      </c>
      <c r="D454" s="12">
        <v>44986</v>
      </c>
      <c r="E454" s="8">
        <v>102433.75</v>
      </c>
      <c r="F454" s="10">
        <f>IF(ISTEXT(Таблицаx_2[[#This Row],[Значение]]), 0, Таблицаx_2[[#This Row],[Значение]])</f>
        <v>102433.75</v>
      </c>
      <c r="G454" s="12">
        <v>44896</v>
      </c>
      <c r="H454" s="10" t="str">
        <f>IFERROR(VLOOKUP(Таблицаx_2[[#This Row],[id]],prolongations!A:C,2,)," ")</f>
        <v>декабрь 2022</v>
      </c>
      <c r="I454" s="10">
        <f>IF(Таблицаx_2[[#This Row],[Месяц окончания]]=Таблицаx_2[[#This Row],[Месяц]],Таблицаx_2[[#This Row],[Значения числа]],0)</f>
        <v>0</v>
      </c>
      <c r="J454" s="8">
        <f>IF(AND(Таблицаx_2[[#This Row],[Месяц окончания]]=Таблицаx_2[[#This Row],[Месяц]],Таблицаx_2[[#This Row],[id]]=A455,EDATE(Таблицаx_2[[#This Row],[Месяц]],1)=D455),F455,0)</f>
        <v>0</v>
      </c>
      <c r="K454" s="8">
        <f>IF(AND(Таблицаx_2[[#This Row],[Месяц окончания]]=Таблицаx_2[[#This Row],[Месяц]],Таблицаx_2[[#This Row],[id]]=A455,EDATE(Таблицаx_2[[#This Row],[Месяц]],2)=D455),F455,0)</f>
        <v>0</v>
      </c>
    </row>
    <row r="455" spans="1:11" ht="12.75" hidden="1" customHeight="1" x14ac:dyDescent="0.2">
      <c r="A455" s="8">
        <v>15</v>
      </c>
      <c r="B455" s="8" t="s">
        <v>45</v>
      </c>
      <c r="C455" s="8" t="s">
        <v>7</v>
      </c>
      <c r="D455" s="12">
        <v>45017</v>
      </c>
      <c r="E455" s="8">
        <v>138158</v>
      </c>
      <c r="F455" s="10">
        <f>IF(ISTEXT(Таблицаx_2[[#This Row],[Значение]]), 0, Таблицаx_2[[#This Row],[Значение]])</f>
        <v>138158</v>
      </c>
      <c r="G455" s="12">
        <v>44896</v>
      </c>
      <c r="H455" s="10" t="str">
        <f>IFERROR(VLOOKUP(Таблицаx_2[[#This Row],[id]],prolongations!A:C,2,)," ")</f>
        <v>декабрь 2022</v>
      </c>
      <c r="I455" s="10">
        <f>IF(Таблицаx_2[[#This Row],[Месяц окончания]]=Таблицаx_2[[#This Row],[Месяц]],Таблицаx_2[[#This Row],[Значения числа]],0)</f>
        <v>0</v>
      </c>
      <c r="J455" s="8">
        <f>IF(AND(Таблицаx_2[[#This Row],[Месяц окончания]]=Таблицаx_2[[#This Row],[Месяц]],Таблицаx_2[[#This Row],[id]]=A456,EDATE(Таблицаx_2[[#This Row],[Месяц]],1)=D456),F456,0)</f>
        <v>0</v>
      </c>
      <c r="K455" s="8">
        <f>IF(AND(Таблицаx_2[[#This Row],[Месяц окончания]]=Таблицаx_2[[#This Row],[Месяц]],Таблицаx_2[[#This Row],[id]]=A456,EDATE(Таблицаx_2[[#This Row],[Месяц]],2)=D456),F456,0)</f>
        <v>0</v>
      </c>
    </row>
    <row r="456" spans="1:11" ht="12.75" hidden="1" customHeight="1" x14ac:dyDescent="0.2">
      <c r="A456" s="8">
        <v>15</v>
      </c>
      <c r="B456" s="8" t="s">
        <v>45</v>
      </c>
      <c r="C456" s="8" t="s">
        <v>7</v>
      </c>
      <c r="D456" s="12">
        <v>45047</v>
      </c>
      <c r="E456" s="8">
        <v>138158</v>
      </c>
      <c r="F456" s="10">
        <f>IF(ISTEXT(Таблицаx_2[[#This Row],[Значение]]), 0, Таблицаx_2[[#This Row],[Значение]])</f>
        <v>138158</v>
      </c>
      <c r="G456" s="12">
        <v>44896</v>
      </c>
      <c r="H456" s="10" t="str">
        <f>IFERROR(VLOOKUP(Таблицаx_2[[#This Row],[id]],prolongations!A:C,2,)," ")</f>
        <v>декабрь 2022</v>
      </c>
      <c r="I456" s="10">
        <f>IF(Таблицаx_2[[#This Row],[Месяц окончания]]=Таблицаx_2[[#This Row],[Месяц]],Таблицаx_2[[#This Row],[Значения числа]],0)</f>
        <v>0</v>
      </c>
      <c r="J456" s="8">
        <f>IF(AND(Таблицаx_2[[#This Row],[Месяц окончания]]=Таблицаx_2[[#This Row],[Месяц]],Таблицаx_2[[#This Row],[id]]=A457,EDATE(Таблицаx_2[[#This Row],[Месяц]],1)=D457),F457,0)</f>
        <v>0</v>
      </c>
      <c r="K456" s="8">
        <f>IF(AND(Таблицаx_2[[#This Row],[Месяц окончания]]=Таблицаx_2[[#This Row],[Месяц]],Таблицаx_2[[#This Row],[id]]=A457,EDATE(Таблицаx_2[[#This Row],[Месяц]],2)=D457),F457,0)</f>
        <v>0</v>
      </c>
    </row>
    <row r="457" spans="1:11" ht="12.75" hidden="1" customHeight="1" x14ac:dyDescent="0.2">
      <c r="A457" s="8">
        <v>15</v>
      </c>
      <c r="B457" s="8" t="s">
        <v>45</v>
      </c>
      <c r="C457" s="8" t="s">
        <v>7</v>
      </c>
      <c r="D457" s="12">
        <v>45078</v>
      </c>
      <c r="E457" s="8">
        <v>102433.75</v>
      </c>
      <c r="F457" s="10">
        <f>IF(ISTEXT(Таблицаx_2[[#This Row],[Значение]]), 0, Таблицаx_2[[#This Row],[Значение]])</f>
        <v>102433.75</v>
      </c>
      <c r="G457" s="12">
        <v>44896</v>
      </c>
      <c r="H457" s="10" t="str">
        <f>IFERROR(VLOOKUP(Таблицаx_2[[#This Row],[id]],prolongations!A:C,2,)," ")</f>
        <v>декабрь 2022</v>
      </c>
      <c r="I457" s="10">
        <f>IF(Таблицаx_2[[#This Row],[Месяц окончания]]=Таблицаx_2[[#This Row],[Месяц]],Таблицаx_2[[#This Row],[Значения числа]],0)</f>
        <v>0</v>
      </c>
      <c r="J457" s="8">
        <f>IF(AND(Таблицаx_2[[#This Row],[Месяц окончания]]=Таблицаx_2[[#This Row],[Месяц]],Таблицаx_2[[#This Row],[id]]=A458,EDATE(Таблицаx_2[[#This Row],[Месяц]],1)=D458),F458,0)</f>
        <v>0</v>
      </c>
      <c r="K457" s="8">
        <f>IF(AND(Таблицаx_2[[#This Row],[Месяц окончания]]=Таблицаx_2[[#This Row],[Месяц]],Таблицаx_2[[#This Row],[id]]=A458,EDATE(Таблицаx_2[[#This Row],[Месяц]],2)=D458),F458,0)</f>
        <v>0</v>
      </c>
    </row>
    <row r="458" spans="1:11" ht="12.75" hidden="1" customHeight="1" x14ac:dyDescent="0.2">
      <c r="A458" s="8">
        <v>15</v>
      </c>
      <c r="B458" s="8" t="s">
        <v>47</v>
      </c>
      <c r="C458" s="8" t="s">
        <v>7</v>
      </c>
      <c r="D458" s="12">
        <v>44866</v>
      </c>
      <c r="E458" s="8">
        <v>109820</v>
      </c>
      <c r="F458" s="10">
        <f>IF(ISTEXT(Таблицаx_2[[#This Row],[Значение]]), 0, Таблицаx_2[[#This Row],[Значение]])</f>
        <v>109820</v>
      </c>
      <c r="G458" s="12">
        <v>44896</v>
      </c>
      <c r="H458" s="10" t="str">
        <f>IFERROR(VLOOKUP(Таблицаx_2[[#This Row],[id]],prolongations!A:C,2,)," ")</f>
        <v>декабрь 2022</v>
      </c>
      <c r="I458" s="10">
        <f>IF(Таблицаx_2[[#This Row],[Месяц окончания]]=Таблицаx_2[[#This Row],[Месяц]],Таблицаx_2[[#This Row],[Значения числа]],0)</f>
        <v>0</v>
      </c>
      <c r="J458" s="8">
        <f>IF(AND(Таблицаx_2[[#This Row],[Месяц окончания]]=Таблицаx_2[[#This Row],[Месяц]],Таблицаx_2[[#This Row],[id]]=A459,EDATE(Таблицаx_2[[#This Row],[Месяц]],1)=D459),F459,0)</f>
        <v>0</v>
      </c>
      <c r="K458" s="8">
        <f>IF(AND(Таблицаx_2[[#This Row],[Месяц окончания]]=Таблицаx_2[[#This Row],[Месяц]],Таблицаx_2[[#This Row],[id]]=A459,EDATE(Таблицаx_2[[#This Row],[Месяц]],2)=D459),F459,0)</f>
        <v>0</v>
      </c>
    </row>
    <row r="459" spans="1:11" hidden="1" x14ac:dyDescent="0.2">
      <c r="A459" s="8">
        <v>15</v>
      </c>
      <c r="B459" s="8" t="s">
        <v>47</v>
      </c>
      <c r="C459" s="8" t="s">
        <v>7</v>
      </c>
      <c r="D459" s="12">
        <v>44896</v>
      </c>
      <c r="E459" s="8">
        <v>109820</v>
      </c>
      <c r="F459" s="10">
        <f>IF(ISTEXT(Таблицаx_2[[#This Row],[Значение]]), 0, Таблицаx_2[[#This Row],[Значение]])</f>
        <v>109820</v>
      </c>
      <c r="G459" s="12">
        <v>44896</v>
      </c>
      <c r="H459" s="10" t="str">
        <f>IFERROR(VLOOKUP(Таблицаx_2[[#This Row],[id]],prolongations!A:C,2,)," ")</f>
        <v>декабрь 2022</v>
      </c>
      <c r="I459" s="10">
        <f>IF(Таблицаx_2[[#This Row],[Месяц окончания]]=Таблицаx_2[[#This Row],[Месяц]],Таблицаx_2[[#This Row],[Значения числа]],0)</f>
        <v>109820</v>
      </c>
      <c r="J459" s="8">
        <f>IF(AND(Таблицаx_2[[#This Row],[Месяц окончания]]=Таблицаx_2[[#This Row],[Месяц]],Таблицаx_2[[#This Row],[id]]=A460,EDATE(Таблицаx_2[[#This Row],[Месяц]],1)=D460),F460,0)</f>
        <v>0</v>
      </c>
      <c r="K459" s="8">
        <f>IF(AND(Таблицаx_2[[#This Row],[Месяц окончания]]=Таблицаx_2[[#This Row],[Месяц]],Таблицаx_2[[#This Row],[id]]=A460,EDATE(Таблицаx_2[[#This Row],[Месяц]],2)=D460),F460,0)</f>
        <v>0</v>
      </c>
    </row>
    <row r="460" spans="1:11" ht="12.75" hidden="1" customHeight="1" x14ac:dyDescent="0.2">
      <c r="A460" s="8">
        <v>832</v>
      </c>
      <c r="B460" s="8" t="s">
        <v>52</v>
      </c>
      <c r="C460" s="8" t="s">
        <v>4</v>
      </c>
      <c r="D460" s="12">
        <v>45017</v>
      </c>
      <c r="E460" s="8">
        <v>60072.1</v>
      </c>
      <c r="F460" s="10">
        <f>IF(ISTEXT(Таблицаx_2[[#This Row],[Значение]]), 0, Таблицаx_2[[#This Row],[Значение]])</f>
        <v>60072.1</v>
      </c>
      <c r="G460" s="12">
        <v>45078</v>
      </c>
      <c r="H460" s="10" t="str">
        <f>IFERROR(VLOOKUP(Таблицаx_2[[#This Row],[id]],prolongations!A:C,2,)," ")</f>
        <v>июнь 2023</v>
      </c>
      <c r="I460" s="10">
        <f>IF(Таблицаx_2[[#This Row],[Месяц окончания]]=Таблицаx_2[[#This Row],[Месяц]],Таблицаx_2[[#This Row],[Значения числа]],0)</f>
        <v>0</v>
      </c>
      <c r="J460" s="8">
        <f>IF(AND(Таблицаx_2[[#This Row],[Месяц окончания]]=Таблицаx_2[[#This Row],[Месяц]],Таблицаx_2[[#This Row],[id]]=A461,EDATE(Таблицаx_2[[#This Row],[Месяц]],1)=D461),F461,0)</f>
        <v>0</v>
      </c>
      <c r="K460" s="8">
        <f>IF(AND(Таблицаx_2[[#This Row],[Месяц окончания]]=Таблицаx_2[[#This Row],[Месяц]],Таблицаx_2[[#This Row],[id]]=A461,EDATE(Таблицаx_2[[#This Row],[Месяц]],2)=D461),F461,0)</f>
        <v>0</v>
      </c>
    </row>
    <row r="461" spans="1:11" ht="12.75" hidden="1" customHeight="1" x14ac:dyDescent="0.2">
      <c r="A461" s="8">
        <v>832</v>
      </c>
      <c r="B461" s="8" t="s">
        <v>52</v>
      </c>
      <c r="C461" s="8" t="s">
        <v>4</v>
      </c>
      <c r="D461" s="12">
        <v>45047</v>
      </c>
      <c r="E461" s="8">
        <v>61187.6</v>
      </c>
      <c r="F461" s="10">
        <f>IF(ISTEXT(Таблицаx_2[[#This Row],[Значение]]), 0, Таблицаx_2[[#This Row],[Значение]])</f>
        <v>61187.6</v>
      </c>
      <c r="G461" s="12">
        <v>45078</v>
      </c>
      <c r="H461" s="10" t="str">
        <f>IFERROR(VLOOKUP(Таблицаx_2[[#This Row],[id]],prolongations!A:C,2,)," ")</f>
        <v>июнь 2023</v>
      </c>
      <c r="I461" s="10">
        <f>IF(Таблицаx_2[[#This Row],[Месяц окончания]]=Таблицаx_2[[#This Row],[Месяц]],Таблицаx_2[[#This Row],[Значения числа]],0)</f>
        <v>0</v>
      </c>
      <c r="J461" s="8">
        <f>IF(AND(Таблицаx_2[[#This Row],[Месяц окончания]]=Таблицаx_2[[#This Row],[Месяц]],Таблицаx_2[[#This Row],[id]]=A462,EDATE(Таблицаx_2[[#This Row],[Месяц]],1)=D462),F462,0)</f>
        <v>0</v>
      </c>
      <c r="K461" s="8">
        <f>IF(AND(Таблицаx_2[[#This Row],[Месяц окончания]]=Таблицаx_2[[#This Row],[Месяц]],Таблицаx_2[[#This Row],[id]]=A462,EDATE(Таблицаx_2[[#This Row],[Месяц]],2)=D462),F462,0)</f>
        <v>0</v>
      </c>
    </row>
    <row r="462" spans="1:11" ht="12.75" hidden="1" customHeight="1" x14ac:dyDescent="0.2">
      <c r="A462" s="8">
        <v>832</v>
      </c>
      <c r="B462" s="8" t="s">
        <v>52</v>
      </c>
      <c r="C462" s="8" t="s">
        <v>4</v>
      </c>
      <c r="D462" s="12">
        <v>45078</v>
      </c>
      <c r="E462" s="8">
        <v>91257.600000000006</v>
      </c>
      <c r="F462" s="10">
        <f>IF(ISTEXT(Таблицаx_2[[#This Row],[Значение]]), 0, Таблицаx_2[[#This Row],[Значение]])</f>
        <v>91257.600000000006</v>
      </c>
      <c r="G462" s="12">
        <v>45078</v>
      </c>
      <c r="H462" s="10" t="str">
        <f>IFERROR(VLOOKUP(Таблицаx_2[[#This Row],[id]],prolongations!A:C,2,)," ")</f>
        <v>июнь 2023</v>
      </c>
      <c r="I462" s="10">
        <f>IF(Таблицаx_2[[#This Row],[Месяц окончания]]=Таблицаx_2[[#This Row],[Месяц]],Таблицаx_2[[#This Row],[Значения числа]],0)</f>
        <v>91257.600000000006</v>
      </c>
      <c r="J462" s="8">
        <f>IF(AND(Таблицаx_2[[#This Row],[Месяц окончания]]=Таблицаx_2[[#This Row],[Месяц]],Таблицаx_2[[#This Row],[id]]=A463,EDATE(Таблицаx_2[[#This Row],[Месяц]],1)=D463),F463,0)</f>
        <v>0</v>
      </c>
      <c r="K462" s="8">
        <f>IF(AND(Таблицаx_2[[#This Row],[Месяц окончания]]=Таблицаx_2[[#This Row],[Месяц]],Таблицаx_2[[#This Row],[id]]=A463,EDATE(Таблицаx_2[[#This Row],[Месяц]],2)=D463),F463,0)</f>
        <v>0</v>
      </c>
    </row>
    <row r="463" spans="1:11" ht="12.75" hidden="1" customHeight="1" x14ac:dyDescent="0.2">
      <c r="A463" s="8">
        <v>55</v>
      </c>
      <c r="B463" s="8"/>
      <c r="C463" s="8" t="s">
        <v>7</v>
      </c>
      <c r="D463" s="12">
        <v>44986</v>
      </c>
      <c r="E463" s="8">
        <v>43173</v>
      </c>
      <c r="F463" s="10">
        <f>IF(ISTEXT(Таблицаx_2[[#This Row],[Значение]]), 0, Таблицаx_2[[#This Row],[Значение]])</f>
        <v>43173</v>
      </c>
      <c r="G463" s="12">
        <v>45078</v>
      </c>
      <c r="H463" s="10" t="str">
        <f>IFERROR(VLOOKUP(Таблицаx_2[[#This Row],[id]],prolongations!A:C,2,)," ")</f>
        <v>июнь 2023</v>
      </c>
      <c r="I463" s="10">
        <f>IF(Таблицаx_2[[#This Row],[Месяц окончания]]=Таблицаx_2[[#This Row],[Месяц]],Таблицаx_2[[#This Row],[Значения числа]],0)</f>
        <v>0</v>
      </c>
      <c r="J463" s="8">
        <f>IF(AND(Таблицаx_2[[#This Row],[Месяц окончания]]=Таблицаx_2[[#This Row],[Месяц]],Таблицаx_2[[#This Row],[id]]=A464,EDATE(Таблицаx_2[[#This Row],[Месяц]],1)=D464),F464,0)</f>
        <v>0</v>
      </c>
      <c r="K463" s="8">
        <f>IF(AND(Таблицаx_2[[#This Row],[Месяц окончания]]=Таблицаx_2[[#This Row],[Месяц]],Таблицаx_2[[#This Row],[id]]=A464,EDATE(Таблицаx_2[[#This Row],[Месяц]],2)=D464),F464,0)</f>
        <v>0</v>
      </c>
    </row>
    <row r="464" spans="1:11" ht="12.75" hidden="1" customHeight="1" x14ac:dyDescent="0.2">
      <c r="A464" s="8">
        <v>55</v>
      </c>
      <c r="B464" s="8"/>
      <c r="C464" s="8" t="s">
        <v>7</v>
      </c>
      <c r="D464" s="12">
        <v>45017</v>
      </c>
      <c r="E464" s="8">
        <v>41364</v>
      </c>
      <c r="F464" s="10">
        <f>IF(ISTEXT(Таблицаx_2[[#This Row],[Значение]]), 0, Таблицаx_2[[#This Row],[Значение]])</f>
        <v>41364</v>
      </c>
      <c r="G464" s="12">
        <v>45078</v>
      </c>
      <c r="H464" s="10" t="str">
        <f>IFERROR(VLOOKUP(Таблицаx_2[[#This Row],[id]],prolongations!A:C,2,)," ")</f>
        <v>июнь 2023</v>
      </c>
      <c r="I464" s="10">
        <f>IF(Таблицаx_2[[#This Row],[Месяц окончания]]=Таблицаx_2[[#This Row],[Месяц]],Таблицаx_2[[#This Row],[Значения числа]],0)</f>
        <v>0</v>
      </c>
      <c r="J464" s="8">
        <f>IF(AND(Таблицаx_2[[#This Row],[Месяц окончания]]=Таблицаx_2[[#This Row],[Месяц]],Таблицаx_2[[#This Row],[id]]=A465,EDATE(Таблицаx_2[[#This Row],[Месяц]],1)=D465),F465,0)</f>
        <v>0</v>
      </c>
      <c r="K464" s="8">
        <f>IF(AND(Таблицаx_2[[#This Row],[Месяц окончания]]=Таблицаx_2[[#This Row],[Месяц]],Таблицаx_2[[#This Row],[id]]=A465,EDATE(Таблицаx_2[[#This Row],[Месяц]],2)=D465),F465,0)</f>
        <v>0</v>
      </c>
    </row>
    <row r="465" spans="1:11" ht="12.75" hidden="1" customHeight="1" x14ac:dyDescent="0.2">
      <c r="A465" s="8">
        <v>55</v>
      </c>
      <c r="B465" s="8"/>
      <c r="C465" s="8" t="s">
        <v>7</v>
      </c>
      <c r="D465" s="12">
        <v>45047</v>
      </c>
      <c r="E465" s="8">
        <v>44257.5</v>
      </c>
      <c r="F465" s="10">
        <f>IF(ISTEXT(Таблицаx_2[[#This Row],[Значение]]), 0, Таблицаx_2[[#This Row],[Значение]])</f>
        <v>44257.5</v>
      </c>
      <c r="G465" s="12">
        <v>45078</v>
      </c>
      <c r="H465" s="10" t="str">
        <f>IFERROR(VLOOKUP(Таблицаx_2[[#This Row],[id]],prolongations!A:C,2,)," ")</f>
        <v>июнь 2023</v>
      </c>
      <c r="I465" s="10">
        <f>IF(Таблицаx_2[[#This Row],[Месяц окончания]]=Таблицаx_2[[#This Row],[Месяц]],Таблицаx_2[[#This Row],[Значения числа]],0)</f>
        <v>0</v>
      </c>
      <c r="J465" s="8">
        <f>IF(AND(Таблицаx_2[[#This Row],[Месяц окончания]]=Таблицаx_2[[#This Row],[Месяц]],Таблицаx_2[[#This Row],[id]]=A466,EDATE(Таблицаx_2[[#This Row],[Месяц]],1)=D466),F466,0)</f>
        <v>0</v>
      </c>
      <c r="K465" s="8">
        <f>IF(AND(Таблицаx_2[[#This Row],[Месяц окончания]]=Таблицаx_2[[#This Row],[Месяц]],Таблицаx_2[[#This Row],[id]]=A466,EDATE(Таблицаx_2[[#This Row],[Месяц]],2)=D466),F466,0)</f>
        <v>0</v>
      </c>
    </row>
    <row r="466" spans="1:11" ht="12.75" hidden="1" customHeight="1" x14ac:dyDescent="0.2">
      <c r="A466" s="8">
        <v>55</v>
      </c>
      <c r="B466" s="8"/>
      <c r="C466" s="8" t="s">
        <v>7</v>
      </c>
      <c r="D466" s="12">
        <v>45078</v>
      </c>
      <c r="E466" s="8">
        <v>45868.5</v>
      </c>
      <c r="F466" s="10">
        <f>IF(ISTEXT(Таблицаx_2[[#This Row],[Значение]]), 0, Таблицаx_2[[#This Row],[Значение]])</f>
        <v>45868.5</v>
      </c>
      <c r="G466" s="12">
        <v>45078</v>
      </c>
      <c r="H466" s="10" t="str">
        <f>IFERROR(VLOOKUP(Таблицаx_2[[#This Row],[id]],prolongations!A:C,2,)," ")</f>
        <v>июнь 2023</v>
      </c>
      <c r="I466" s="10">
        <f>IF(Таблицаx_2[[#This Row],[Месяц окончания]]=Таблицаx_2[[#This Row],[Месяц]],Таблицаx_2[[#This Row],[Значения числа]],0)</f>
        <v>45868.5</v>
      </c>
      <c r="J466" s="8">
        <f>IF(AND(Таблицаx_2[[#This Row],[Месяц окончания]]=Таблицаx_2[[#This Row],[Месяц]],Таблицаx_2[[#This Row],[id]]=A467,EDATE(Таблицаx_2[[#This Row],[Месяц]],1)=D467),F467,0)</f>
        <v>0</v>
      </c>
      <c r="K466" s="8">
        <f>IF(AND(Таблицаx_2[[#This Row],[Месяц окончания]]=Таблицаx_2[[#This Row],[Месяц]],Таблицаx_2[[#This Row],[id]]=A467,EDATE(Таблицаx_2[[#This Row],[Месяц]],2)=D467),F467,0)</f>
        <v>0</v>
      </c>
    </row>
    <row r="467" spans="1:11" ht="12.75" hidden="1" customHeight="1" x14ac:dyDescent="0.2">
      <c r="A467" s="8">
        <v>441</v>
      </c>
      <c r="B467" s="8" t="s">
        <v>47</v>
      </c>
      <c r="C467" s="8" t="s">
        <v>4</v>
      </c>
      <c r="D467" s="12">
        <v>44866</v>
      </c>
      <c r="E467" s="8">
        <v>94000</v>
      </c>
      <c r="F467" s="10">
        <f>IF(ISTEXT(Таблицаx_2[[#This Row],[Значение]]), 0, Таблицаx_2[[#This Row],[Значение]])</f>
        <v>94000</v>
      </c>
      <c r="G467" s="12">
        <v>44896</v>
      </c>
      <c r="H467" s="10" t="str">
        <f>IFERROR(VLOOKUP(Таблицаx_2[[#This Row],[id]],prolongations!A:C,2,)," ")</f>
        <v>декабрь 2022</v>
      </c>
      <c r="I467" s="10">
        <f>IF(Таблицаx_2[[#This Row],[Месяц окончания]]=Таблицаx_2[[#This Row],[Месяц]],Таблицаx_2[[#This Row],[Значения числа]],0)</f>
        <v>0</v>
      </c>
      <c r="J467" s="8">
        <f>IF(AND(Таблицаx_2[[#This Row],[Месяц окончания]]=Таблицаx_2[[#This Row],[Месяц]],Таблицаx_2[[#This Row],[id]]=A468,EDATE(Таблицаx_2[[#This Row],[Месяц]],1)=D468),F468,0)</f>
        <v>0</v>
      </c>
      <c r="K467" s="8">
        <f>IF(AND(Таблицаx_2[[#This Row],[Месяц окончания]]=Таблицаx_2[[#This Row],[Месяц]],Таблицаx_2[[#This Row],[id]]=A468,EDATE(Таблицаx_2[[#This Row],[Месяц]],2)=D468),F468,0)</f>
        <v>0</v>
      </c>
    </row>
    <row r="468" spans="1:11" hidden="1" x14ac:dyDescent="0.2">
      <c r="A468" s="8">
        <v>441</v>
      </c>
      <c r="B468" s="8" t="s">
        <v>47</v>
      </c>
      <c r="C468" s="8" t="s">
        <v>4</v>
      </c>
      <c r="D468" s="12">
        <v>44896</v>
      </c>
      <c r="E468" s="8">
        <v>83400</v>
      </c>
      <c r="F468" s="10">
        <f>IF(ISTEXT(Таблицаx_2[[#This Row],[Значение]]), 0, Таблицаx_2[[#This Row],[Значение]])</f>
        <v>83400</v>
      </c>
      <c r="G468" s="12">
        <v>44896</v>
      </c>
      <c r="H468" s="10" t="str">
        <f>IFERROR(VLOOKUP(Таблицаx_2[[#This Row],[id]],prolongations!A:C,2,)," ")</f>
        <v>декабрь 2022</v>
      </c>
      <c r="I468" s="10">
        <f>IF(Таблицаx_2[[#This Row],[Месяц окончания]]=Таблицаx_2[[#This Row],[Месяц]],Таблицаx_2[[#This Row],[Значения числа]],0)</f>
        <v>83400</v>
      </c>
      <c r="J468" s="8">
        <f>IF(AND(Таблицаx_2[[#This Row],[Месяц окончания]]=Таблицаx_2[[#This Row],[Месяц]],Таблицаx_2[[#This Row],[id]]=A469,EDATE(Таблицаx_2[[#This Row],[Месяц]],1)=D469),F469,0)</f>
        <v>79820</v>
      </c>
      <c r="K468" s="8">
        <f>IF(AND(Таблицаx_2[[#This Row],[Месяц окончания]]=Таблицаx_2[[#This Row],[Месяц]],Таблицаx_2[[#This Row],[id]]=A469,EDATE(Таблицаx_2[[#This Row],[Месяц]],2)=D469),F469,0)</f>
        <v>0</v>
      </c>
    </row>
    <row r="469" spans="1:11" ht="12.75" hidden="1" customHeight="1" x14ac:dyDescent="0.2">
      <c r="A469" s="8">
        <v>441</v>
      </c>
      <c r="B469" s="8" t="s">
        <v>47</v>
      </c>
      <c r="C469" s="8" t="s">
        <v>4</v>
      </c>
      <c r="D469" s="12">
        <v>44927</v>
      </c>
      <c r="E469" s="8">
        <v>79820</v>
      </c>
      <c r="F469" s="10">
        <f>IF(ISTEXT(Таблицаx_2[[#This Row],[Значение]]), 0, Таблицаx_2[[#This Row],[Значение]])</f>
        <v>79820</v>
      </c>
      <c r="G469" s="12">
        <v>44896</v>
      </c>
      <c r="H469" s="10" t="str">
        <f>IFERROR(VLOOKUP(Таблицаx_2[[#This Row],[id]],prolongations!A:C,2,)," ")</f>
        <v>декабрь 2022</v>
      </c>
      <c r="I469" s="10">
        <f>IF(Таблицаx_2[[#This Row],[Месяц окончания]]=Таблицаx_2[[#This Row],[Месяц]],Таблицаx_2[[#This Row],[Значения числа]],0)</f>
        <v>0</v>
      </c>
      <c r="J469" s="8">
        <f>IF(AND(Таблицаx_2[[#This Row],[Месяц окончания]]=Таблицаx_2[[#This Row],[Месяц]],Таблицаx_2[[#This Row],[id]]=A470,EDATE(Таблицаx_2[[#This Row],[Месяц]],1)=D470),F470,0)</f>
        <v>0</v>
      </c>
      <c r="K469" s="8">
        <f>IF(AND(Таблицаx_2[[#This Row],[Месяц окончания]]=Таблицаx_2[[#This Row],[Месяц]],Таблицаx_2[[#This Row],[id]]=A470,EDATE(Таблицаx_2[[#This Row],[Месяц]],2)=D470),F470,0)</f>
        <v>0</v>
      </c>
    </row>
    <row r="470" spans="1:11" ht="12.75" hidden="1" customHeight="1" x14ac:dyDescent="0.2">
      <c r="A470" s="8">
        <v>441</v>
      </c>
      <c r="B470" s="8" t="s">
        <v>47</v>
      </c>
      <c r="C470" s="8" t="s">
        <v>4</v>
      </c>
      <c r="D470" s="12">
        <v>44958</v>
      </c>
      <c r="E470" s="8">
        <v>87680</v>
      </c>
      <c r="F470" s="10">
        <f>IF(ISTEXT(Таблицаx_2[[#This Row],[Значение]]), 0, Таблицаx_2[[#This Row],[Значение]])</f>
        <v>87680</v>
      </c>
      <c r="G470" s="12">
        <v>44896</v>
      </c>
      <c r="H470" s="10" t="str">
        <f>IFERROR(VLOOKUP(Таблицаx_2[[#This Row],[id]],prolongations!A:C,2,)," ")</f>
        <v>декабрь 2022</v>
      </c>
      <c r="I470" s="10">
        <f>IF(Таблицаx_2[[#This Row],[Месяц окончания]]=Таблицаx_2[[#This Row],[Месяц]],Таблицаx_2[[#This Row],[Значения числа]],0)</f>
        <v>0</v>
      </c>
      <c r="J470" s="8">
        <f>IF(AND(Таблицаx_2[[#This Row],[Месяц окончания]]=Таблицаx_2[[#This Row],[Месяц]],Таблицаx_2[[#This Row],[id]]=A471,EDATE(Таблицаx_2[[#This Row],[Месяц]],1)=D471),F471,0)</f>
        <v>0</v>
      </c>
      <c r="K470" s="8">
        <f>IF(AND(Таблицаx_2[[#This Row],[Месяц окончания]]=Таблицаx_2[[#This Row],[Месяц]],Таблицаx_2[[#This Row],[id]]=A471,EDATE(Таблицаx_2[[#This Row],[Месяц]],2)=D471),F471,0)</f>
        <v>0</v>
      </c>
    </row>
    <row r="471" spans="1:11" ht="12.75" hidden="1" customHeight="1" x14ac:dyDescent="0.2">
      <c r="A471" s="8">
        <v>441</v>
      </c>
      <c r="B471" s="8" t="s">
        <v>47</v>
      </c>
      <c r="C471" s="8" t="s">
        <v>4</v>
      </c>
      <c r="D471" s="12">
        <v>44986</v>
      </c>
      <c r="E471" s="8">
        <v>82100</v>
      </c>
      <c r="F471" s="10">
        <f>IF(ISTEXT(Таблицаx_2[[#This Row],[Значение]]), 0, Таблицаx_2[[#This Row],[Значение]])</f>
        <v>82100</v>
      </c>
      <c r="G471" s="12">
        <v>44896</v>
      </c>
      <c r="H471" s="10" t="str">
        <f>IFERROR(VLOOKUP(Таблицаx_2[[#This Row],[id]],prolongations!A:C,2,)," ")</f>
        <v>декабрь 2022</v>
      </c>
      <c r="I471" s="10">
        <f>IF(Таблицаx_2[[#This Row],[Месяц окончания]]=Таблицаx_2[[#This Row],[Месяц]],Таблицаx_2[[#This Row],[Значения числа]],0)</f>
        <v>0</v>
      </c>
      <c r="J471" s="8">
        <f>IF(AND(Таблицаx_2[[#This Row],[Месяц окончания]]=Таблицаx_2[[#This Row],[Месяц]],Таблицаx_2[[#This Row],[id]]=A472,EDATE(Таблицаx_2[[#This Row],[Месяц]],1)=D472),F472,0)</f>
        <v>0</v>
      </c>
      <c r="K471" s="8">
        <f>IF(AND(Таблицаx_2[[#This Row],[Месяц окончания]]=Таблицаx_2[[#This Row],[Месяц]],Таблицаx_2[[#This Row],[id]]=A472,EDATE(Таблицаx_2[[#This Row],[Месяц]],2)=D472),F472,0)</f>
        <v>0</v>
      </c>
    </row>
    <row r="472" spans="1:11" ht="12.75" hidden="1" customHeight="1" x14ac:dyDescent="0.2">
      <c r="A472" s="8">
        <v>441</v>
      </c>
      <c r="B472" s="8" t="s">
        <v>47</v>
      </c>
      <c r="C472" s="8" t="s">
        <v>4</v>
      </c>
      <c r="D472" s="12">
        <v>45017</v>
      </c>
      <c r="E472" s="8">
        <v>84100</v>
      </c>
      <c r="F472" s="10">
        <f>IF(ISTEXT(Таблицаx_2[[#This Row],[Значение]]), 0, Таблицаx_2[[#This Row],[Значение]])</f>
        <v>84100</v>
      </c>
      <c r="G472" s="12">
        <v>44896</v>
      </c>
      <c r="H472" s="10" t="str">
        <f>IFERROR(VLOOKUP(Таблицаx_2[[#This Row],[id]],prolongations!A:C,2,)," ")</f>
        <v>декабрь 2022</v>
      </c>
      <c r="I472" s="10">
        <f>IF(Таблицаx_2[[#This Row],[Месяц окончания]]=Таблицаx_2[[#This Row],[Месяц]],Таблицаx_2[[#This Row],[Значения числа]],0)</f>
        <v>0</v>
      </c>
      <c r="J472" s="8">
        <f>IF(AND(Таблицаx_2[[#This Row],[Месяц окончания]]=Таблицаx_2[[#This Row],[Месяц]],Таблицаx_2[[#This Row],[id]]=A473,EDATE(Таблицаx_2[[#This Row],[Месяц]],1)=D473),F473,0)</f>
        <v>0</v>
      </c>
      <c r="K472" s="8">
        <f>IF(AND(Таблицаx_2[[#This Row],[Месяц окончания]]=Таблицаx_2[[#This Row],[Месяц]],Таблицаx_2[[#This Row],[id]]=A473,EDATE(Таблицаx_2[[#This Row],[Месяц]],2)=D473),F473,0)</f>
        <v>0</v>
      </c>
    </row>
    <row r="473" spans="1:11" ht="12.75" hidden="1" customHeight="1" x14ac:dyDescent="0.2">
      <c r="A473" s="8">
        <v>441</v>
      </c>
      <c r="B473" s="8" t="s">
        <v>47</v>
      </c>
      <c r="C473" s="8" t="s">
        <v>4</v>
      </c>
      <c r="D473" s="12">
        <v>45047</v>
      </c>
      <c r="E473" s="8">
        <v>84100</v>
      </c>
      <c r="F473" s="10">
        <f>IF(ISTEXT(Таблицаx_2[[#This Row],[Значение]]), 0, Таблицаx_2[[#This Row],[Значение]])</f>
        <v>84100</v>
      </c>
      <c r="G473" s="12">
        <v>44896</v>
      </c>
      <c r="H473" s="10" t="str">
        <f>IFERROR(VLOOKUP(Таблицаx_2[[#This Row],[id]],prolongations!A:C,2,)," ")</f>
        <v>декабрь 2022</v>
      </c>
      <c r="I473" s="10">
        <f>IF(Таблицаx_2[[#This Row],[Месяц окончания]]=Таблицаx_2[[#This Row],[Месяц]],Таблицаx_2[[#This Row],[Значения числа]],0)</f>
        <v>0</v>
      </c>
      <c r="J473" s="8">
        <f>IF(AND(Таблицаx_2[[#This Row],[Месяц окончания]]=Таблицаx_2[[#This Row],[Месяц]],Таблицаx_2[[#This Row],[id]]=A474,EDATE(Таблицаx_2[[#This Row],[Месяц]],1)=D474),F474,0)</f>
        <v>0</v>
      </c>
      <c r="K473" s="8">
        <f>IF(AND(Таблицаx_2[[#This Row],[Месяц окончания]]=Таблицаx_2[[#This Row],[Месяц]],Таблицаx_2[[#This Row],[id]]=A474,EDATE(Таблицаx_2[[#This Row],[Месяц]],2)=D474),F474,0)</f>
        <v>0</v>
      </c>
    </row>
    <row r="474" spans="1:11" ht="12.75" hidden="1" customHeight="1" x14ac:dyDescent="0.2">
      <c r="A474" s="8">
        <v>441</v>
      </c>
      <c r="B474" s="8" t="s">
        <v>47</v>
      </c>
      <c r="C474" s="8" t="s">
        <v>4</v>
      </c>
      <c r="D474" s="12">
        <v>45078</v>
      </c>
      <c r="E474" s="8">
        <v>74360</v>
      </c>
      <c r="F474" s="10">
        <f>IF(ISTEXT(Таблицаx_2[[#This Row],[Значение]]), 0, Таблицаx_2[[#This Row],[Значение]])</f>
        <v>74360</v>
      </c>
      <c r="G474" s="12">
        <v>44896</v>
      </c>
      <c r="H474" s="10" t="str">
        <f>IFERROR(VLOOKUP(Таблицаx_2[[#This Row],[id]],prolongations!A:C,2,)," ")</f>
        <v>декабрь 2022</v>
      </c>
      <c r="I474" s="10">
        <f>IF(Таблицаx_2[[#This Row],[Месяц окончания]]=Таблицаx_2[[#This Row],[Месяц]],Таблицаx_2[[#This Row],[Значения числа]],0)</f>
        <v>0</v>
      </c>
      <c r="J474" s="8">
        <f>IF(AND(Таблицаx_2[[#This Row],[Месяц окончания]]=Таблицаx_2[[#This Row],[Месяц]],Таблицаx_2[[#This Row],[id]]=A475,EDATE(Таблицаx_2[[#This Row],[Месяц]],1)=D475),F475,0)</f>
        <v>0</v>
      </c>
      <c r="K474" s="8">
        <f>IF(AND(Таблицаx_2[[#This Row],[Месяц окончания]]=Таблицаx_2[[#This Row],[Месяц]],Таблицаx_2[[#This Row],[id]]=A475,EDATE(Таблицаx_2[[#This Row],[Месяц]],2)=D475),F475,0)</f>
        <v>0</v>
      </c>
    </row>
    <row r="475" spans="1:11" ht="12.75" hidden="1" customHeight="1" x14ac:dyDescent="0.2">
      <c r="A475" s="8">
        <v>847</v>
      </c>
      <c r="B475" s="8" t="s">
        <v>52</v>
      </c>
      <c r="C475" s="8" t="s">
        <v>8</v>
      </c>
      <c r="D475" s="12">
        <v>45017</v>
      </c>
      <c r="E475" s="8">
        <v>192000</v>
      </c>
      <c r="F475" s="10">
        <f>IF(ISTEXT(Таблицаx_2[[#This Row],[Значение]]), 0, Таблицаx_2[[#This Row],[Значение]])</f>
        <v>192000</v>
      </c>
      <c r="G475" s="12">
        <v>45078</v>
      </c>
      <c r="H475" s="10" t="str">
        <f>IFERROR(VLOOKUP(Таблицаx_2[[#This Row],[id]],prolongations!A:C,2,)," ")</f>
        <v>июнь 2023</v>
      </c>
      <c r="I475" s="10">
        <f>IF(Таблицаx_2[[#This Row],[Месяц окончания]]=Таблицаx_2[[#This Row],[Месяц]],Таблицаx_2[[#This Row],[Значения числа]],0)</f>
        <v>0</v>
      </c>
      <c r="J475" s="8">
        <f>IF(AND(Таблицаx_2[[#This Row],[Месяц окончания]]=Таблицаx_2[[#This Row],[Месяц]],Таблицаx_2[[#This Row],[id]]=A476,EDATE(Таблицаx_2[[#This Row],[Месяц]],1)=D476),F476,0)</f>
        <v>0</v>
      </c>
      <c r="K475" s="8">
        <f>IF(AND(Таблицаx_2[[#This Row],[Месяц окончания]]=Таблицаx_2[[#This Row],[Месяц]],Таблицаx_2[[#This Row],[id]]=A476,EDATE(Таблицаx_2[[#This Row],[Месяц]],2)=D476),F476,0)</f>
        <v>0</v>
      </c>
    </row>
    <row r="476" spans="1:11" ht="12.75" hidden="1" customHeight="1" x14ac:dyDescent="0.2">
      <c r="A476" s="8">
        <v>847</v>
      </c>
      <c r="B476" s="8" t="s">
        <v>52</v>
      </c>
      <c r="C476" s="8" t="s">
        <v>8</v>
      </c>
      <c r="D476" s="12">
        <v>45047</v>
      </c>
      <c r="E476" s="8">
        <v>180000</v>
      </c>
      <c r="F476" s="10">
        <f>IF(ISTEXT(Таблицаx_2[[#This Row],[Значение]]), 0, Таблицаx_2[[#This Row],[Значение]])</f>
        <v>180000</v>
      </c>
      <c r="G476" s="12">
        <v>45078</v>
      </c>
      <c r="H476" s="10" t="str">
        <f>IFERROR(VLOOKUP(Таблицаx_2[[#This Row],[id]],prolongations!A:C,2,)," ")</f>
        <v>июнь 2023</v>
      </c>
      <c r="I476" s="10">
        <f>IF(Таблицаx_2[[#This Row],[Месяц окончания]]=Таблицаx_2[[#This Row],[Месяц]],Таблицаx_2[[#This Row],[Значения числа]],0)</f>
        <v>0</v>
      </c>
      <c r="J476" s="8">
        <f>IF(AND(Таблицаx_2[[#This Row],[Месяц окончания]]=Таблицаx_2[[#This Row],[Месяц]],Таблицаx_2[[#This Row],[id]]=A477,EDATE(Таблицаx_2[[#This Row],[Месяц]],1)=D477),F477,0)</f>
        <v>0</v>
      </c>
      <c r="K476" s="8">
        <f>IF(AND(Таблицаx_2[[#This Row],[Месяц окончания]]=Таблицаx_2[[#This Row],[Месяц]],Таблицаx_2[[#This Row],[id]]=A477,EDATE(Таблицаx_2[[#This Row],[Месяц]],2)=D477),F477,0)</f>
        <v>0</v>
      </c>
    </row>
    <row r="477" spans="1:11" ht="12.75" hidden="1" customHeight="1" x14ac:dyDescent="0.2">
      <c r="A477" s="8">
        <v>847</v>
      </c>
      <c r="B477" s="8" t="s">
        <v>52</v>
      </c>
      <c r="C477" s="8" t="s">
        <v>8</v>
      </c>
      <c r="D477" s="12">
        <v>45078</v>
      </c>
      <c r="E477" s="8">
        <v>180000</v>
      </c>
      <c r="F477" s="10">
        <f>IF(ISTEXT(Таблицаx_2[[#This Row],[Значение]]), 0, Таблицаx_2[[#This Row],[Значение]])</f>
        <v>180000</v>
      </c>
      <c r="G477" s="12">
        <v>45078</v>
      </c>
      <c r="H477" s="10" t="str">
        <f>IFERROR(VLOOKUP(Таблицаx_2[[#This Row],[id]],prolongations!A:C,2,)," ")</f>
        <v>июнь 2023</v>
      </c>
      <c r="I477" s="10">
        <f>IF(Таблицаx_2[[#This Row],[Месяц окончания]]=Таблицаx_2[[#This Row],[Месяц]],Таблицаx_2[[#This Row],[Значения числа]],0)</f>
        <v>180000</v>
      </c>
      <c r="J477" s="8">
        <f>IF(AND(Таблицаx_2[[#This Row],[Месяц окончания]]=Таблицаx_2[[#This Row],[Месяц]],Таблицаx_2[[#This Row],[id]]=A478,EDATE(Таблицаx_2[[#This Row],[Месяц]],1)=D478),F478,0)</f>
        <v>0</v>
      </c>
      <c r="K477" s="8">
        <f>IF(AND(Таблицаx_2[[#This Row],[Месяц окончания]]=Таблицаx_2[[#This Row],[Месяц]],Таблицаx_2[[#This Row],[id]]=A478,EDATE(Таблицаx_2[[#This Row],[Месяц]],2)=D478),F478,0)</f>
        <v>0</v>
      </c>
    </row>
    <row r="478" spans="1:11" ht="12.75" hidden="1" customHeight="1" x14ac:dyDescent="0.2">
      <c r="A478" s="8">
        <v>847</v>
      </c>
      <c r="B478" s="8" t="s">
        <v>50</v>
      </c>
      <c r="C478" s="8" t="s">
        <v>8</v>
      </c>
      <c r="D478" s="12">
        <v>45017</v>
      </c>
      <c r="E478" s="8">
        <v>119500</v>
      </c>
      <c r="F478" s="10">
        <f>IF(ISTEXT(Таблицаx_2[[#This Row],[Значение]]), 0, Таблицаx_2[[#This Row],[Значение]])</f>
        <v>119500</v>
      </c>
      <c r="G478" s="12">
        <v>45078</v>
      </c>
      <c r="H478" s="10" t="str">
        <f>IFERROR(VLOOKUP(Таблицаx_2[[#This Row],[id]],prolongations!A:C,2,)," ")</f>
        <v>июнь 2023</v>
      </c>
      <c r="I478" s="10">
        <f>IF(Таблицаx_2[[#This Row],[Месяц окончания]]=Таблицаx_2[[#This Row],[Месяц]],Таблицаx_2[[#This Row],[Значения числа]],0)</f>
        <v>0</v>
      </c>
      <c r="J478" s="8">
        <f>IF(AND(Таблицаx_2[[#This Row],[Месяц окончания]]=Таблицаx_2[[#This Row],[Месяц]],Таблицаx_2[[#This Row],[id]]=A479,EDATE(Таблицаx_2[[#This Row],[Месяц]],1)=D479),F479,0)</f>
        <v>0</v>
      </c>
      <c r="K478" s="8">
        <f>IF(AND(Таблицаx_2[[#This Row],[Месяц окончания]]=Таблицаx_2[[#This Row],[Месяц]],Таблицаx_2[[#This Row],[id]]=A479,EDATE(Таблицаx_2[[#This Row],[Месяц]],2)=D479),F479,0)</f>
        <v>0</v>
      </c>
    </row>
    <row r="479" spans="1:11" ht="12.75" hidden="1" customHeight="1" x14ac:dyDescent="0.2">
      <c r="A479" s="8">
        <v>847</v>
      </c>
      <c r="B479" s="8" t="s">
        <v>50</v>
      </c>
      <c r="C479" s="8" t="s">
        <v>8</v>
      </c>
      <c r="D479" s="12">
        <v>45047</v>
      </c>
      <c r="E479" s="8">
        <v>79925</v>
      </c>
      <c r="F479" s="10">
        <f>IF(ISTEXT(Таблицаx_2[[#This Row],[Значение]]), 0, Таблицаx_2[[#This Row],[Значение]])</f>
        <v>79925</v>
      </c>
      <c r="G479" s="12">
        <v>45078</v>
      </c>
      <c r="H479" s="10" t="str">
        <f>IFERROR(VLOOKUP(Таблицаx_2[[#This Row],[id]],prolongations!A:C,2,)," ")</f>
        <v>июнь 2023</v>
      </c>
      <c r="I479" s="10">
        <f>IF(Таблицаx_2[[#This Row],[Месяц окончания]]=Таблицаx_2[[#This Row],[Месяц]],Таблицаx_2[[#This Row],[Значения числа]],0)</f>
        <v>0</v>
      </c>
      <c r="J479" s="8">
        <f>IF(AND(Таблицаx_2[[#This Row],[Месяц окончания]]=Таблицаx_2[[#This Row],[Месяц]],Таблицаx_2[[#This Row],[id]]=A480,EDATE(Таблицаx_2[[#This Row],[Месяц]],1)=D480),F480,0)</f>
        <v>0</v>
      </c>
      <c r="K479" s="8">
        <f>IF(AND(Таблицаx_2[[#This Row],[Месяц окончания]]=Таблицаx_2[[#This Row],[Месяц]],Таблицаx_2[[#This Row],[id]]=A480,EDATE(Таблицаx_2[[#This Row],[Месяц]],2)=D480),F480,0)</f>
        <v>0</v>
      </c>
    </row>
    <row r="480" spans="1:11" ht="12.75" hidden="1" customHeight="1" x14ac:dyDescent="0.2">
      <c r="A480" s="8">
        <v>847</v>
      </c>
      <c r="B480" s="8" t="s">
        <v>50</v>
      </c>
      <c r="C480" s="8" t="s">
        <v>8</v>
      </c>
      <c r="D480" s="12">
        <v>45078</v>
      </c>
      <c r="E480" s="8">
        <v>30195</v>
      </c>
      <c r="F480" s="10">
        <f>IF(ISTEXT(Таблицаx_2[[#This Row],[Значение]]), 0, Таблицаx_2[[#This Row],[Значение]])</f>
        <v>30195</v>
      </c>
      <c r="G480" s="12">
        <v>45078</v>
      </c>
      <c r="H480" s="10" t="str">
        <f>IFERROR(VLOOKUP(Таблицаx_2[[#This Row],[id]],prolongations!A:C,2,)," ")</f>
        <v>июнь 2023</v>
      </c>
      <c r="I480" s="10">
        <f>IF(Таблицаx_2[[#This Row],[Месяц окончания]]=Таблицаx_2[[#This Row],[Месяц]],Таблицаx_2[[#This Row],[Значения числа]],0)</f>
        <v>30195</v>
      </c>
      <c r="J480" s="8">
        <f>IF(AND(Таблицаx_2[[#This Row],[Месяц окончания]]=Таблицаx_2[[#This Row],[Месяц]],Таблицаx_2[[#This Row],[id]]=A481,EDATE(Таблицаx_2[[#This Row],[Месяц]],1)=D481),F481,0)</f>
        <v>0</v>
      </c>
      <c r="K480" s="8">
        <f>IF(AND(Таблицаx_2[[#This Row],[Месяц окончания]]=Таблицаx_2[[#This Row],[Месяц]],Таблицаx_2[[#This Row],[id]]=A481,EDATE(Таблицаx_2[[#This Row],[Месяц]],2)=D481),F481,0)</f>
        <v>0</v>
      </c>
    </row>
    <row r="481" spans="1:11" ht="12.75" hidden="1" customHeight="1" x14ac:dyDescent="0.2">
      <c r="A481" s="8">
        <v>87</v>
      </c>
      <c r="B481" s="8" t="s">
        <v>52</v>
      </c>
      <c r="C481" s="8" t="s">
        <v>7</v>
      </c>
      <c r="D481" s="12">
        <v>44866</v>
      </c>
      <c r="E481" s="8">
        <v>70050</v>
      </c>
      <c r="F481" s="10">
        <f>IF(ISTEXT(Таблицаx_2[[#This Row],[Значение]]), 0, Таблицаx_2[[#This Row],[Значение]])</f>
        <v>70050</v>
      </c>
      <c r="G481" s="12">
        <v>44866</v>
      </c>
      <c r="H481" s="10" t="str">
        <f>IFERROR(VLOOKUP(Таблицаx_2[[#This Row],[id]],prolongations!A:C,2,)," ")</f>
        <v>ноябрь 2022</v>
      </c>
      <c r="I481" s="10">
        <f>IF(Таблицаx_2[[#This Row],[Месяц окончания]]=Таблицаx_2[[#This Row],[Месяц]],Таблицаx_2[[#This Row],[Значения числа]],0)</f>
        <v>70050</v>
      </c>
      <c r="J481" s="8">
        <f>IF(AND(Таблицаx_2[[#This Row],[Месяц окончания]]=Таблицаx_2[[#This Row],[Месяц]],Таблицаx_2[[#This Row],[id]]=A482,EDATE(Таблицаx_2[[#This Row],[Месяц]],1)=D482),F482,0)</f>
        <v>0</v>
      </c>
      <c r="K481" s="8">
        <f>IF(AND(Таблицаx_2[[#This Row],[Месяц окончания]]=Таблицаx_2[[#This Row],[Месяц]],Таблицаx_2[[#This Row],[id]]=A482,EDATE(Таблицаx_2[[#This Row],[Месяц]],2)=D482),F482,0)</f>
        <v>73380</v>
      </c>
    </row>
    <row r="482" spans="1:11" ht="12.75" hidden="1" customHeight="1" x14ac:dyDescent="0.2">
      <c r="A482" s="8">
        <v>87</v>
      </c>
      <c r="B482" s="8" t="s">
        <v>52</v>
      </c>
      <c r="C482" s="8" t="s">
        <v>7</v>
      </c>
      <c r="D482" s="12">
        <v>44927</v>
      </c>
      <c r="E482" s="8">
        <v>73380</v>
      </c>
      <c r="F482" s="10">
        <f>IF(ISTEXT(Таблицаx_2[[#This Row],[Значение]]), 0, Таблицаx_2[[#This Row],[Значение]])</f>
        <v>73380</v>
      </c>
      <c r="G482" s="12">
        <v>44866</v>
      </c>
      <c r="H482" s="10" t="str">
        <f>IFERROR(VLOOKUP(Таблицаx_2[[#This Row],[id]],prolongations!A:C,2,)," ")</f>
        <v>ноябрь 2022</v>
      </c>
      <c r="I482" s="10">
        <f>IF(Таблицаx_2[[#This Row],[Месяц окончания]]=Таблицаx_2[[#This Row],[Месяц]],Таблицаx_2[[#This Row],[Значения числа]],0)</f>
        <v>0</v>
      </c>
      <c r="J482" s="8">
        <f>IF(AND(Таблицаx_2[[#This Row],[Месяц окончания]]=Таблицаx_2[[#This Row],[Месяц]],Таблицаx_2[[#This Row],[id]]=A483,EDATE(Таблицаx_2[[#This Row],[Месяц]],1)=D483),F483,0)</f>
        <v>0</v>
      </c>
      <c r="K482" s="8">
        <f>IF(AND(Таблицаx_2[[#This Row],[Месяц окончания]]=Таблицаx_2[[#This Row],[Месяц]],Таблицаx_2[[#This Row],[id]]=A483,EDATE(Таблицаx_2[[#This Row],[Месяц]],2)=D483),F483,0)</f>
        <v>0</v>
      </c>
    </row>
    <row r="483" spans="1:11" ht="12.75" hidden="1" customHeight="1" x14ac:dyDescent="0.2">
      <c r="A483" s="8">
        <v>87</v>
      </c>
      <c r="B483" s="8" t="s">
        <v>52</v>
      </c>
      <c r="C483" s="8" t="s">
        <v>7</v>
      </c>
      <c r="D483" s="12">
        <v>44958</v>
      </c>
      <c r="E483" s="8">
        <v>83480</v>
      </c>
      <c r="F483" s="10">
        <f>IF(ISTEXT(Таблицаx_2[[#This Row],[Значение]]), 0, Таблицаx_2[[#This Row],[Значение]])</f>
        <v>83480</v>
      </c>
      <c r="G483" s="12">
        <v>44866</v>
      </c>
      <c r="H483" s="10" t="str">
        <f>IFERROR(VLOOKUP(Таблицаx_2[[#This Row],[id]],prolongations!A:C,2,)," ")</f>
        <v>ноябрь 2022</v>
      </c>
      <c r="I483" s="10">
        <f>IF(Таблицаx_2[[#This Row],[Месяц окончания]]=Таблицаx_2[[#This Row],[Месяц]],Таблицаx_2[[#This Row],[Значения числа]],0)</f>
        <v>0</v>
      </c>
      <c r="J483" s="8">
        <f>IF(AND(Таблицаx_2[[#This Row],[Месяц окончания]]=Таблицаx_2[[#This Row],[Месяц]],Таблицаx_2[[#This Row],[id]]=A484,EDATE(Таблицаx_2[[#This Row],[Месяц]],1)=D484),F484,0)</f>
        <v>0</v>
      </c>
      <c r="K483" s="8">
        <f>IF(AND(Таблицаx_2[[#This Row],[Месяц окончания]]=Таблицаx_2[[#This Row],[Месяц]],Таблицаx_2[[#This Row],[id]]=A484,EDATE(Таблицаx_2[[#This Row],[Месяц]],2)=D484),F484,0)</f>
        <v>0</v>
      </c>
    </row>
    <row r="484" spans="1:11" ht="12.75" hidden="1" customHeight="1" x14ac:dyDescent="0.2">
      <c r="A484" s="8">
        <v>87</v>
      </c>
      <c r="B484" s="8" t="s">
        <v>52</v>
      </c>
      <c r="C484" s="8" t="s">
        <v>7</v>
      </c>
      <c r="D484" s="12">
        <v>44986</v>
      </c>
      <c r="E484" s="8">
        <v>89300</v>
      </c>
      <c r="F484" s="10">
        <f>IF(ISTEXT(Таблицаx_2[[#This Row],[Значение]]), 0, Таблицаx_2[[#This Row],[Значение]])</f>
        <v>89300</v>
      </c>
      <c r="G484" s="12">
        <v>44866</v>
      </c>
      <c r="H484" s="10" t="str">
        <f>IFERROR(VLOOKUP(Таблицаx_2[[#This Row],[id]],prolongations!A:C,2,)," ")</f>
        <v>ноябрь 2022</v>
      </c>
      <c r="I484" s="10">
        <f>IF(Таблицаx_2[[#This Row],[Месяц окончания]]=Таблицаx_2[[#This Row],[Месяц]],Таблицаx_2[[#This Row],[Значения числа]],0)</f>
        <v>0</v>
      </c>
      <c r="J484" s="8">
        <f>IF(AND(Таблицаx_2[[#This Row],[Месяц окончания]]=Таблицаx_2[[#This Row],[Месяц]],Таблицаx_2[[#This Row],[id]]=A485,EDATE(Таблицаx_2[[#This Row],[Месяц]],1)=D485),F485,0)</f>
        <v>0</v>
      </c>
      <c r="K484" s="8">
        <f>IF(AND(Таблицаx_2[[#This Row],[Месяц окончания]]=Таблицаx_2[[#This Row],[Месяц]],Таблицаx_2[[#This Row],[id]]=A485,EDATE(Таблицаx_2[[#This Row],[Месяц]],2)=D485),F485,0)</f>
        <v>0</v>
      </c>
    </row>
    <row r="485" spans="1:11" ht="12.75" hidden="1" customHeight="1" x14ac:dyDescent="0.2">
      <c r="A485" s="8">
        <v>87</v>
      </c>
      <c r="B485" s="8" t="s">
        <v>52</v>
      </c>
      <c r="C485" s="8" t="s">
        <v>7</v>
      </c>
      <c r="D485" s="12">
        <v>45017</v>
      </c>
      <c r="E485" s="8">
        <v>89300</v>
      </c>
      <c r="F485" s="10">
        <f>IF(ISTEXT(Таблицаx_2[[#This Row],[Значение]]), 0, Таблицаx_2[[#This Row],[Значение]])</f>
        <v>89300</v>
      </c>
      <c r="G485" s="12">
        <v>44866</v>
      </c>
      <c r="H485" s="10" t="str">
        <f>IFERROR(VLOOKUP(Таблицаx_2[[#This Row],[id]],prolongations!A:C,2,)," ")</f>
        <v>ноябрь 2022</v>
      </c>
      <c r="I485" s="10">
        <f>IF(Таблицаx_2[[#This Row],[Месяц окончания]]=Таблицаx_2[[#This Row],[Месяц]],Таблицаx_2[[#This Row],[Значения числа]],0)</f>
        <v>0</v>
      </c>
      <c r="J485" s="8">
        <f>IF(AND(Таблицаx_2[[#This Row],[Месяц окончания]]=Таблицаx_2[[#This Row],[Месяц]],Таблицаx_2[[#This Row],[id]]=A486,EDATE(Таблицаx_2[[#This Row],[Месяц]],1)=D486),F486,0)</f>
        <v>0</v>
      </c>
      <c r="K485" s="8">
        <f>IF(AND(Таблицаx_2[[#This Row],[Месяц окончания]]=Таблицаx_2[[#This Row],[Месяц]],Таблицаx_2[[#This Row],[id]]=A486,EDATE(Таблицаx_2[[#This Row],[Месяц]],2)=D486),F486,0)</f>
        <v>0</v>
      </c>
    </row>
    <row r="486" spans="1:11" ht="12.75" hidden="1" customHeight="1" x14ac:dyDescent="0.2">
      <c r="A486" s="8">
        <v>87</v>
      </c>
      <c r="B486" s="8" t="s">
        <v>52</v>
      </c>
      <c r="C486" s="8" t="s">
        <v>7</v>
      </c>
      <c r="D486" s="12">
        <v>45047</v>
      </c>
      <c r="E486" s="8">
        <v>78605</v>
      </c>
      <c r="F486" s="10">
        <f>IF(ISTEXT(Таблицаx_2[[#This Row],[Значение]]), 0, Таблицаx_2[[#This Row],[Значение]])</f>
        <v>78605</v>
      </c>
      <c r="G486" s="12">
        <v>44866</v>
      </c>
      <c r="H486" s="10" t="str">
        <f>IFERROR(VLOOKUP(Таблицаx_2[[#This Row],[id]],prolongations!A:C,2,)," ")</f>
        <v>ноябрь 2022</v>
      </c>
      <c r="I486" s="10">
        <f>IF(Таблицаx_2[[#This Row],[Месяц окончания]]=Таблицаx_2[[#This Row],[Месяц]],Таблицаx_2[[#This Row],[Значения числа]],0)</f>
        <v>0</v>
      </c>
      <c r="J486" s="8">
        <f>IF(AND(Таблицаx_2[[#This Row],[Месяц окончания]]=Таблицаx_2[[#This Row],[Месяц]],Таблицаx_2[[#This Row],[id]]=A487,EDATE(Таблицаx_2[[#This Row],[Месяц]],1)=D487),F487,0)</f>
        <v>0</v>
      </c>
      <c r="K486" s="8">
        <f>IF(AND(Таблицаx_2[[#This Row],[Месяц окончания]]=Таблицаx_2[[#This Row],[Месяц]],Таблицаx_2[[#This Row],[id]]=A487,EDATE(Таблицаx_2[[#This Row],[Месяц]],2)=D487),F487,0)</f>
        <v>0</v>
      </c>
    </row>
    <row r="487" spans="1:11" ht="12.75" hidden="1" customHeight="1" x14ac:dyDescent="0.2">
      <c r="A487" s="8">
        <v>87</v>
      </c>
      <c r="B487" s="8" t="s">
        <v>52</v>
      </c>
      <c r="C487" s="8" t="s">
        <v>7</v>
      </c>
      <c r="D487" s="12">
        <v>45078</v>
      </c>
      <c r="E487" s="8">
        <v>72485</v>
      </c>
      <c r="F487" s="10">
        <f>IF(ISTEXT(Таблицаx_2[[#This Row],[Значение]]), 0, Таблицаx_2[[#This Row],[Значение]])</f>
        <v>72485</v>
      </c>
      <c r="G487" s="12">
        <v>44866</v>
      </c>
      <c r="H487" s="10" t="str">
        <f>IFERROR(VLOOKUP(Таблицаx_2[[#This Row],[id]],prolongations!A:C,2,)," ")</f>
        <v>ноябрь 2022</v>
      </c>
      <c r="I487" s="10">
        <f>IF(Таблицаx_2[[#This Row],[Месяц окончания]]=Таблицаx_2[[#This Row],[Месяц]],Таблицаx_2[[#This Row],[Значения числа]],0)</f>
        <v>0</v>
      </c>
      <c r="J487" s="8">
        <f>IF(AND(Таблицаx_2[[#This Row],[Месяц окончания]]=Таблицаx_2[[#This Row],[Месяц]],Таблицаx_2[[#This Row],[id]]=A488,EDATE(Таблицаx_2[[#This Row],[Месяц]],1)=D488),F488,0)</f>
        <v>0</v>
      </c>
      <c r="K487" s="8">
        <f>IF(AND(Таблицаx_2[[#This Row],[Месяц окончания]]=Таблицаx_2[[#This Row],[Месяц]],Таблицаx_2[[#This Row],[id]]=A488,EDATE(Таблицаx_2[[#This Row],[Месяц]],2)=D488),F488,0)</f>
        <v>0</v>
      </c>
    </row>
    <row r="488" spans="1:11" ht="12.75" hidden="1" customHeight="1" x14ac:dyDescent="0.2">
      <c r="A488" s="8">
        <v>600</v>
      </c>
      <c r="B488" s="8" t="s">
        <v>45</v>
      </c>
      <c r="C488" s="8" t="s">
        <v>4</v>
      </c>
      <c r="D488" s="12">
        <v>44866</v>
      </c>
      <c r="E488" s="8">
        <v>237977</v>
      </c>
      <c r="F488" s="10">
        <f>IF(ISTEXT(Таблицаx_2[[#This Row],[Значение]]), 0, Таблицаx_2[[#This Row],[Значение]])</f>
        <v>237977</v>
      </c>
      <c r="G488" s="12">
        <v>44866</v>
      </c>
      <c r="H488" s="10" t="str">
        <f>IFERROR(VLOOKUP(Таблицаx_2[[#This Row],[id]],prolongations!A:C,2,)," ")</f>
        <v>ноябрь 2022</v>
      </c>
      <c r="I488" s="10">
        <f>IF(Таблицаx_2[[#This Row],[Месяц окончания]]=Таблицаx_2[[#This Row],[Месяц]],Таблицаx_2[[#This Row],[Значения числа]],0)</f>
        <v>237977</v>
      </c>
      <c r="J488" s="8">
        <f>IF(AND(Таблицаx_2[[#This Row],[Месяц окончания]]=Таблицаx_2[[#This Row],[Месяц]],Таблицаx_2[[#This Row],[id]]=A489,EDATE(Таблицаx_2[[#This Row],[Месяц]],1)=D489),F489,0)</f>
        <v>144650</v>
      </c>
      <c r="K488" s="8">
        <f>IF(AND(Таблицаx_2[[#This Row],[Месяц окончания]]=Таблицаx_2[[#This Row],[Месяц]],Таблицаx_2[[#This Row],[id]]=A489,EDATE(Таблицаx_2[[#This Row],[Месяц]],2)=D489),F489,0)</f>
        <v>0</v>
      </c>
    </row>
    <row r="489" spans="1:11" ht="12.75" hidden="1" customHeight="1" x14ac:dyDescent="0.2">
      <c r="A489" s="8">
        <v>600</v>
      </c>
      <c r="B489" s="8" t="s">
        <v>45</v>
      </c>
      <c r="C489" s="8" t="s">
        <v>4</v>
      </c>
      <c r="D489" s="12">
        <v>44896</v>
      </c>
      <c r="E489" s="8">
        <v>144650</v>
      </c>
      <c r="F489" s="10">
        <f>IF(ISTEXT(Таблицаx_2[[#This Row],[Значение]]), 0, Таблицаx_2[[#This Row],[Значение]])</f>
        <v>144650</v>
      </c>
      <c r="G489" s="12">
        <v>44866</v>
      </c>
      <c r="H489" s="10" t="str">
        <f>IFERROR(VLOOKUP(Таблицаx_2[[#This Row],[id]],prolongations!A:C,2,)," ")</f>
        <v>ноябрь 2022</v>
      </c>
      <c r="I489" s="10">
        <f>IF(Таблицаx_2[[#This Row],[Месяц окончания]]=Таблицаx_2[[#This Row],[Месяц]],Таблицаx_2[[#This Row],[Значения числа]],0)</f>
        <v>0</v>
      </c>
      <c r="J489" s="8">
        <f>IF(AND(Таблицаx_2[[#This Row],[Месяц окончания]]=Таблицаx_2[[#This Row],[Месяц]],Таблицаx_2[[#This Row],[id]]=A490,EDATE(Таблицаx_2[[#This Row],[Месяц]],1)=D490),F490,0)</f>
        <v>0</v>
      </c>
      <c r="K489" s="8">
        <f>IF(AND(Таблицаx_2[[#This Row],[Месяц окончания]]=Таблицаx_2[[#This Row],[Месяц]],Таблицаx_2[[#This Row],[id]]=A490,EDATE(Таблицаx_2[[#This Row],[Месяц]],2)=D490),F490,0)</f>
        <v>0</v>
      </c>
    </row>
    <row r="490" spans="1:11" ht="12.75" hidden="1" customHeight="1" x14ac:dyDescent="0.2">
      <c r="A490" s="8">
        <v>600</v>
      </c>
      <c r="B490" s="8" t="s">
        <v>45</v>
      </c>
      <c r="C490" s="8" t="s">
        <v>4</v>
      </c>
      <c r="D490" s="12">
        <v>44927</v>
      </c>
      <c r="E490" s="8">
        <v>144650</v>
      </c>
      <c r="F490" s="10">
        <f>IF(ISTEXT(Таблицаx_2[[#This Row],[Значение]]), 0, Таблицаx_2[[#This Row],[Значение]])</f>
        <v>144650</v>
      </c>
      <c r="G490" s="12">
        <v>44866</v>
      </c>
      <c r="H490" s="10" t="str">
        <f>IFERROR(VLOOKUP(Таблицаx_2[[#This Row],[id]],prolongations!A:C,2,)," ")</f>
        <v>ноябрь 2022</v>
      </c>
      <c r="I490" s="10">
        <f>IF(Таблицаx_2[[#This Row],[Месяц окончания]]=Таблицаx_2[[#This Row],[Месяц]],Таблицаx_2[[#This Row],[Значения числа]],0)</f>
        <v>0</v>
      </c>
      <c r="J490" s="8">
        <f>IF(AND(Таблицаx_2[[#This Row],[Месяц окончания]]=Таблицаx_2[[#This Row],[Месяц]],Таблицаx_2[[#This Row],[id]]=A491,EDATE(Таблицаx_2[[#This Row],[Месяц]],1)=D491),F491,0)</f>
        <v>0</v>
      </c>
      <c r="K490" s="8">
        <f>IF(AND(Таблицаx_2[[#This Row],[Месяц окончания]]=Таблицаx_2[[#This Row],[Месяц]],Таблицаx_2[[#This Row],[id]]=A491,EDATE(Таблицаx_2[[#This Row],[Месяц]],2)=D491),F491,0)</f>
        <v>0</v>
      </c>
    </row>
    <row r="491" spans="1:11" ht="12.75" hidden="1" customHeight="1" x14ac:dyDescent="0.2">
      <c r="A491" s="8">
        <v>600</v>
      </c>
      <c r="B491" s="8" t="s">
        <v>45</v>
      </c>
      <c r="C491" s="8" t="s">
        <v>4</v>
      </c>
      <c r="D491" s="12">
        <v>44958</v>
      </c>
      <c r="E491" s="8">
        <v>144650</v>
      </c>
      <c r="F491" s="10">
        <f>IF(ISTEXT(Таблицаx_2[[#This Row],[Значение]]), 0, Таблицаx_2[[#This Row],[Значение]])</f>
        <v>144650</v>
      </c>
      <c r="G491" s="12">
        <v>44866</v>
      </c>
      <c r="H491" s="10" t="str">
        <f>IFERROR(VLOOKUP(Таблицаx_2[[#This Row],[id]],prolongations!A:C,2,)," ")</f>
        <v>ноябрь 2022</v>
      </c>
      <c r="I491" s="10">
        <f>IF(Таблицаx_2[[#This Row],[Месяц окончания]]=Таблицаx_2[[#This Row],[Месяц]],Таблицаx_2[[#This Row],[Значения числа]],0)</f>
        <v>0</v>
      </c>
      <c r="J491" s="8">
        <f>IF(AND(Таблицаx_2[[#This Row],[Месяц окончания]]=Таблицаx_2[[#This Row],[Месяц]],Таблицаx_2[[#This Row],[id]]=A492,EDATE(Таблицаx_2[[#This Row],[Месяц]],1)=D492),F492,0)</f>
        <v>0</v>
      </c>
      <c r="K491" s="8">
        <f>IF(AND(Таблицаx_2[[#This Row],[Месяц окончания]]=Таблицаx_2[[#This Row],[Месяц]],Таблицаx_2[[#This Row],[id]]=A492,EDATE(Таблицаx_2[[#This Row],[Месяц]],2)=D492),F492,0)</f>
        <v>0</v>
      </c>
    </row>
    <row r="492" spans="1:11" ht="12.75" hidden="1" customHeight="1" x14ac:dyDescent="0.2">
      <c r="A492" s="8">
        <v>600</v>
      </c>
      <c r="B492" s="8" t="s">
        <v>45</v>
      </c>
      <c r="C492" s="8" t="s">
        <v>4</v>
      </c>
      <c r="D492" s="12">
        <v>44986</v>
      </c>
      <c r="E492" s="8">
        <v>118300</v>
      </c>
      <c r="F492" s="10">
        <f>IF(ISTEXT(Таблицаx_2[[#This Row],[Значение]]), 0, Таблицаx_2[[#This Row],[Значение]])</f>
        <v>118300</v>
      </c>
      <c r="G492" s="12">
        <v>44866</v>
      </c>
      <c r="H492" s="10" t="str">
        <f>IFERROR(VLOOKUP(Таблицаx_2[[#This Row],[id]],prolongations!A:C,2,)," ")</f>
        <v>ноябрь 2022</v>
      </c>
      <c r="I492" s="10">
        <f>IF(Таблицаx_2[[#This Row],[Месяц окончания]]=Таблицаx_2[[#This Row],[Месяц]],Таблицаx_2[[#This Row],[Значения числа]],0)</f>
        <v>0</v>
      </c>
      <c r="J492" s="8">
        <f>IF(AND(Таблицаx_2[[#This Row],[Месяц окончания]]=Таблицаx_2[[#This Row],[Месяц]],Таблицаx_2[[#This Row],[id]]=A493,EDATE(Таблицаx_2[[#This Row],[Месяц]],1)=D493),F493,0)</f>
        <v>0</v>
      </c>
      <c r="K492" s="8">
        <f>IF(AND(Таблицаx_2[[#This Row],[Месяц окончания]]=Таблицаx_2[[#This Row],[Месяц]],Таблицаx_2[[#This Row],[id]]=A493,EDATE(Таблицаx_2[[#This Row],[Месяц]],2)=D493),F493,0)</f>
        <v>0</v>
      </c>
    </row>
    <row r="493" spans="1:11" ht="12.75" hidden="1" customHeight="1" x14ac:dyDescent="0.2">
      <c r="A493" s="8">
        <v>600</v>
      </c>
      <c r="B493" s="8" t="s">
        <v>45</v>
      </c>
      <c r="C493" s="8" t="s">
        <v>4</v>
      </c>
      <c r="D493" s="12">
        <v>45017</v>
      </c>
      <c r="E493" s="8">
        <v>186395</v>
      </c>
      <c r="F493" s="10">
        <f>IF(ISTEXT(Таблицаx_2[[#This Row],[Значение]]), 0, Таблицаx_2[[#This Row],[Значение]])</f>
        <v>186395</v>
      </c>
      <c r="G493" s="12">
        <v>44866</v>
      </c>
      <c r="H493" s="10" t="str">
        <f>IFERROR(VLOOKUP(Таблицаx_2[[#This Row],[id]],prolongations!A:C,2,)," ")</f>
        <v>ноябрь 2022</v>
      </c>
      <c r="I493" s="10">
        <f>IF(Таблицаx_2[[#This Row],[Месяц окончания]]=Таблицаx_2[[#This Row],[Месяц]],Таблицаx_2[[#This Row],[Значения числа]],0)</f>
        <v>0</v>
      </c>
      <c r="J493" s="8">
        <f>IF(AND(Таблицаx_2[[#This Row],[Месяц окончания]]=Таблицаx_2[[#This Row],[Месяц]],Таблицаx_2[[#This Row],[id]]=A494,EDATE(Таблицаx_2[[#This Row],[Месяц]],1)=D494),F494,0)</f>
        <v>0</v>
      </c>
      <c r="K493" s="8">
        <f>IF(AND(Таблицаx_2[[#This Row],[Месяц окончания]]=Таблицаx_2[[#This Row],[Месяц]],Таблицаx_2[[#This Row],[id]]=A494,EDATE(Таблицаx_2[[#This Row],[Месяц]],2)=D494),F494,0)</f>
        <v>0</v>
      </c>
    </row>
    <row r="494" spans="1:11" ht="12.75" hidden="1" customHeight="1" x14ac:dyDescent="0.2">
      <c r="A494" s="8">
        <v>600</v>
      </c>
      <c r="B494" s="8" t="s">
        <v>45</v>
      </c>
      <c r="C494" s="8" t="s">
        <v>4</v>
      </c>
      <c r="D494" s="12">
        <v>45047</v>
      </c>
      <c r="E494" s="8">
        <v>168820</v>
      </c>
      <c r="F494" s="10">
        <f>IF(ISTEXT(Таблицаx_2[[#This Row],[Значение]]), 0, Таблицаx_2[[#This Row],[Значение]])</f>
        <v>168820</v>
      </c>
      <c r="G494" s="12">
        <v>44866</v>
      </c>
      <c r="H494" s="10" t="str">
        <f>IFERROR(VLOOKUP(Таблицаx_2[[#This Row],[id]],prolongations!A:C,2,)," ")</f>
        <v>ноябрь 2022</v>
      </c>
      <c r="I494" s="10">
        <f>IF(Таблицаx_2[[#This Row],[Месяц окончания]]=Таблицаx_2[[#This Row],[Месяц]],Таблицаx_2[[#This Row],[Значения числа]],0)</f>
        <v>0</v>
      </c>
      <c r="J494" s="8">
        <f>IF(AND(Таблицаx_2[[#This Row],[Месяц окончания]]=Таблицаx_2[[#This Row],[Месяц]],Таблицаx_2[[#This Row],[id]]=A495,EDATE(Таблицаx_2[[#This Row],[Месяц]],1)=D495),F495,0)</f>
        <v>0</v>
      </c>
      <c r="K494" s="8">
        <f>IF(AND(Таблицаx_2[[#This Row],[Месяц окончания]]=Таблицаx_2[[#This Row],[Месяц]],Таблицаx_2[[#This Row],[id]]=A495,EDATE(Таблицаx_2[[#This Row],[Месяц]],2)=D495),F495,0)</f>
        <v>0</v>
      </c>
    </row>
    <row r="495" spans="1:11" ht="12.75" hidden="1" customHeight="1" x14ac:dyDescent="0.2">
      <c r="A495" s="8">
        <v>600</v>
      </c>
      <c r="B495" s="8" t="s">
        <v>45</v>
      </c>
      <c r="C495" s="8" t="s">
        <v>4</v>
      </c>
      <c r="D495" s="12">
        <v>45078</v>
      </c>
      <c r="E495" s="8">
        <v>185370</v>
      </c>
      <c r="F495" s="10">
        <f>IF(ISTEXT(Таблицаx_2[[#This Row],[Значение]]), 0, Таблицаx_2[[#This Row],[Значение]])</f>
        <v>185370</v>
      </c>
      <c r="G495" s="12">
        <v>44866</v>
      </c>
      <c r="H495" s="10" t="str">
        <f>IFERROR(VLOOKUP(Таблицаx_2[[#This Row],[id]],prolongations!A:C,2,)," ")</f>
        <v>ноябрь 2022</v>
      </c>
      <c r="I495" s="10">
        <f>IF(Таблицаx_2[[#This Row],[Месяц окончания]]=Таблицаx_2[[#This Row],[Месяц]],Таблицаx_2[[#This Row],[Значения числа]],0)</f>
        <v>0</v>
      </c>
      <c r="J495" s="8">
        <f>IF(AND(Таблицаx_2[[#This Row],[Месяц окончания]]=Таблицаx_2[[#This Row],[Месяц]],Таблицаx_2[[#This Row],[id]]=A496,EDATE(Таблицаx_2[[#This Row],[Месяц]],1)=D496),F496,0)</f>
        <v>0</v>
      </c>
      <c r="K495" s="8">
        <f>IF(AND(Таблицаx_2[[#This Row],[Месяц окончания]]=Таблицаx_2[[#This Row],[Месяц]],Таблицаx_2[[#This Row],[id]]=A496,EDATE(Таблицаx_2[[#This Row],[Месяц]],2)=D496),F496,0)</f>
        <v>0</v>
      </c>
    </row>
    <row r="496" spans="1:11" ht="12.75" hidden="1" customHeight="1" x14ac:dyDescent="0.2">
      <c r="A496" s="8">
        <v>600</v>
      </c>
      <c r="B496" s="8" t="s">
        <v>47</v>
      </c>
      <c r="C496" s="8" t="s">
        <v>4</v>
      </c>
      <c r="D496" s="12">
        <v>44866</v>
      </c>
      <c r="E496" s="8">
        <v>43440</v>
      </c>
      <c r="F496" s="10">
        <f>IF(ISTEXT(Таблицаx_2[[#This Row],[Значение]]), 0, Таблицаx_2[[#This Row],[Значение]])</f>
        <v>43440</v>
      </c>
      <c r="G496" s="12">
        <v>44866</v>
      </c>
      <c r="H496" s="10" t="str">
        <f>IFERROR(VLOOKUP(Таблицаx_2[[#This Row],[id]],prolongations!A:C,2,)," ")</f>
        <v>ноябрь 2022</v>
      </c>
      <c r="I496" s="10">
        <f>IF(Таблицаx_2[[#This Row],[Месяц окончания]]=Таблицаx_2[[#This Row],[Месяц]],Таблицаx_2[[#This Row],[Значения числа]],0)</f>
        <v>43440</v>
      </c>
      <c r="J496" s="8">
        <f>IF(AND(Таблицаx_2[[#This Row],[Месяц окончания]]=Таблицаx_2[[#This Row],[Месяц]],Таблицаx_2[[#This Row],[id]]=A497,EDATE(Таблицаx_2[[#This Row],[Месяц]],1)=D497),F497,0)</f>
        <v>30450</v>
      </c>
      <c r="K496" s="8">
        <f>IF(AND(Таблицаx_2[[#This Row],[Месяц окончания]]=Таблицаx_2[[#This Row],[Месяц]],Таблицаx_2[[#This Row],[id]]=A497,EDATE(Таблицаx_2[[#This Row],[Месяц]],2)=D497),F497,0)</f>
        <v>0</v>
      </c>
    </row>
    <row r="497" spans="1:11" ht="12.75" hidden="1" customHeight="1" x14ac:dyDescent="0.2">
      <c r="A497" s="8">
        <v>600</v>
      </c>
      <c r="B497" s="8" t="s">
        <v>47</v>
      </c>
      <c r="C497" s="8" t="s">
        <v>4</v>
      </c>
      <c r="D497" s="12">
        <v>44896</v>
      </c>
      <c r="E497" s="8">
        <v>30450</v>
      </c>
      <c r="F497" s="10">
        <f>IF(ISTEXT(Таблицаx_2[[#This Row],[Значение]]), 0, Таблицаx_2[[#This Row],[Значение]])</f>
        <v>30450</v>
      </c>
      <c r="G497" s="12">
        <v>44866</v>
      </c>
      <c r="H497" s="10" t="str">
        <f>IFERROR(VLOOKUP(Таблицаx_2[[#This Row],[id]],prolongations!A:C,2,)," ")</f>
        <v>ноябрь 2022</v>
      </c>
      <c r="I497" s="10">
        <f>IF(Таблицаx_2[[#This Row],[Месяц окончания]]=Таблицаx_2[[#This Row],[Месяц]],Таблицаx_2[[#This Row],[Значения числа]],0)</f>
        <v>0</v>
      </c>
      <c r="J497" s="8">
        <f>IF(AND(Таблицаx_2[[#This Row],[Месяц окончания]]=Таблицаx_2[[#This Row],[Месяц]],Таблицаx_2[[#This Row],[id]]=A498,EDATE(Таблицаx_2[[#This Row],[Месяц]],1)=D498),F498,0)</f>
        <v>0</v>
      </c>
      <c r="K497" s="8">
        <f>IF(AND(Таблицаx_2[[#This Row],[Месяц окончания]]=Таблицаx_2[[#This Row],[Месяц]],Таблицаx_2[[#This Row],[id]]=A498,EDATE(Таблицаx_2[[#This Row],[Месяц]],2)=D498),F498,0)</f>
        <v>0</v>
      </c>
    </row>
    <row r="498" spans="1:11" ht="12.75" hidden="1" customHeight="1" x14ac:dyDescent="0.2">
      <c r="A498" s="8">
        <v>600</v>
      </c>
      <c r="B498" s="8" t="s">
        <v>47</v>
      </c>
      <c r="C498" s="8" t="s">
        <v>4</v>
      </c>
      <c r="D498" s="12">
        <v>44927</v>
      </c>
      <c r="E498" s="8">
        <v>122570</v>
      </c>
      <c r="F498" s="10">
        <f>IF(ISTEXT(Таблицаx_2[[#This Row],[Значение]]), 0, Таблицаx_2[[#This Row],[Значение]])</f>
        <v>122570</v>
      </c>
      <c r="G498" s="12">
        <v>44866</v>
      </c>
      <c r="H498" s="10" t="str">
        <f>IFERROR(VLOOKUP(Таблицаx_2[[#This Row],[id]],prolongations!A:C,2,)," ")</f>
        <v>ноябрь 2022</v>
      </c>
      <c r="I498" s="10">
        <f>IF(Таблицаx_2[[#This Row],[Месяц окончания]]=Таблицаx_2[[#This Row],[Месяц]],Таблицаx_2[[#This Row],[Значения числа]],0)</f>
        <v>0</v>
      </c>
      <c r="J498" s="8">
        <f>IF(AND(Таблицаx_2[[#This Row],[Месяц окончания]]=Таблицаx_2[[#This Row],[Месяц]],Таблицаx_2[[#This Row],[id]]=A499,EDATE(Таблицаx_2[[#This Row],[Месяц]],1)=D499),F499,0)</f>
        <v>0</v>
      </c>
      <c r="K498" s="8">
        <f>IF(AND(Таблицаx_2[[#This Row],[Месяц окончания]]=Таблицаx_2[[#This Row],[Месяц]],Таблицаx_2[[#This Row],[id]]=A499,EDATE(Таблицаx_2[[#This Row],[Месяц]],2)=D499),F499,0)</f>
        <v>0</v>
      </c>
    </row>
    <row r="499" spans="1:11" ht="12.75" hidden="1" customHeight="1" x14ac:dyDescent="0.2">
      <c r="A499" s="8">
        <v>600</v>
      </c>
      <c r="B499" s="8" t="s">
        <v>47</v>
      </c>
      <c r="C499" s="8" t="s">
        <v>4</v>
      </c>
      <c r="D499" s="12">
        <v>44958</v>
      </c>
      <c r="E499" s="8">
        <v>114283</v>
      </c>
      <c r="F499" s="10">
        <f>IF(ISTEXT(Таблицаx_2[[#This Row],[Значение]]), 0, Таблицаx_2[[#This Row],[Значение]])</f>
        <v>114283</v>
      </c>
      <c r="G499" s="12">
        <v>44866</v>
      </c>
      <c r="H499" s="10" t="str">
        <f>IFERROR(VLOOKUP(Таблицаx_2[[#This Row],[id]],prolongations!A:C,2,)," ")</f>
        <v>ноябрь 2022</v>
      </c>
      <c r="I499" s="10">
        <f>IF(Таблицаx_2[[#This Row],[Месяц окончания]]=Таблицаx_2[[#This Row],[Месяц]],Таблицаx_2[[#This Row],[Значения числа]],0)</f>
        <v>0</v>
      </c>
      <c r="J499" s="8">
        <f>IF(AND(Таблицаx_2[[#This Row],[Месяц окончания]]=Таблицаx_2[[#This Row],[Месяц]],Таблицаx_2[[#This Row],[id]]=A500,EDATE(Таблицаx_2[[#This Row],[Месяц]],1)=D500),F500,0)</f>
        <v>0</v>
      </c>
      <c r="K499" s="8">
        <f>IF(AND(Таблицаx_2[[#This Row],[Месяц окончания]]=Таблицаx_2[[#This Row],[Месяц]],Таблицаx_2[[#This Row],[id]]=A500,EDATE(Таблицаx_2[[#This Row],[Месяц]],2)=D500),F500,0)</f>
        <v>0</v>
      </c>
    </row>
    <row r="500" spans="1:11" ht="12.75" hidden="1" customHeight="1" x14ac:dyDescent="0.2">
      <c r="A500" s="8">
        <v>600</v>
      </c>
      <c r="B500" s="8" t="s">
        <v>47</v>
      </c>
      <c r="C500" s="8" t="s">
        <v>4</v>
      </c>
      <c r="D500" s="12">
        <v>44986</v>
      </c>
      <c r="E500" s="8">
        <v>106037</v>
      </c>
      <c r="F500" s="10">
        <f>IF(ISTEXT(Таблицаx_2[[#This Row],[Значение]]), 0, Таблицаx_2[[#This Row],[Значение]])</f>
        <v>106037</v>
      </c>
      <c r="G500" s="12">
        <v>44866</v>
      </c>
      <c r="H500" s="10" t="str">
        <f>IFERROR(VLOOKUP(Таблицаx_2[[#This Row],[id]],prolongations!A:C,2,)," ")</f>
        <v>ноябрь 2022</v>
      </c>
      <c r="I500" s="10">
        <f>IF(Таблицаx_2[[#This Row],[Месяц окончания]]=Таблицаx_2[[#This Row],[Месяц]],Таблицаx_2[[#This Row],[Значения числа]],0)</f>
        <v>0</v>
      </c>
      <c r="J500" s="8">
        <f>IF(AND(Таблицаx_2[[#This Row],[Месяц окончания]]=Таблицаx_2[[#This Row],[Месяц]],Таблицаx_2[[#This Row],[id]]=A501,EDATE(Таблицаx_2[[#This Row],[Месяц]],1)=D501),F501,0)</f>
        <v>0</v>
      </c>
      <c r="K500" s="8">
        <f>IF(AND(Таблицаx_2[[#This Row],[Месяц окончания]]=Таблицаx_2[[#This Row],[Месяц]],Таблицаx_2[[#This Row],[id]]=A501,EDATE(Таблицаx_2[[#This Row],[Месяц]],2)=D501),F501,0)</f>
        <v>0</v>
      </c>
    </row>
    <row r="501" spans="1:11" ht="12.75" hidden="1" customHeight="1" x14ac:dyDescent="0.2">
      <c r="A501" s="8">
        <v>600</v>
      </c>
      <c r="B501" s="8" t="s">
        <v>47</v>
      </c>
      <c r="C501" s="8" t="s">
        <v>4</v>
      </c>
      <c r="D501" s="12">
        <v>45017</v>
      </c>
      <c r="E501" s="8">
        <v>46410</v>
      </c>
      <c r="F501" s="10">
        <f>IF(ISTEXT(Таблицаx_2[[#This Row],[Значение]]), 0, Таблицаx_2[[#This Row],[Значение]])</f>
        <v>46410</v>
      </c>
      <c r="G501" s="12">
        <v>44866</v>
      </c>
      <c r="H501" s="10" t="str">
        <f>IFERROR(VLOOKUP(Таблицаx_2[[#This Row],[id]],prolongations!A:C,2,)," ")</f>
        <v>ноябрь 2022</v>
      </c>
      <c r="I501" s="10">
        <f>IF(Таблицаx_2[[#This Row],[Месяц окончания]]=Таблицаx_2[[#This Row],[Месяц]],Таблицаx_2[[#This Row],[Значения числа]],0)</f>
        <v>0</v>
      </c>
      <c r="J501" s="8">
        <f>IF(AND(Таблицаx_2[[#This Row],[Месяц окончания]]=Таблицаx_2[[#This Row],[Месяц]],Таблицаx_2[[#This Row],[id]]=A502,EDATE(Таблицаx_2[[#This Row],[Месяц]],1)=D502),F502,0)</f>
        <v>0</v>
      </c>
      <c r="K501" s="8">
        <f>IF(AND(Таблицаx_2[[#This Row],[Месяц окончания]]=Таблицаx_2[[#This Row],[Месяц]],Таблицаx_2[[#This Row],[id]]=A502,EDATE(Таблицаx_2[[#This Row],[Месяц]],2)=D502),F502,0)</f>
        <v>0</v>
      </c>
    </row>
    <row r="502" spans="1:11" ht="12.75" hidden="1" customHeight="1" x14ac:dyDescent="0.2">
      <c r="A502" s="8">
        <v>600</v>
      </c>
      <c r="B502" s="8" t="s">
        <v>47</v>
      </c>
      <c r="C502" s="8" t="s">
        <v>4</v>
      </c>
      <c r="D502" s="12">
        <v>45047</v>
      </c>
      <c r="E502" s="8">
        <v>44379</v>
      </c>
      <c r="F502" s="10">
        <f>IF(ISTEXT(Таблицаx_2[[#This Row],[Значение]]), 0, Таблицаx_2[[#This Row],[Значение]])</f>
        <v>44379</v>
      </c>
      <c r="G502" s="12">
        <v>44866</v>
      </c>
      <c r="H502" s="10" t="str">
        <f>IFERROR(VLOOKUP(Таблицаx_2[[#This Row],[id]],prolongations!A:C,2,)," ")</f>
        <v>ноябрь 2022</v>
      </c>
      <c r="I502" s="10">
        <f>IF(Таблицаx_2[[#This Row],[Месяц окончания]]=Таблицаx_2[[#This Row],[Месяц]],Таблицаx_2[[#This Row],[Значения числа]],0)</f>
        <v>0</v>
      </c>
      <c r="J502" s="8">
        <f>IF(AND(Таблицаx_2[[#This Row],[Месяц окончания]]=Таблицаx_2[[#This Row],[Месяц]],Таблицаx_2[[#This Row],[id]]=A503,EDATE(Таблицаx_2[[#This Row],[Месяц]],1)=D503),F503,0)</f>
        <v>0</v>
      </c>
      <c r="K502" s="8">
        <f>IF(AND(Таблицаx_2[[#This Row],[Месяц окончания]]=Таблицаx_2[[#This Row],[Месяц]],Таблицаx_2[[#This Row],[id]]=A503,EDATE(Таблицаx_2[[#This Row],[Месяц]],2)=D503),F503,0)</f>
        <v>0</v>
      </c>
    </row>
    <row r="503" spans="1:11" ht="12.75" hidden="1" customHeight="1" x14ac:dyDescent="0.2">
      <c r="A503" s="8">
        <v>600</v>
      </c>
      <c r="B503" s="8" t="s">
        <v>47</v>
      </c>
      <c r="C503" s="8" t="s">
        <v>4</v>
      </c>
      <c r="D503" s="12">
        <v>45078</v>
      </c>
      <c r="E503" s="8">
        <v>72430</v>
      </c>
      <c r="F503" s="10">
        <f>IF(ISTEXT(Таблицаx_2[[#This Row],[Значение]]), 0, Таблицаx_2[[#This Row],[Значение]])</f>
        <v>72430</v>
      </c>
      <c r="G503" s="12">
        <v>44866</v>
      </c>
      <c r="H503" s="10" t="str">
        <f>IFERROR(VLOOKUP(Таблицаx_2[[#This Row],[id]],prolongations!A:C,2,)," ")</f>
        <v>ноябрь 2022</v>
      </c>
      <c r="I503" s="10">
        <f>IF(Таблицаx_2[[#This Row],[Месяц окончания]]=Таблицаx_2[[#This Row],[Месяц]],Таблицаx_2[[#This Row],[Значения числа]],0)</f>
        <v>0</v>
      </c>
      <c r="J503" s="8">
        <f>IF(AND(Таблицаx_2[[#This Row],[Месяц окончания]]=Таблицаx_2[[#This Row],[Месяц]],Таблицаx_2[[#This Row],[id]]=A504,EDATE(Таблицаx_2[[#This Row],[Месяц]],1)=D504),F504,0)</f>
        <v>0</v>
      </c>
      <c r="K503" s="8">
        <f>IF(AND(Таблицаx_2[[#This Row],[Месяц окончания]]=Таблицаx_2[[#This Row],[Месяц]],Таблицаx_2[[#This Row],[id]]=A504,EDATE(Таблицаx_2[[#This Row],[Месяц]],2)=D504),F504,0)</f>
        <v>0</v>
      </c>
    </row>
    <row r="504" spans="1:11" ht="12.75" hidden="1" customHeight="1" x14ac:dyDescent="0.2">
      <c r="A504" s="8">
        <v>787</v>
      </c>
      <c r="B504" s="8" t="s">
        <v>45</v>
      </c>
      <c r="C504" s="8" t="s">
        <v>4</v>
      </c>
      <c r="D504" s="12">
        <v>45047</v>
      </c>
      <c r="E504" s="8">
        <v>15400</v>
      </c>
      <c r="F504" s="10">
        <f>IF(ISTEXT(Таблицаx_2[[#This Row],[Значение]]), 0, Таблицаx_2[[#This Row],[Значение]])</f>
        <v>15400</v>
      </c>
      <c r="G504" s="12">
        <v>45017</v>
      </c>
      <c r="H504" s="10" t="str">
        <f>IFERROR(VLOOKUP(Таблицаx_2[[#This Row],[id]],prolongations!A:C,2,)," ")</f>
        <v>апрель 2023</v>
      </c>
      <c r="I504" s="10">
        <f>IF(Таблицаx_2[[#This Row],[Месяц окончания]]=Таблицаx_2[[#This Row],[Месяц]],Таблицаx_2[[#This Row],[Значения числа]],0)</f>
        <v>0</v>
      </c>
      <c r="J504" s="8">
        <f>IF(AND(Таблицаx_2[[#This Row],[Месяц окончания]]=Таблицаx_2[[#This Row],[Месяц]],Таблицаx_2[[#This Row],[id]]=A505,EDATE(Таблицаx_2[[#This Row],[Месяц]],1)=D505),F505,0)</f>
        <v>0</v>
      </c>
      <c r="K504" s="8">
        <f>IF(AND(Таблицаx_2[[#This Row],[Месяц окончания]]=Таблицаx_2[[#This Row],[Месяц]],Таблицаx_2[[#This Row],[id]]=A505,EDATE(Таблицаx_2[[#This Row],[Месяц]],2)=D505),F505,0)</f>
        <v>0</v>
      </c>
    </row>
    <row r="505" spans="1:11" ht="12.75" hidden="1" customHeight="1" x14ac:dyDescent="0.2">
      <c r="A505" s="8">
        <v>787</v>
      </c>
      <c r="B505" s="8" t="s">
        <v>45</v>
      </c>
      <c r="C505" s="8" t="s">
        <v>4</v>
      </c>
      <c r="D505" s="12">
        <v>45078</v>
      </c>
      <c r="E505" s="8">
        <v>15400</v>
      </c>
      <c r="F505" s="10">
        <f>IF(ISTEXT(Таблицаx_2[[#This Row],[Значение]]), 0, Таблицаx_2[[#This Row],[Значение]])</f>
        <v>15400</v>
      </c>
      <c r="G505" s="12">
        <v>45017</v>
      </c>
      <c r="H505" s="10" t="str">
        <f>IFERROR(VLOOKUP(Таблицаx_2[[#This Row],[id]],prolongations!A:C,2,)," ")</f>
        <v>апрель 2023</v>
      </c>
      <c r="I505" s="10">
        <f>IF(Таблицаx_2[[#This Row],[Месяц окончания]]=Таблицаx_2[[#This Row],[Месяц]],Таблицаx_2[[#This Row],[Значения числа]],0)</f>
        <v>0</v>
      </c>
      <c r="J505" s="8">
        <f>IF(AND(Таблицаx_2[[#This Row],[Месяц окончания]]=Таблицаx_2[[#This Row],[Месяц]],Таблицаx_2[[#This Row],[id]]=A506,EDATE(Таблицаx_2[[#This Row],[Месяц]],1)=D506),F506,0)</f>
        <v>0</v>
      </c>
      <c r="K505" s="8">
        <f>IF(AND(Таблицаx_2[[#This Row],[Месяц окончания]]=Таблицаx_2[[#This Row],[Месяц]],Таблицаx_2[[#This Row],[id]]=A506,EDATE(Таблицаx_2[[#This Row],[Месяц]],2)=D506),F506,0)</f>
        <v>0</v>
      </c>
    </row>
    <row r="506" spans="1:11" ht="12.75" hidden="1" customHeight="1" x14ac:dyDescent="0.2">
      <c r="A506" s="8">
        <v>787</v>
      </c>
      <c r="B506" s="8" t="s">
        <v>47</v>
      </c>
      <c r="C506" s="8" t="s">
        <v>4</v>
      </c>
      <c r="D506" s="12">
        <v>45047</v>
      </c>
      <c r="E506" s="8">
        <v>106400</v>
      </c>
      <c r="F506" s="10">
        <f>IF(ISTEXT(Таблицаx_2[[#This Row],[Значение]]), 0, Таблицаx_2[[#This Row],[Значение]])</f>
        <v>106400</v>
      </c>
      <c r="G506" s="12">
        <v>45017</v>
      </c>
      <c r="H506" s="10" t="str">
        <f>IFERROR(VLOOKUP(Таблицаx_2[[#This Row],[id]],prolongations!A:C,2,)," ")</f>
        <v>апрель 2023</v>
      </c>
      <c r="I506" s="10">
        <f>IF(Таблицаx_2[[#This Row],[Месяц окончания]]=Таблицаx_2[[#This Row],[Месяц]],Таблицаx_2[[#This Row],[Значения числа]],0)</f>
        <v>0</v>
      </c>
      <c r="J506" s="8">
        <f>IF(AND(Таблицаx_2[[#This Row],[Месяц окончания]]=Таблицаx_2[[#This Row],[Месяц]],Таблицаx_2[[#This Row],[id]]=A507,EDATE(Таблицаx_2[[#This Row],[Месяц]],1)=D507),F507,0)</f>
        <v>0</v>
      </c>
      <c r="K506" s="8">
        <f>IF(AND(Таблицаx_2[[#This Row],[Месяц окончания]]=Таблицаx_2[[#This Row],[Месяц]],Таблицаx_2[[#This Row],[id]]=A507,EDATE(Таблицаx_2[[#This Row],[Месяц]],2)=D507),F507,0)</f>
        <v>0</v>
      </c>
    </row>
    <row r="507" spans="1:11" ht="12.75" hidden="1" customHeight="1" x14ac:dyDescent="0.2">
      <c r="A507" s="8">
        <v>787</v>
      </c>
      <c r="B507" s="8" t="s">
        <v>47</v>
      </c>
      <c r="C507" s="8" t="s">
        <v>4</v>
      </c>
      <c r="D507" s="12">
        <v>45078</v>
      </c>
      <c r="E507" s="8">
        <v>53200</v>
      </c>
      <c r="F507" s="10">
        <f>IF(ISTEXT(Таблицаx_2[[#This Row],[Значение]]), 0, Таблицаx_2[[#This Row],[Значение]])</f>
        <v>53200</v>
      </c>
      <c r="G507" s="12">
        <v>45017</v>
      </c>
      <c r="H507" s="10" t="str">
        <f>IFERROR(VLOOKUP(Таблицаx_2[[#This Row],[id]],prolongations!A:C,2,)," ")</f>
        <v>апрель 2023</v>
      </c>
      <c r="I507" s="10">
        <f>IF(Таблицаx_2[[#This Row],[Месяц окончания]]=Таблицаx_2[[#This Row],[Месяц]],Таблицаx_2[[#This Row],[Значения числа]],0)</f>
        <v>0</v>
      </c>
      <c r="J507" s="8">
        <f>IF(AND(Таблицаx_2[[#This Row],[Месяц окончания]]=Таблицаx_2[[#This Row],[Месяц]],Таблицаx_2[[#This Row],[id]]=A508,EDATE(Таблицаx_2[[#This Row],[Месяц]],1)=D508),F508,0)</f>
        <v>0</v>
      </c>
      <c r="K507" s="8">
        <f>IF(AND(Таблицаx_2[[#This Row],[Месяц окончания]]=Таблицаx_2[[#This Row],[Месяц]],Таблицаx_2[[#This Row],[id]]=A508,EDATE(Таблицаx_2[[#This Row],[Месяц]],2)=D508),F508,0)</f>
        <v>0</v>
      </c>
    </row>
    <row r="508" spans="1:11" ht="12.75" hidden="1" customHeight="1" x14ac:dyDescent="0.2">
      <c r="A508" s="8">
        <v>858</v>
      </c>
      <c r="B508" s="8"/>
      <c r="C508" s="8" t="s">
        <v>10</v>
      </c>
      <c r="D508" s="12">
        <v>45047</v>
      </c>
      <c r="E508" s="8" t="s">
        <v>48</v>
      </c>
      <c r="F508" s="10">
        <f>IF(ISTEXT(Таблицаx_2[[#This Row],[Значение]]), 0, Таблицаx_2[[#This Row],[Значение]])</f>
        <v>0</v>
      </c>
      <c r="G508" s="12">
        <v>45078</v>
      </c>
      <c r="H508" s="10" t="str">
        <f>IFERROR(VLOOKUP(Таблицаx_2[[#This Row],[id]],prolongations!A:C,2,)," ")</f>
        <v>июнь 2023</v>
      </c>
      <c r="I508" s="10">
        <f>IF(Таблицаx_2[[#This Row],[Месяц окончания]]=Таблицаx_2[[#This Row],[Месяц]],Таблицаx_2[[#This Row],[Значения числа]],0)</f>
        <v>0</v>
      </c>
      <c r="J508" s="8">
        <f>IF(AND(Таблицаx_2[[#This Row],[Месяц окончания]]=Таблицаx_2[[#This Row],[Месяц]],Таблицаx_2[[#This Row],[id]]=A509,EDATE(Таблицаx_2[[#This Row],[Месяц]],1)=D509),F509,0)</f>
        <v>0</v>
      </c>
      <c r="K508" s="8">
        <f>IF(AND(Таблицаx_2[[#This Row],[Месяц окончания]]=Таблицаx_2[[#This Row],[Месяц]],Таблицаx_2[[#This Row],[id]]=A509,EDATE(Таблицаx_2[[#This Row],[Месяц]],2)=D509),F509,0)</f>
        <v>0</v>
      </c>
    </row>
    <row r="509" spans="1:11" ht="12.75" hidden="1" customHeight="1" x14ac:dyDescent="0.2">
      <c r="A509" s="8">
        <v>858</v>
      </c>
      <c r="B509" s="8"/>
      <c r="C509" s="8" t="s">
        <v>10</v>
      </c>
      <c r="D509" s="12">
        <v>45078</v>
      </c>
      <c r="E509" s="8" t="s">
        <v>48</v>
      </c>
      <c r="F509" s="10">
        <f>IF(ISTEXT(Таблицаx_2[[#This Row],[Значение]]), 0, Таблицаx_2[[#This Row],[Значение]])</f>
        <v>0</v>
      </c>
      <c r="G509" s="12">
        <v>45078</v>
      </c>
      <c r="H509" s="10" t="str">
        <f>IFERROR(VLOOKUP(Таблицаx_2[[#This Row],[id]],prolongations!A:C,2,)," ")</f>
        <v>июнь 2023</v>
      </c>
      <c r="I509" s="10">
        <f>IF(Таблицаx_2[[#This Row],[Месяц окончания]]=Таблицаx_2[[#This Row],[Месяц]],Таблицаx_2[[#This Row],[Значения числа]],0)</f>
        <v>0</v>
      </c>
      <c r="J509" s="8">
        <f>IF(AND(Таблицаx_2[[#This Row],[Месяц окончания]]=Таблицаx_2[[#This Row],[Месяц]],Таблицаx_2[[#This Row],[id]]=A510,EDATE(Таблицаx_2[[#This Row],[Месяц]],1)=D510),F510,0)</f>
        <v>0</v>
      </c>
      <c r="K509" s="8">
        <f>IF(AND(Таблицаx_2[[#This Row],[Месяц окончания]]=Таблицаx_2[[#This Row],[Месяц]],Таблицаx_2[[#This Row],[id]]=A510,EDATE(Таблицаx_2[[#This Row],[Месяц]],2)=D510),F510,0)</f>
        <v>0</v>
      </c>
    </row>
    <row r="510" spans="1:11" ht="12.75" hidden="1" customHeight="1" x14ac:dyDescent="0.2">
      <c r="A510" s="8">
        <v>857</v>
      </c>
      <c r="B510" s="8"/>
      <c r="C510" s="8" t="s">
        <v>6</v>
      </c>
      <c r="D510" s="12">
        <v>45047</v>
      </c>
      <c r="E510" s="8">
        <v>300030</v>
      </c>
      <c r="F510" s="10">
        <f>IF(ISTEXT(Таблицаx_2[[#This Row],[Значение]]), 0, Таблицаx_2[[#This Row],[Значение]])</f>
        <v>300030</v>
      </c>
      <c r="G510" s="12">
        <v>45078</v>
      </c>
      <c r="H510" s="10" t="str">
        <f>IFERROR(VLOOKUP(Таблицаx_2[[#This Row],[id]],prolongations!A:C,2,)," ")</f>
        <v>июнь 2023</v>
      </c>
      <c r="I510" s="10">
        <f>IF(Таблицаx_2[[#This Row],[Месяц окончания]]=Таблицаx_2[[#This Row],[Месяц]],Таблицаx_2[[#This Row],[Значения числа]],0)</f>
        <v>0</v>
      </c>
      <c r="J510" s="8">
        <f>IF(AND(Таблицаx_2[[#This Row],[Месяц окончания]]=Таблицаx_2[[#This Row],[Месяц]],Таблицаx_2[[#This Row],[id]]=A511,EDATE(Таблицаx_2[[#This Row],[Месяц]],1)=D511),F511,0)</f>
        <v>0</v>
      </c>
      <c r="K510" s="8">
        <f>IF(AND(Таблицаx_2[[#This Row],[Месяц окончания]]=Таблицаx_2[[#This Row],[Месяц]],Таблицаx_2[[#This Row],[id]]=A511,EDATE(Таблицаx_2[[#This Row],[Месяц]],2)=D511),F511,0)</f>
        <v>0</v>
      </c>
    </row>
    <row r="511" spans="1:11" ht="12.75" hidden="1" customHeight="1" x14ac:dyDescent="0.2">
      <c r="A511" s="8">
        <v>857</v>
      </c>
      <c r="B511" s="8"/>
      <c r="C511" s="8" t="s">
        <v>6</v>
      </c>
      <c r="D511" s="12">
        <v>45078</v>
      </c>
      <c r="E511" s="8">
        <v>321280</v>
      </c>
      <c r="F511" s="10">
        <f>IF(ISTEXT(Таблицаx_2[[#This Row],[Значение]]), 0, Таблицаx_2[[#This Row],[Значение]])</f>
        <v>321280</v>
      </c>
      <c r="G511" s="12">
        <v>45078</v>
      </c>
      <c r="H511" s="10" t="str">
        <f>IFERROR(VLOOKUP(Таблицаx_2[[#This Row],[id]],prolongations!A:C,2,)," ")</f>
        <v>июнь 2023</v>
      </c>
      <c r="I511" s="10">
        <f>IF(Таблицаx_2[[#This Row],[Месяц окончания]]=Таблицаx_2[[#This Row],[Месяц]],Таблицаx_2[[#This Row],[Значения числа]],0)</f>
        <v>321280</v>
      </c>
      <c r="J511" s="8">
        <f>IF(AND(Таблицаx_2[[#This Row],[Месяц окончания]]=Таблицаx_2[[#This Row],[Месяц]],Таблицаx_2[[#This Row],[id]]=A512,EDATE(Таблицаx_2[[#This Row],[Месяц]],1)=D512),F512,0)</f>
        <v>0</v>
      </c>
      <c r="K511" s="8">
        <f>IF(AND(Таблицаx_2[[#This Row],[Месяц окончания]]=Таблицаx_2[[#This Row],[Месяц]],Таблицаx_2[[#This Row],[id]]=A512,EDATE(Таблицаx_2[[#This Row],[Месяц]],2)=D512),F512,0)</f>
        <v>0</v>
      </c>
    </row>
    <row r="512" spans="1:11" ht="12.75" hidden="1" customHeight="1" x14ac:dyDescent="0.2">
      <c r="A512" s="8">
        <v>869</v>
      </c>
      <c r="B512" s="8"/>
      <c r="C512" s="8" t="s">
        <v>5</v>
      </c>
      <c r="D512" s="12">
        <v>45047</v>
      </c>
      <c r="E512" s="8">
        <v>63520</v>
      </c>
      <c r="F512" s="10">
        <f>IF(ISTEXT(Таблицаx_2[[#This Row],[Значение]]), 0, Таблицаx_2[[#This Row],[Значение]])</f>
        <v>63520</v>
      </c>
      <c r="G512" s="12">
        <v>45078</v>
      </c>
      <c r="H512" s="10" t="str">
        <f>IFERROR(VLOOKUP(Таблицаx_2[[#This Row],[id]],prolongations!A:C,2,)," ")</f>
        <v>июнь 2023</v>
      </c>
      <c r="I512" s="10">
        <f>IF(Таблицаx_2[[#This Row],[Месяц окончания]]=Таблицаx_2[[#This Row],[Месяц]],Таблицаx_2[[#This Row],[Значения числа]],0)</f>
        <v>0</v>
      </c>
      <c r="J512" s="8">
        <f>IF(AND(Таблицаx_2[[#This Row],[Месяц окончания]]=Таблицаx_2[[#This Row],[Месяц]],Таблицаx_2[[#This Row],[id]]=A513,EDATE(Таблицаx_2[[#This Row],[Месяц]],1)=D513),F513,0)</f>
        <v>0</v>
      </c>
      <c r="K512" s="8">
        <f>IF(AND(Таблицаx_2[[#This Row],[Месяц окончания]]=Таблицаx_2[[#This Row],[Месяц]],Таблицаx_2[[#This Row],[id]]=A513,EDATE(Таблицаx_2[[#This Row],[Месяц]],2)=D513),F513,0)</f>
        <v>0</v>
      </c>
    </row>
    <row r="513" spans="1:11" ht="12.75" hidden="1" customHeight="1" x14ac:dyDescent="0.2">
      <c r="A513" s="8">
        <v>869</v>
      </c>
      <c r="B513" s="8"/>
      <c r="C513" s="8" t="s">
        <v>5</v>
      </c>
      <c r="D513" s="12">
        <v>45078</v>
      </c>
      <c r="E513" s="8">
        <v>79180</v>
      </c>
      <c r="F513" s="10">
        <f>IF(ISTEXT(Таблицаx_2[[#This Row],[Значение]]), 0, Таблицаx_2[[#This Row],[Значение]])</f>
        <v>79180</v>
      </c>
      <c r="G513" s="12">
        <v>45078</v>
      </c>
      <c r="H513" s="10" t="str">
        <f>IFERROR(VLOOKUP(Таблицаx_2[[#This Row],[id]],prolongations!A:C,2,)," ")</f>
        <v>июнь 2023</v>
      </c>
      <c r="I513" s="10">
        <f>IF(Таблицаx_2[[#This Row],[Месяц окончания]]=Таблицаx_2[[#This Row],[Месяц]],Таблицаx_2[[#This Row],[Значения числа]],0)</f>
        <v>79180</v>
      </c>
      <c r="J513" s="8">
        <f>IF(AND(Таблицаx_2[[#This Row],[Месяц окончания]]=Таблицаx_2[[#This Row],[Месяц]],Таблицаx_2[[#This Row],[id]]=A514,EDATE(Таблицаx_2[[#This Row],[Месяц]],1)=D514),F514,0)</f>
        <v>94820</v>
      </c>
      <c r="K513" s="8">
        <f>IF(AND(Таблицаx_2[[#This Row],[Месяц окончания]]=Таблицаx_2[[#This Row],[Месяц]],Таблицаx_2[[#This Row],[id]]=A514,EDATE(Таблицаx_2[[#This Row],[Месяц]],2)=D514),F514,0)</f>
        <v>0</v>
      </c>
    </row>
    <row r="514" spans="1:11" ht="12.75" hidden="1" customHeight="1" x14ac:dyDescent="0.2">
      <c r="A514" s="8">
        <v>869</v>
      </c>
      <c r="B514" s="8"/>
      <c r="C514" s="8" t="s">
        <v>5</v>
      </c>
      <c r="D514" s="12">
        <v>45108</v>
      </c>
      <c r="E514" s="8">
        <v>94820</v>
      </c>
      <c r="F514" s="10">
        <f>IF(ISTEXT(Таблицаx_2[[#This Row],[Значение]]), 0, Таблицаx_2[[#This Row],[Значение]])</f>
        <v>94820</v>
      </c>
      <c r="G514" s="12">
        <v>45078</v>
      </c>
      <c r="H514" s="10" t="str">
        <f>IFERROR(VLOOKUP(Таблицаx_2[[#This Row],[id]],prolongations!A:C,2,)," ")</f>
        <v>июнь 2023</v>
      </c>
      <c r="I514" s="10">
        <f>IF(Таблицаx_2[[#This Row],[Месяц окончания]]=Таблицаx_2[[#This Row],[Месяц]],Таблицаx_2[[#This Row],[Значения числа]],0)</f>
        <v>0</v>
      </c>
      <c r="J514" s="8">
        <f>IF(AND(Таблицаx_2[[#This Row],[Месяц окончания]]=Таблицаx_2[[#This Row],[Месяц]],Таблицаx_2[[#This Row],[id]]=A515,EDATE(Таблицаx_2[[#This Row],[Месяц]],1)=D515),F515,0)</f>
        <v>0</v>
      </c>
      <c r="K514" s="8">
        <f>IF(AND(Таблицаx_2[[#This Row],[Месяц окончания]]=Таблицаx_2[[#This Row],[Месяц]],Таблицаx_2[[#This Row],[id]]=A515,EDATE(Таблицаx_2[[#This Row],[Месяц]],2)=D515),F515,0)</f>
        <v>0</v>
      </c>
    </row>
    <row r="515" spans="1:11" ht="12.75" hidden="1" customHeight="1" x14ac:dyDescent="0.2">
      <c r="A515" s="8">
        <v>807</v>
      </c>
      <c r="B515" s="8"/>
      <c r="C515" s="8" t="s">
        <v>8</v>
      </c>
      <c r="D515" s="12">
        <v>44986</v>
      </c>
      <c r="E515" s="8">
        <v>64420</v>
      </c>
      <c r="F515" s="10">
        <f>IF(ISTEXT(Таблицаx_2[[#This Row],[Значение]]), 0, Таблицаx_2[[#This Row],[Значение]])</f>
        <v>64420</v>
      </c>
      <c r="G515" s="12">
        <v>45078</v>
      </c>
      <c r="H515" s="10" t="str">
        <f>IFERROR(VLOOKUP(Таблицаx_2[[#This Row],[id]],prolongations!A:C,2,)," ")</f>
        <v>июнь 2023</v>
      </c>
      <c r="I515" s="10">
        <f>IF(Таблицаx_2[[#This Row],[Месяц окончания]]=Таблицаx_2[[#This Row],[Месяц]],Таблицаx_2[[#This Row],[Значения числа]],0)</f>
        <v>0</v>
      </c>
      <c r="J515" s="8">
        <f>IF(AND(Таблицаx_2[[#This Row],[Месяц окончания]]=Таблицаx_2[[#This Row],[Месяц]],Таблицаx_2[[#This Row],[id]]=A516,EDATE(Таблицаx_2[[#This Row],[Месяц]],1)=D516),F516,0)</f>
        <v>0</v>
      </c>
      <c r="K515" s="8">
        <f>IF(AND(Таблицаx_2[[#This Row],[Месяц окончания]]=Таблицаx_2[[#This Row],[Месяц]],Таблицаx_2[[#This Row],[id]]=A516,EDATE(Таблицаx_2[[#This Row],[Месяц]],2)=D516),F516,0)</f>
        <v>0</v>
      </c>
    </row>
    <row r="516" spans="1:11" ht="12.75" hidden="1" customHeight="1" x14ac:dyDescent="0.2">
      <c r="A516" s="8">
        <v>807</v>
      </c>
      <c r="B516" s="8"/>
      <c r="C516" s="8" t="s">
        <v>8</v>
      </c>
      <c r="D516" s="12">
        <v>45017</v>
      </c>
      <c r="E516" s="8">
        <v>66300</v>
      </c>
      <c r="F516" s="10">
        <f>IF(ISTEXT(Таблицаx_2[[#This Row],[Значение]]), 0, Таблицаx_2[[#This Row],[Значение]])</f>
        <v>66300</v>
      </c>
      <c r="G516" s="12">
        <v>45078</v>
      </c>
      <c r="H516" s="10" t="str">
        <f>IFERROR(VLOOKUP(Таблицаx_2[[#This Row],[id]],prolongations!A:C,2,)," ")</f>
        <v>июнь 2023</v>
      </c>
      <c r="I516" s="10">
        <f>IF(Таблицаx_2[[#This Row],[Месяц окончания]]=Таблицаx_2[[#This Row],[Месяц]],Таблицаx_2[[#This Row],[Значения числа]],0)</f>
        <v>0</v>
      </c>
      <c r="J516" s="8">
        <f>IF(AND(Таблицаx_2[[#This Row],[Месяц окончания]]=Таблицаx_2[[#This Row],[Месяц]],Таблицаx_2[[#This Row],[id]]=A517,EDATE(Таблицаx_2[[#This Row],[Месяц]],1)=D517),F517,0)</f>
        <v>0</v>
      </c>
      <c r="K516" s="8">
        <f>IF(AND(Таблицаx_2[[#This Row],[Месяц окончания]]=Таблицаx_2[[#This Row],[Месяц]],Таблицаx_2[[#This Row],[id]]=A517,EDATE(Таблицаx_2[[#This Row],[Месяц]],2)=D517),F517,0)</f>
        <v>0</v>
      </c>
    </row>
    <row r="517" spans="1:11" ht="12.75" hidden="1" customHeight="1" x14ac:dyDescent="0.2">
      <c r="A517" s="8">
        <v>807</v>
      </c>
      <c r="B517" s="8"/>
      <c r="C517" s="8" t="s">
        <v>8</v>
      </c>
      <c r="D517" s="12">
        <v>45047</v>
      </c>
      <c r="E517" s="8">
        <v>66300</v>
      </c>
      <c r="F517" s="10">
        <f>IF(ISTEXT(Таблицаx_2[[#This Row],[Значение]]), 0, Таблицаx_2[[#This Row],[Значение]])</f>
        <v>66300</v>
      </c>
      <c r="G517" s="12">
        <v>45078</v>
      </c>
      <c r="H517" s="10" t="str">
        <f>IFERROR(VLOOKUP(Таблицаx_2[[#This Row],[id]],prolongations!A:C,2,)," ")</f>
        <v>июнь 2023</v>
      </c>
      <c r="I517" s="10">
        <f>IF(Таблицаx_2[[#This Row],[Месяц окончания]]=Таблицаx_2[[#This Row],[Месяц]],Таблицаx_2[[#This Row],[Значения числа]],0)</f>
        <v>0</v>
      </c>
      <c r="J517" s="8">
        <f>IF(AND(Таблицаx_2[[#This Row],[Месяц окончания]]=Таблицаx_2[[#This Row],[Месяц]],Таблицаx_2[[#This Row],[id]]=A518,EDATE(Таблицаx_2[[#This Row],[Месяц]],1)=D518),F518,0)</f>
        <v>0</v>
      </c>
      <c r="K517" s="8">
        <f>IF(AND(Таблицаx_2[[#This Row],[Месяц окончания]]=Таблицаx_2[[#This Row],[Месяц]],Таблицаx_2[[#This Row],[id]]=A518,EDATE(Таблицаx_2[[#This Row],[Месяц]],2)=D518),F518,0)</f>
        <v>0</v>
      </c>
    </row>
    <row r="518" spans="1:11" ht="12.75" hidden="1" customHeight="1" x14ac:dyDescent="0.2">
      <c r="A518" s="8">
        <v>807</v>
      </c>
      <c r="B518" s="8"/>
      <c r="C518" s="8" t="s">
        <v>8</v>
      </c>
      <c r="D518" s="12">
        <v>45078</v>
      </c>
      <c r="E518" s="8">
        <v>66300</v>
      </c>
      <c r="F518" s="10">
        <f>IF(ISTEXT(Таблицаx_2[[#This Row],[Значение]]), 0, Таблицаx_2[[#This Row],[Значение]])</f>
        <v>66300</v>
      </c>
      <c r="G518" s="12">
        <v>45078</v>
      </c>
      <c r="H518" s="10" t="str">
        <f>IFERROR(VLOOKUP(Таблицаx_2[[#This Row],[id]],prolongations!A:C,2,)," ")</f>
        <v>июнь 2023</v>
      </c>
      <c r="I518" s="10">
        <f>IF(Таблицаx_2[[#This Row],[Месяц окончания]]=Таблицаx_2[[#This Row],[Месяц]],Таблицаx_2[[#This Row],[Значения числа]],0)</f>
        <v>66300</v>
      </c>
      <c r="J518" s="8">
        <f>IF(AND(Таблицаx_2[[#This Row],[Месяц окончания]]=Таблицаx_2[[#This Row],[Месяц]],Таблицаx_2[[#This Row],[id]]=A519,EDATE(Таблицаx_2[[#This Row],[Месяц]],1)=D519),F519,0)</f>
        <v>0</v>
      </c>
      <c r="K518" s="8">
        <f>IF(AND(Таблицаx_2[[#This Row],[Месяц окончания]]=Таблицаx_2[[#This Row],[Месяц]],Таблицаx_2[[#This Row],[id]]=A519,EDATE(Таблицаx_2[[#This Row],[Месяц]],2)=D519),F519,0)</f>
        <v>0</v>
      </c>
    </row>
    <row r="519" spans="1:11" ht="12.75" hidden="1" customHeight="1" x14ac:dyDescent="0.2">
      <c r="A519" s="8">
        <v>884</v>
      </c>
      <c r="B519" s="8"/>
      <c r="C519" s="8" t="s">
        <v>7</v>
      </c>
      <c r="D519" s="12">
        <v>45078</v>
      </c>
      <c r="E519" s="8">
        <v>50000</v>
      </c>
      <c r="F519" s="10">
        <f>IF(ISTEXT(Таблицаx_2[[#This Row],[Значение]]), 0, Таблицаx_2[[#This Row],[Значение]])</f>
        <v>50000</v>
      </c>
      <c r="G519" s="12">
        <v>45078</v>
      </c>
      <c r="H519" s="10" t="str">
        <f>IFERROR(VLOOKUP(Таблицаx_2[[#This Row],[id]],prolongations!A:C,2,)," ")</f>
        <v>июнь 2023</v>
      </c>
      <c r="I519" s="10">
        <f>IF(Таблицаx_2[[#This Row],[Месяц окончания]]=Таблицаx_2[[#This Row],[Месяц]],Таблицаx_2[[#This Row],[Значения числа]],0)</f>
        <v>50000</v>
      </c>
      <c r="J519" s="8">
        <f>IF(AND(Таблицаx_2[[#This Row],[Месяц окончания]]=Таблицаx_2[[#This Row],[Месяц]],Таблицаx_2[[#This Row],[id]]=A520,EDATE(Таблицаx_2[[#This Row],[Месяц]],1)=D520),F520,0)</f>
        <v>0</v>
      </c>
      <c r="K519" s="8">
        <f>IF(AND(Таблицаx_2[[#This Row],[Месяц окончания]]=Таблицаx_2[[#This Row],[Месяц]],Таблицаx_2[[#This Row],[id]]=A520,EDATE(Таблицаx_2[[#This Row],[Месяц]],2)=D520),F520,0)</f>
        <v>0</v>
      </c>
    </row>
    <row r="520" spans="1:11" ht="12.75" hidden="1" customHeight="1" x14ac:dyDescent="0.2">
      <c r="A520" s="8">
        <v>691</v>
      </c>
      <c r="B520" s="8" t="s">
        <v>52</v>
      </c>
      <c r="C520" s="8" t="s">
        <v>6</v>
      </c>
      <c r="D520" s="12">
        <v>44866</v>
      </c>
      <c r="E520" s="8">
        <v>73735</v>
      </c>
      <c r="F520" s="10">
        <f>IF(ISTEXT(Таблицаx_2[[#This Row],[Значение]]), 0, Таблицаx_2[[#This Row],[Значение]])</f>
        <v>73735</v>
      </c>
      <c r="G520" s="12">
        <v>44958</v>
      </c>
      <c r="H520" s="10" t="str">
        <f>IFERROR(VLOOKUP(Таблицаx_2[[#This Row],[id]],prolongations!A:C,2,)," ")</f>
        <v>февраль 2023</v>
      </c>
      <c r="I520" s="10">
        <f>IF(Таблицаx_2[[#This Row],[Месяц окончания]]=Таблицаx_2[[#This Row],[Месяц]],Таблицаx_2[[#This Row],[Значения числа]],0)</f>
        <v>0</v>
      </c>
      <c r="J520" s="8">
        <f>IF(AND(Таблицаx_2[[#This Row],[Месяц окончания]]=Таблицаx_2[[#This Row],[Месяц]],Таблицаx_2[[#This Row],[id]]=A521,EDATE(Таблицаx_2[[#This Row],[Месяц]],1)=D521),F521,0)</f>
        <v>0</v>
      </c>
      <c r="K520" s="8">
        <f>IF(AND(Таблицаx_2[[#This Row],[Месяц окончания]]=Таблицаx_2[[#This Row],[Месяц]],Таблицаx_2[[#This Row],[id]]=A521,EDATE(Таблицаx_2[[#This Row],[Месяц]],2)=D521),F521,0)</f>
        <v>0</v>
      </c>
    </row>
    <row r="521" spans="1:11" ht="12.75" hidden="1" customHeight="1" x14ac:dyDescent="0.2">
      <c r="A521" s="8">
        <v>691</v>
      </c>
      <c r="B521" s="8" t="s">
        <v>52</v>
      </c>
      <c r="C521" s="8" t="s">
        <v>6</v>
      </c>
      <c r="D521" s="12">
        <v>44896</v>
      </c>
      <c r="E521" s="8">
        <v>52435</v>
      </c>
      <c r="F521" s="10">
        <f>IF(ISTEXT(Таблицаx_2[[#This Row],[Значение]]), 0, Таблицаx_2[[#This Row],[Значение]])</f>
        <v>52435</v>
      </c>
      <c r="G521" s="12">
        <v>44958</v>
      </c>
      <c r="H521" s="10" t="str">
        <f>IFERROR(VLOOKUP(Таблицаx_2[[#This Row],[id]],prolongations!A:C,2,)," ")</f>
        <v>февраль 2023</v>
      </c>
      <c r="I521" s="10">
        <f>IF(Таблицаx_2[[#This Row],[Месяц окончания]]=Таблицаx_2[[#This Row],[Месяц]],Таблицаx_2[[#This Row],[Значения числа]],0)</f>
        <v>0</v>
      </c>
      <c r="J521" s="8">
        <f>IF(AND(Таблицаx_2[[#This Row],[Месяц окончания]]=Таблицаx_2[[#This Row],[Месяц]],Таблицаx_2[[#This Row],[id]]=A522,EDATE(Таблицаx_2[[#This Row],[Месяц]],1)=D522),F522,0)</f>
        <v>0</v>
      </c>
      <c r="K521" s="8">
        <f>IF(AND(Таблицаx_2[[#This Row],[Месяц окончания]]=Таблицаx_2[[#This Row],[Месяц]],Таблицаx_2[[#This Row],[id]]=A522,EDATE(Таблицаx_2[[#This Row],[Месяц]],2)=D522),F522,0)</f>
        <v>0</v>
      </c>
    </row>
    <row r="522" spans="1:11" ht="12.75" hidden="1" customHeight="1" x14ac:dyDescent="0.2">
      <c r="A522" s="8">
        <v>691</v>
      </c>
      <c r="B522" s="8" t="s">
        <v>52</v>
      </c>
      <c r="C522" s="8" t="s">
        <v>6</v>
      </c>
      <c r="D522" s="12">
        <v>44927</v>
      </c>
      <c r="E522" s="8">
        <v>60135</v>
      </c>
      <c r="F522" s="10">
        <f>IF(ISTEXT(Таблицаx_2[[#This Row],[Значение]]), 0, Таблицаx_2[[#This Row],[Значение]])</f>
        <v>60135</v>
      </c>
      <c r="G522" s="12">
        <v>44958</v>
      </c>
      <c r="H522" s="10" t="str">
        <f>IFERROR(VLOOKUP(Таблицаx_2[[#This Row],[id]],prolongations!A:C,2,)," ")</f>
        <v>февраль 2023</v>
      </c>
      <c r="I522" s="10">
        <f>IF(Таблицаx_2[[#This Row],[Месяц окончания]]=Таблицаx_2[[#This Row],[Месяц]],Таблицаx_2[[#This Row],[Значения числа]],0)</f>
        <v>0</v>
      </c>
      <c r="J522" s="8">
        <f>IF(AND(Таблицаx_2[[#This Row],[Месяц окончания]]=Таблицаx_2[[#This Row],[Месяц]],Таблицаx_2[[#This Row],[id]]=A523,EDATE(Таблицаx_2[[#This Row],[Месяц]],1)=D523),F523,0)</f>
        <v>0</v>
      </c>
      <c r="K522" s="8">
        <f>IF(AND(Таблицаx_2[[#This Row],[Месяц окончания]]=Таблицаx_2[[#This Row],[Месяц]],Таблицаx_2[[#This Row],[id]]=A523,EDATE(Таблицаx_2[[#This Row],[Месяц]],2)=D523),F523,0)</f>
        <v>0</v>
      </c>
    </row>
    <row r="523" spans="1:11" ht="12.75" hidden="1" customHeight="1" x14ac:dyDescent="0.2">
      <c r="A523" s="8">
        <v>691</v>
      </c>
      <c r="B523" s="8" t="s">
        <v>52</v>
      </c>
      <c r="C523" s="8" t="s">
        <v>6</v>
      </c>
      <c r="D523" s="12">
        <v>44958</v>
      </c>
      <c r="E523" s="8">
        <v>56125</v>
      </c>
      <c r="F523" s="10">
        <f>IF(ISTEXT(Таблицаx_2[[#This Row],[Значение]]), 0, Таблицаx_2[[#This Row],[Значение]])</f>
        <v>56125</v>
      </c>
      <c r="G523" s="12">
        <v>44958</v>
      </c>
      <c r="H523" s="10" t="str">
        <f>IFERROR(VLOOKUP(Таблицаx_2[[#This Row],[id]],prolongations!A:C,2,)," ")</f>
        <v>февраль 2023</v>
      </c>
      <c r="I523" s="10">
        <f>IF(Таблицаx_2[[#This Row],[Месяц окончания]]=Таблицаx_2[[#This Row],[Месяц]],Таблицаx_2[[#This Row],[Значения числа]],0)</f>
        <v>56125</v>
      </c>
      <c r="J523" s="8">
        <f>IF(AND(Таблицаx_2[[#This Row],[Месяц окончания]]=Таблицаx_2[[#This Row],[Месяц]],Таблицаx_2[[#This Row],[id]]=A524,EDATE(Таблицаx_2[[#This Row],[Месяц]],1)=D524),F524,0)</f>
        <v>55760</v>
      </c>
      <c r="K523" s="8">
        <f>IF(AND(Таблицаx_2[[#This Row],[Месяц окончания]]=Таблицаx_2[[#This Row],[Месяц]],Таблицаx_2[[#This Row],[id]]=A524,EDATE(Таблицаx_2[[#This Row],[Месяц]],2)=D524),F524,0)</f>
        <v>0</v>
      </c>
    </row>
    <row r="524" spans="1:11" ht="12.75" hidden="1" customHeight="1" x14ac:dyDescent="0.2">
      <c r="A524" s="8">
        <v>691</v>
      </c>
      <c r="B524" s="8" t="s">
        <v>52</v>
      </c>
      <c r="C524" s="8" t="s">
        <v>6</v>
      </c>
      <c r="D524" s="12">
        <v>44986</v>
      </c>
      <c r="E524" s="8">
        <v>55760</v>
      </c>
      <c r="F524" s="10">
        <f>IF(ISTEXT(Таблицаx_2[[#This Row],[Значение]]), 0, Таблицаx_2[[#This Row],[Значение]])</f>
        <v>55760</v>
      </c>
      <c r="G524" s="12">
        <v>44958</v>
      </c>
      <c r="H524" s="10" t="str">
        <f>IFERROR(VLOOKUP(Таблицаx_2[[#This Row],[id]],prolongations!A:C,2,)," ")</f>
        <v>февраль 2023</v>
      </c>
      <c r="I524" s="10">
        <f>IF(Таблицаx_2[[#This Row],[Месяц окончания]]=Таблицаx_2[[#This Row],[Месяц]],Таблицаx_2[[#This Row],[Значения числа]],0)</f>
        <v>0</v>
      </c>
      <c r="J524" s="8">
        <f>IF(AND(Таблицаx_2[[#This Row],[Месяц окончания]]=Таблицаx_2[[#This Row],[Месяц]],Таблицаx_2[[#This Row],[id]]=A525,EDATE(Таблицаx_2[[#This Row],[Месяц]],1)=D525),F525,0)</f>
        <v>0</v>
      </c>
      <c r="K524" s="8">
        <f>IF(AND(Таблицаx_2[[#This Row],[Месяц окончания]]=Таблицаx_2[[#This Row],[Месяц]],Таблицаx_2[[#This Row],[id]]=A525,EDATE(Таблицаx_2[[#This Row],[Месяц]],2)=D525),F525,0)</f>
        <v>0</v>
      </c>
    </row>
    <row r="525" spans="1:11" ht="12.75" hidden="1" customHeight="1" x14ac:dyDescent="0.2">
      <c r="A525" s="8">
        <v>691</v>
      </c>
      <c r="B525" s="8" t="s">
        <v>52</v>
      </c>
      <c r="C525" s="8" t="s">
        <v>6</v>
      </c>
      <c r="D525" s="12">
        <v>45017</v>
      </c>
      <c r="E525" s="8">
        <v>52435</v>
      </c>
      <c r="F525" s="10">
        <f>IF(ISTEXT(Таблицаx_2[[#This Row],[Значение]]), 0, Таблицаx_2[[#This Row],[Значение]])</f>
        <v>52435</v>
      </c>
      <c r="G525" s="12">
        <v>44958</v>
      </c>
      <c r="H525" s="10" t="str">
        <f>IFERROR(VLOOKUP(Таблицаx_2[[#This Row],[id]],prolongations!A:C,2,)," ")</f>
        <v>февраль 2023</v>
      </c>
      <c r="I525" s="10">
        <f>IF(Таблицаx_2[[#This Row],[Месяц окончания]]=Таблицаx_2[[#This Row],[Месяц]],Таблицаx_2[[#This Row],[Значения числа]],0)</f>
        <v>0</v>
      </c>
      <c r="J525" s="8">
        <f>IF(AND(Таблицаx_2[[#This Row],[Месяц окончания]]=Таблицаx_2[[#This Row],[Месяц]],Таблицаx_2[[#This Row],[id]]=A526,EDATE(Таблицаx_2[[#This Row],[Месяц]],1)=D526),F526,0)</f>
        <v>0</v>
      </c>
      <c r="K525" s="8">
        <f>IF(AND(Таблицаx_2[[#This Row],[Месяц окончания]]=Таблицаx_2[[#This Row],[Месяц]],Таблицаx_2[[#This Row],[id]]=A526,EDATE(Таблицаx_2[[#This Row],[Месяц]],2)=D526),F526,0)</f>
        <v>0</v>
      </c>
    </row>
    <row r="526" spans="1:11" ht="12.75" hidden="1" customHeight="1" x14ac:dyDescent="0.2">
      <c r="A526" s="8">
        <v>691</v>
      </c>
      <c r="B526" s="8" t="s">
        <v>52</v>
      </c>
      <c r="C526" s="8" t="s">
        <v>6</v>
      </c>
      <c r="D526" s="12">
        <v>45047</v>
      </c>
      <c r="E526" s="8">
        <v>60135</v>
      </c>
      <c r="F526" s="10">
        <f>IF(ISTEXT(Таблицаx_2[[#This Row],[Значение]]), 0, Таблицаx_2[[#This Row],[Значение]])</f>
        <v>60135</v>
      </c>
      <c r="G526" s="12">
        <v>44958</v>
      </c>
      <c r="H526" s="10" t="str">
        <f>IFERROR(VLOOKUP(Таблицаx_2[[#This Row],[id]],prolongations!A:C,2,)," ")</f>
        <v>февраль 2023</v>
      </c>
      <c r="I526" s="10">
        <f>IF(Таблицаx_2[[#This Row],[Месяц окончания]]=Таблицаx_2[[#This Row],[Месяц]],Таблицаx_2[[#This Row],[Значения числа]],0)</f>
        <v>0</v>
      </c>
      <c r="J526" s="8">
        <f>IF(AND(Таблицаx_2[[#This Row],[Месяц окончания]]=Таблицаx_2[[#This Row],[Месяц]],Таблицаx_2[[#This Row],[id]]=A527,EDATE(Таблицаx_2[[#This Row],[Месяц]],1)=D527),F527,0)</f>
        <v>0</v>
      </c>
      <c r="K526" s="8">
        <f>IF(AND(Таблицаx_2[[#This Row],[Месяц окончания]]=Таблицаx_2[[#This Row],[Месяц]],Таблицаx_2[[#This Row],[id]]=A527,EDATE(Таблицаx_2[[#This Row],[Месяц]],2)=D527),F527,0)</f>
        <v>0</v>
      </c>
    </row>
    <row r="527" spans="1:11" ht="12.75" hidden="1" customHeight="1" x14ac:dyDescent="0.2">
      <c r="A527" s="8">
        <v>691</v>
      </c>
      <c r="B527" s="8" t="s">
        <v>52</v>
      </c>
      <c r="C527" s="8" t="s">
        <v>6</v>
      </c>
      <c r="D527" s="12">
        <v>45078</v>
      </c>
      <c r="E527" s="8">
        <v>56125</v>
      </c>
      <c r="F527" s="10">
        <f>IF(ISTEXT(Таблицаx_2[[#This Row],[Значение]]), 0, Таблицаx_2[[#This Row],[Значение]])</f>
        <v>56125</v>
      </c>
      <c r="G527" s="12">
        <v>44958</v>
      </c>
      <c r="H527" s="10" t="str">
        <f>IFERROR(VLOOKUP(Таблицаx_2[[#This Row],[id]],prolongations!A:C,2,)," ")</f>
        <v>февраль 2023</v>
      </c>
      <c r="I527" s="10">
        <f>IF(Таблицаx_2[[#This Row],[Месяц окончания]]=Таблицаx_2[[#This Row],[Месяц]],Таблицаx_2[[#This Row],[Значения числа]],0)</f>
        <v>0</v>
      </c>
      <c r="J527" s="8">
        <f>IF(AND(Таблицаx_2[[#This Row],[Месяц окончания]]=Таблицаx_2[[#This Row],[Месяц]],Таблицаx_2[[#This Row],[id]]=A528,EDATE(Таблицаx_2[[#This Row],[Месяц]],1)=D528),F528,0)</f>
        <v>0</v>
      </c>
      <c r="K527" s="8">
        <f>IF(AND(Таблицаx_2[[#This Row],[Месяц окончания]]=Таблицаx_2[[#This Row],[Месяц]],Таблицаx_2[[#This Row],[id]]=A528,EDATE(Таблицаx_2[[#This Row],[Месяц]],2)=D528),F528,0)</f>
        <v>0</v>
      </c>
    </row>
    <row r="528" spans="1:11" ht="12.75" hidden="1" customHeight="1" x14ac:dyDescent="0.2">
      <c r="A528" s="8">
        <v>691</v>
      </c>
      <c r="B528" s="8" t="s">
        <v>50</v>
      </c>
      <c r="C528" s="8" t="s">
        <v>6</v>
      </c>
      <c r="D528" s="12">
        <v>44866</v>
      </c>
      <c r="E528" s="8">
        <v>4220</v>
      </c>
      <c r="F528" s="10">
        <f>IF(ISTEXT(Таблицаx_2[[#This Row],[Значение]]), 0, Таблицаx_2[[#This Row],[Значение]])</f>
        <v>4220</v>
      </c>
      <c r="G528" s="12">
        <v>44958</v>
      </c>
      <c r="H528" s="10" t="str">
        <f>IFERROR(VLOOKUP(Таблицаx_2[[#This Row],[id]],prolongations!A:C,2,)," ")</f>
        <v>февраль 2023</v>
      </c>
      <c r="I528" s="10">
        <f>IF(Таблицаx_2[[#This Row],[Месяц окончания]]=Таблицаx_2[[#This Row],[Месяц]],Таблицаx_2[[#This Row],[Значения числа]],0)</f>
        <v>0</v>
      </c>
      <c r="J528" s="8">
        <f>IF(AND(Таблицаx_2[[#This Row],[Месяц окончания]]=Таблицаx_2[[#This Row],[Месяц]],Таблицаx_2[[#This Row],[id]]=A529,EDATE(Таблицаx_2[[#This Row],[Месяц]],1)=D529),F529,0)</f>
        <v>0</v>
      </c>
      <c r="K528" s="8">
        <f>IF(AND(Таблицаx_2[[#This Row],[Месяц окончания]]=Таблицаx_2[[#This Row],[Месяц]],Таблицаx_2[[#This Row],[id]]=A529,EDATE(Таблицаx_2[[#This Row],[Месяц]],2)=D529),F529,0)</f>
        <v>0</v>
      </c>
    </row>
    <row r="529" spans="1:11" ht="12.75" hidden="1" customHeight="1" x14ac:dyDescent="0.2">
      <c r="A529" s="8">
        <v>691</v>
      </c>
      <c r="B529" s="8" t="s">
        <v>50</v>
      </c>
      <c r="C529" s="8" t="s">
        <v>6</v>
      </c>
      <c r="D529" s="12">
        <v>44896</v>
      </c>
      <c r="E529" s="8">
        <v>4220</v>
      </c>
      <c r="F529" s="10">
        <f>IF(ISTEXT(Таблицаx_2[[#This Row],[Значение]]), 0, Таблицаx_2[[#This Row],[Значение]])</f>
        <v>4220</v>
      </c>
      <c r="G529" s="12">
        <v>44958</v>
      </c>
      <c r="H529" s="10" t="str">
        <f>IFERROR(VLOOKUP(Таблицаx_2[[#This Row],[id]],prolongations!A:C,2,)," ")</f>
        <v>февраль 2023</v>
      </c>
      <c r="I529" s="10">
        <f>IF(Таблицаx_2[[#This Row],[Месяц окончания]]=Таблицаx_2[[#This Row],[Месяц]],Таблицаx_2[[#This Row],[Значения числа]],0)</f>
        <v>0</v>
      </c>
      <c r="J529" s="8">
        <f>IF(AND(Таблицаx_2[[#This Row],[Месяц окончания]]=Таблицаx_2[[#This Row],[Месяц]],Таблицаx_2[[#This Row],[id]]=A530,EDATE(Таблицаx_2[[#This Row],[Месяц]],1)=D530),F530,0)</f>
        <v>0</v>
      </c>
      <c r="K529" s="8">
        <f>IF(AND(Таблицаx_2[[#This Row],[Месяц окончания]]=Таблицаx_2[[#This Row],[Месяц]],Таблицаx_2[[#This Row],[id]]=A530,EDATE(Таблицаx_2[[#This Row],[Месяц]],2)=D530),F530,0)</f>
        <v>0</v>
      </c>
    </row>
    <row r="530" spans="1:11" ht="12.75" hidden="1" customHeight="1" x14ac:dyDescent="0.2">
      <c r="A530" s="8">
        <v>691</v>
      </c>
      <c r="B530" s="8" t="s">
        <v>50</v>
      </c>
      <c r="C530" s="8" t="s">
        <v>6</v>
      </c>
      <c r="D530" s="12">
        <v>44927</v>
      </c>
      <c r="E530" s="8">
        <v>4220</v>
      </c>
      <c r="F530" s="10">
        <f>IF(ISTEXT(Таблицаx_2[[#This Row],[Значение]]), 0, Таблицаx_2[[#This Row],[Значение]])</f>
        <v>4220</v>
      </c>
      <c r="G530" s="12">
        <v>44958</v>
      </c>
      <c r="H530" s="10" t="str">
        <f>IFERROR(VLOOKUP(Таблицаx_2[[#This Row],[id]],prolongations!A:C,2,)," ")</f>
        <v>февраль 2023</v>
      </c>
      <c r="I530" s="10">
        <f>IF(Таблицаx_2[[#This Row],[Месяц окончания]]=Таблицаx_2[[#This Row],[Месяц]],Таблицаx_2[[#This Row],[Значения числа]],0)</f>
        <v>0</v>
      </c>
      <c r="J530" s="8">
        <f>IF(AND(Таблицаx_2[[#This Row],[Месяц окончания]]=Таблицаx_2[[#This Row],[Месяц]],Таблицаx_2[[#This Row],[id]]=A531,EDATE(Таблицаx_2[[#This Row],[Месяц]],1)=D531),F531,0)</f>
        <v>0</v>
      </c>
      <c r="K530" s="8">
        <f>IF(AND(Таблицаx_2[[#This Row],[Месяц окончания]]=Таблицаx_2[[#This Row],[Месяц]],Таблицаx_2[[#This Row],[id]]=A531,EDATE(Таблицаx_2[[#This Row],[Месяц]],2)=D531),F531,0)</f>
        <v>0</v>
      </c>
    </row>
    <row r="531" spans="1:11" ht="12.75" hidden="1" customHeight="1" x14ac:dyDescent="0.2">
      <c r="A531" s="8">
        <v>691</v>
      </c>
      <c r="B531" s="8" t="s">
        <v>50</v>
      </c>
      <c r="C531" s="8" t="s">
        <v>6</v>
      </c>
      <c r="D531" s="12">
        <v>44958</v>
      </c>
      <c r="E531" s="8">
        <v>4220</v>
      </c>
      <c r="F531" s="10">
        <f>IF(ISTEXT(Таблицаx_2[[#This Row],[Значение]]), 0, Таблицаx_2[[#This Row],[Значение]])</f>
        <v>4220</v>
      </c>
      <c r="G531" s="12">
        <v>44958</v>
      </c>
      <c r="H531" s="10" t="str">
        <f>IFERROR(VLOOKUP(Таблицаx_2[[#This Row],[id]],prolongations!A:C,2,)," ")</f>
        <v>февраль 2023</v>
      </c>
      <c r="I531" s="10">
        <f>IF(Таблицаx_2[[#This Row],[Месяц окончания]]=Таблицаx_2[[#This Row],[Месяц]],Таблицаx_2[[#This Row],[Значения числа]],0)</f>
        <v>4220</v>
      </c>
      <c r="J531" s="8">
        <f>IF(AND(Таблицаx_2[[#This Row],[Месяц окончания]]=Таблицаx_2[[#This Row],[Месяц]],Таблицаx_2[[#This Row],[id]]=A532,EDATE(Таблицаx_2[[#This Row],[Месяц]],1)=D532),F532,0)</f>
        <v>4220</v>
      </c>
      <c r="K531" s="8">
        <f>IF(AND(Таблицаx_2[[#This Row],[Месяц окончания]]=Таблицаx_2[[#This Row],[Месяц]],Таблицаx_2[[#This Row],[id]]=A532,EDATE(Таблицаx_2[[#This Row],[Месяц]],2)=D532),F532,0)</f>
        <v>0</v>
      </c>
    </row>
    <row r="532" spans="1:11" ht="12.75" hidden="1" customHeight="1" x14ac:dyDescent="0.2">
      <c r="A532" s="8">
        <v>691</v>
      </c>
      <c r="B532" s="8" t="s">
        <v>50</v>
      </c>
      <c r="C532" s="8" t="s">
        <v>6</v>
      </c>
      <c r="D532" s="12">
        <v>44986</v>
      </c>
      <c r="E532" s="8">
        <v>4220</v>
      </c>
      <c r="F532" s="10">
        <f>IF(ISTEXT(Таблицаx_2[[#This Row],[Значение]]), 0, Таблицаx_2[[#This Row],[Значение]])</f>
        <v>4220</v>
      </c>
      <c r="G532" s="12">
        <v>44958</v>
      </c>
      <c r="H532" s="10" t="str">
        <f>IFERROR(VLOOKUP(Таблицаx_2[[#This Row],[id]],prolongations!A:C,2,)," ")</f>
        <v>февраль 2023</v>
      </c>
      <c r="I532" s="10">
        <f>IF(Таблицаx_2[[#This Row],[Месяц окончания]]=Таблицаx_2[[#This Row],[Месяц]],Таблицаx_2[[#This Row],[Значения числа]],0)</f>
        <v>0</v>
      </c>
      <c r="J532" s="8">
        <f>IF(AND(Таблицаx_2[[#This Row],[Месяц окончания]]=Таблицаx_2[[#This Row],[Месяц]],Таблицаx_2[[#This Row],[id]]=A533,EDATE(Таблицаx_2[[#This Row],[Месяц]],1)=D533),F533,0)</f>
        <v>0</v>
      </c>
      <c r="K532" s="8">
        <f>IF(AND(Таблицаx_2[[#This Row],[Месяц окончания]]=Таблицаx_2[[#This Row],[Месяц]],Таблицаx_2[[#This Row],[id]]=A533,EDATE(Таблицаx_2[[#This Row],[Месяц]],2)=D533),F533,0)</f>
        <v>0</v>
      </c>
    </row>
    <row r="533" spans="1:11" ht="12.75" hidden="1" customHeight="1" x14ac:dyDescent="0.2">
      <c r="A533" s="8">
        <v>691</v>
      </c>
      <c r="B533" s="8" t="s">
        <v>50</v>
      </c>
      <c r="C533" s="8" t="s">
        <v>6</v>
      </c>
      <c r="D533" s="12">
        <v>45017</v>
      </c>
      <c r="E533" s="8">
        <v>4220</v>
      </c>
      <c r="F533" s="10">
        <f>IF(ISTEXT(Таблицаx_2[[#This Row],[Значение]]), 0, Таблицаx_2[[#This Row],[Значение]])</f>
        <v>4220</v>
      </c>
      <c r="G533" s="12">
        <v>44958</v>
      </c>
      <c r="H533" s="10" t="str">
        <f>IFERROR(VLOOKUP(Таблицаx_2[[#This Row],[id]],prolongations!A:C,2,)," ")</f>
        <v>февраль 2023</v>
      </c>
      <c r="I533" s="10">
        <f>IF(Таблицаx_2[[#This Row],[Месяц окончания]]=Таблицаx_2[[#This Row],[Месяц]],Таблицаx_2[[#This Row],[Значения числа]],0)</f>
        <v>0</v>
      </c>
      <c r="J533" s="8">
        <f>IF(AND(Таблицаx_2[[#This Row],[Месяц окончания]]=Таблицаx_2[[#This Row],[Месяц]],Таблицаx_2[[#This Row],[id]]=A534,EDATE(Таблицаx_2[[#This Row],[Месяц]],1)=D534),F534,0)</f>
        <v>0</v>
      </c>
      <c r="K533" s="8">
        <f>IF(AND(Таблицаx_2[[#This Row],[Месяц окончания]]=Таблицаx_2[[#This Row],[Месяц]],Таблицаx_2[[#This Row],[id]]=A534,EDATE(Таблицаx_2[[#This Row],[Месяц]],2)=D534),F534,0)</f>
        <v>0</v>
      </c>
    </row>
    <row r="534" spans="1:11" ht="12.75" hidden="1" customHeight="1" x14ac:dyDescent="0.2">
      <c r="A534" s="8">
        <v>691</v>
      </c>
      <c r="B534" s="8" t="s">
        <v>50</v>
      </c>
      <c r="C534" s="8" t="s">
        <v>6</v>
      </c>
      <c r="D534" s="12">
        <v>45047</v>
      </c>
      <c r="E534" s="8">
        <v>4220</v>
      </c>
      <c r="F534" s="10">
        <f>IF(ISTEXT(Таблицаx_2[[#This Row],[Значение]]), 0, Таблицаx_2[[#This Row],[Значение]])</f>
        <v>4220</v>
      </c>
      <c r="G534" s="12">
        <v>44958</v>
      </c>
      <c r="H534" s="10" t="str">
        <f>IFERROR(VLOOKUP(Таблицаx_2[[#This Row],[id]],prolongations!A:C,2,)," ")</f>
        <v>февраль 2023</v>
      </c>
      <c r="I534" s="10">
        <f>IF(Таблицаx_2[[#This Row],[Месяц окончания]]=Таблицаx_2[[#This Row],[Месяц]],Таблицаx_2[[#This Row],[Значения числа]],0)</f>
        <v>0</v>
      </c>
      <c r="J534" s="8">
        <f>IF(AND(Таблицаx_2[[#This Row],[Месяц окончания]]=Таблицаx_2[[#This Row],[Месяц]],Таблицаx_2[[#This Row],[id]]=A535,EDATE(Таблицаx_2[[#This Row],[Месяц]],1)=D535),F535,0)</f>
        <v>0</v>
      </c>
      <c r="K534" s="8">
        <f>IF(AND(Таблицаx_2[[#This Row],[Месяц окончания]]=Таблицаx_2[[#This Row],[Месяц]],Таблицаx_2[[#This Row],[id]]=A535,EDATE(Таблицаx_2[[#This Row],[Месяц]],2)=D535),F535,0)</f>
        <v>0</v>
      </c>
    </row>
    <row r="535" spans="1:11" ht="12.75" hidden="1" customHeight="1" x14ac:dyDescent="0.2">
      <c r="A535" s="8">
        <v>691</v>
      </c>
      <c r="B535" s="8" t="s">
        <v>50</v>
      </c>
      <c r="C535" s="8" t="s">
        <v>6</v>
      </c>
      <c r="D535" s="12">
        <v>45078</v>
      </c>
      <c r="E535" s="8">
        <v>2110</v>
      </c>
      <c r="F535" s="10">
        <f>IF(ISTEXT(Таблицаx_2[[#This Row],[Значение]]), 0, Таблицаx_2[[#This Row],[Значение]])</f>
        <v>2110</v>
      </c>
      <c r="G535" s="12">
        <v>44958</v>
      </c>
      <c r="H535" s="10" t="str">
        <f>IFERROR(VLOOKUP(Таблицаx_2[[#This Row],[id]],prolongations!A:C,2,)," ")</f>
        <v>февраль 2023</v>
      </c>
      <c r="I535" s="10">
        <f>IF(Таблицаx_2[[#This Row],[Месяц окончания]]=Таблицаx_2[[#This Row],[Месяц]],Таблицаx_2[[#This Row],[Значения числа]],0)</f>
        <v>0</v>
      </c>
      <c r="J535" s="8">
        <f>IF(AND(Таблицаx_2[[#This Row],[Месяц окончания]]=Таблицаx_2[[#This Row],[Месяц]],Таблицаx_2[[#This Row],[id]]=A536,EDATE(Таблицаx_2[[#This Row],[Месяц]],1)=D536),F536,0)</f>
        <v>0</v>
      </c>
      <c r="K535" s="8">
        <f>IF(AND(Таблицаx_2[[#This Row],[Месяц окончания]]=Таблицаx_2[[#This Row],[Месяц]],Таблицаx_2[[#This Row],[id]]=A536,EDATE(Таблицаx_2[[#This Row],[Месяц]],2)=D536),F536,0)</f>
        <v>0</v>
      </c>
    </row>
    <row r="536" spans="1:11" ht="12.75" hidden="1" customHeight="1" x14ac:dyDescent="0.2">
      <c r="A536" s="8">
        <v>806</v>
      </c>
      <c r="B536" s="8" t="s">
        <v>52</v>
      </c>
      <c r="C536" s="8" t="s">
        <v>6</v>
      </c>
      <c r="D536" s="12">
        <v>44986</v>
      </c>
      <c r="E536" s="8">
        <v>47500</v>
      </c>
      <c r="F536" s="10">
        <f>IF(ISTEXT(Таблицаx_2[[#This Row],[Значение]]), 0, Таблицаx_2[[#This Row],[Значение]])</f>
        <v>47500</v>
      </c>
      <c r="G536" s="12">
        <v>45078</v>
      </c>
      <c r="H536" s="10" t="str">
        <f>IFERROR(VLOOKUP(Таблицаx_2[[#This Row],[id]],prolongations!A:C,2,)," ")</f>
        <v>июнь 2023</v>
      </c>
      <c r="I536" s="10">
        <f>IF(Таблицаx_2[[#This Row],[Месяц окончания]]=Таблицаx_2[[#This Row],[Месяц]],Таблицаx_2[[#This Row],[Значения числа]],0)</f>
        <v>0</v>
      </c>
      <c r="J536" s="8">
        <f>IF(AND(Таблицаx_2[[#This Row],[Месяц окончания]]=Таблицаx_2[[#This Row],[Месяц]],Таблицаx_2[[#This Row],[id]]=A537,EDATE(Таблицаx_2[[#This Row],[Месяц]],1)=D537),F537,0)</f>
        <v>0</v>
      </c>
      <c r="K536" s="8">
        <f>IF(AND(Таблицаx_2[[#This Row],[Месяц окончания]]=Таблицаx_2[[#This Row],[Месяц]],Таблицаx_2[[#This Row],[id]]=A537,EDATE(Таблицаx_2[[#This Row],[Месяц]],2)=D537),F537,0)</f>
        <v>0</v>
      </c>
    </row>
    <row r="537" spans="1:11" ht="12.75" hidden="1" customHeight="1" x14ac:dyDescent="0.2">
      <c r="A537" s="8">
        <v>806</v>
      </c>
      <c r="B537" s="8" t="s">
        <v>52</v>
      </c>
      <c r="C537" s="8" t="s">
        <v>6</v>
      </c>
      <c r="D537" s="12">
        <v>45017</v>
      </c>
      <c r="E537" s="8">
        <v>41500</v>
      </c>
      <c r="F537" s="10">
        <f>IF(ISTEXT(Таблицаx_2[[#This Row],[Значение]]), 0, Таблицаx_2[[#This Row],[Значение]])</f>
        <v>41500</v>
      </c>
      <c r="G537" s="12">
        <v>45078</v>
      </c>
      <c r="H537" s="10" t="str">
        <f>IFERROR(VLOOKUP(Таблицаx_2[[#This Row],[id]],prolongations!A:C,2,)," ")</f>
        <v>июнь 2023</v>
      </c>
      <c r="I537" s="10">
        <f>IF(Таблицаx_2[[#This Row],[Месяц окончания]]=Таблицаx_2[[#This Row],[Месяц]],Таблицаx_2[[#This Row],[Значения числа]],0)</f>
        <v>0</v>
      </c>
      <c r="J537" s="8">
        <f>IF(AND(Таблицаx_2[[#This Row],[Месяц окончания]]=Таблицаx_2[[#This Row],[Месяц]],Таблицаx_2[[#This Row],[id]]=A538,EDATE(Таблицаx_2[[#This Row],[Месяц]],1)=D538),F538,0)</f>
        <v>0</v>
      </c>
      <c r="K537" s="8">
        <f>IF(AND(Таблицаx_2[[#This Row],[Месяц окончания]]=Таблицаx_2[[#This Row],[Месяц]],Таблицаx_2[[#This Row],[id]]=A538,EDATE(Таблицаx_2[[#This Row],[Месяц]],2)=D538),F538,0)</f>
        <v>0</v>
      </c>
    </row>
    <row r="538" spans="1:11" ht="12.75" hidden="1" customHeight="1" x14ac:dyDescent="0.2">
      <c r="A538" s="8">
        <v>806</v>
      </c>
      <c r="B538" s="8" t="s">
        <v>52</v>
      </c>
      <c r="C538" s="8" t="s">
        <v>6</v>
      </c>
      <c r="D538" s="12">
        <v>45047</v>
      </c>
      <c r="E538" s="8">
        <v>41500</v>
      </c>
      <c r="F538" s="10">
        <f>IF(ISTEXT(Таблицаx_2[[#This Row],[Значение]]), 0, Таблицаx_2[[#This Row],[Значение]])</f>
        <v>41500</v>
      </c>
      <c r="G538" s="12">
        <v>45078</v>
      </c>
      <c r="H538" s="10" t="str">
        <f>IFERROR(VLOOKUP(Таблицаx_2[[#This Row],[id]],prolongations!A:C,2,)," ")</f>
        <v>июнь 2023</v>
      </c>
      <c r="I538" s="10">
        <f>IF(Таблицаx_2[[#This Row],[Месяц окончания]]=Таблицаx_2[[#This Row],[Месяц]],Таблицаx_2[[#This Row],[Значения числа]],0)</f>
        <v>0</v>
      </c>
      <c r="J538" s="8">
        <f>IF(AND(Таблицаx_2[[#This Row],[Месяц окончания]]=Таблицаx_2[[#This Row],[Месяц]],Таблицаx_2[[#This Row],[id]]=A539,EDATE(Таблицаx_2[[#This Row],[Месяц]],1)=D539),F539,0)</f>
        <v>0</v>
      </c>
      <c r="K538" s="8">
        <f>IF(AND(Таблицаx_2[[#This Row],[Месяц окончания]]=Таблицаx_2[[#This Row],[Месяц]],Таблицаx_2[[#This Row],[id]]=A539,EDATE(Таблицаx_2[[#This Row],[Месяц]],2)=D539),F539,0)</f>
        <v>0</v>
      </c>
    </row>
    <row r="539" spans="1:11" ht="12.75" hidden="1" customHeight="1" x14ac:dyDescent="0.2">
      <c r="A539" s="8">
        <v>806</v>
      </c>
      <c r="B539" s="8" t="s">
        <v>52</v>
      </c>
      <c r="C539" s="8" t="s">
        <v>6</v>
      </c>
      <c r="D539" s="12">
        <v>45078</v>
      </c>
      <c r="E539" s="8">
        <v>41500</v>
      </c>
      <c r="F539" s="10">
        <f>IF(ISTEXT(Таблицаx_2[[#This Row],[Значение]]), 0, Таблицаx_2[[#This Row],[Значение]])</f>
        <v>41500</v>
      </c>
      <c r="G539" s="12">
        <v>45078</v>
      </c>
      <c r="H539" s="10" t="str">
        <f>IFERROR(VLOOKUP(Таблицаx_2[[#This Row],[id]],prolongations!A:C,2,)," ")</f>
        <v>июнь 2023</v>
      </c>
      <c r="I539" s="10">
        <f>IF(Таблицаx_2[[#This Row],[Месяц окончания]]=Таблицаx_2[[#This Row],[Месяц]],Таблицаx_2[[#This Row],[Значения числа]],0)</f>
        <v>41500</v>
      </c>
      <c r="J539" s="8">
        <f>IF(AND(Таблицаx_2[[#This Row],[Месяц окончания]]=Таблицаx_2[[#This Row],[Месяц]],Таблицаx_2[[#This Row],[id]]=A540,EDATE(Таблицаx_2[[#This Row],[Месяц]],1)=D540),F540,0)</f>
        <v>41500</v>
      </c>
      <c r="K539" s="8">
        <f>IF(AND(Таблицаx_2[[#This Row],[Месяц окончания]]=Таблицаx_2[[#This Row],[Месяц]],Таблицаx_2[[#This Row],[id]]=A540,EDATE(Таблицаx_2[[#This Row],[Месяц]],2)=D540),F540,0)</f>
        <v>0</v>
      </c>
    </row>
    <row r="540" spans="1:11" ht="12.75" hidden="1" customHeight="1" x14ac:dyDescent="0.2">
      <c r="A540" s="8">
        <v>806</v>
      </c>
      <c r="B540" s="8" t="s">
        <v>52</v>
      </c>
      <c r="C540" s="8" t="s">
        <v>6</v>
      </c>
      <c r="D540" s="12">
        <v>45108</v>
      </c>
      <c r="E540" s="8">
        <v>41500</v>
      </c>
      <c r="F540" s="10">
        <f>IF(ISTEXT(Таблицаx_2[[#This Row],[Значение]]), 0, Таблицаx_2[[#This Row],[Значение]])</f>
        <v>41500</v>
      </c>
      <c r="G540" s="12">
        <v>45078</v>
      </c>
      <c r="H540" s="10" t="str">
        <f>IFERROR(VLOOKUP(Таблицаx_2[[#This Row],[id]],prolongations!A:C,2,)," ")</f>
        <v>июнь 2023</v>
      </c>
      <c r="I540" s="10">
        <f>IF(Таблицаx_2[[#This Row],[Месяц окончания]]=Таблицаx_2[[#This Row],[Месяц]],Таблицаx_2[[#This Row],[Значения числа]],0)</f>
        <v>0</v>
      </c>
      <c r="J540" s="8">
        <f>IF(AND(Таблицаx_2[[#This Row],[Месяц окончания]]=Таблицаx_2[[#This Row],[Месяц]],Таблицаx_2[[#This Row],[id]]=A541,EDATE(Таблицаx_2[[#This Row],[Месяц]],1)=D541),F541,0)</f>
        <v>0</v>
      </c>
      <c r="K540" s="8">
        <f>IF(AND(Таблицаx_2[[#This Row],[Месяц окончания]]=Таблицаx_2[[#This Row],[Месяц]],Таблицаx_2[[#This Row],[id]]=A541,EDATE(Таблицаx_2[[#This Row],[Месяц]],2)=D541),F541,0)</f>
        <v>0</v>
      </c>
    </row>
    <row r="541" spans="1:11" ht="12.75" hidden="1" customHeight="1" x14ac:dyDescent="0.2">
      <c r="A541" s="8">
        <v>806</v>
      </c>
      <c r="B541" s="8" t="s">
        <v>52</v>
      </c>
      <c r="C541" s="8" t="s">
        <v>6</v>
      </c>
      <c r="D541" s="12">
        <v>45139</v>
      </c>
      <c r="E541" s="8" t="s">
        <v>46</v>
      </c>
      <c r="F541" s="10">
        <f>IF(ISTEXT(Таблицаx_2[[#This Row],[Значение]]), 0, Таблицаx_2[[#This Row],[Значение]])</f>
        <v>0</v>
      </c>
      <c r="G541" s="12">
        <v>45078</v>
      </c>
      <c r="H541" s="10" t="str">
        <f>IFERROR(VLOOKUP(Таблицаx_2[[#This Row],[id]],prolongations!A:C,2,)," ")</f>
        <v>июнь 2023</v>
      </c>
      <c r="I541" s="10">
        <f>IF(Таблицаx_2[[#This Row],[Месяц окончания]]=Таблицаx_2[[#This Row],[Месяц]],Таблицаx_2[[#This Row],[Значения числа]],0)</f>
        <v>0</v>
      </c>
      <c r="J541" s="8">
        <f>IF(AND(Таблицаx_2[[#This Row],[Месяц окончания]]=Таблицаx_2[[#This Row],[Месяц]],Таблицаx_2[[#This Row],[id]]=A542,EDATE(Таблицаx_2[[#This Row],[Месяц]],1)=D542),F542,0)</f>
        <v>0</v>
      </c>
      <c r="K541" s="8">
        <f>IF(AND(Таблицаx_2[[#This Row],[Месяц окончания]]=Таблицаx_2[[#This Row],[Месяц]],Таблицаx_2[[#This Row],[id]]=A542,EDATE(Таблицаx_2[[#This Row],[Месяц]],2)=D542),F542,0)</f>
        <v>0</v>
      </c>
    </row>
    <row r="542" spans="1:11" ht="12.75" hidden="1" customHeight="1" x14ac:dyDescent="0.2">
      <c r="A542" s="8">
        <v>806</v>
      </c>
      <c r="B542" s="8" t="s">
        <v>50</v>
      </c>
      <c r="C542" s="8" t="s">
        <v>6</v>
      </c>
      <c r="D542" s="12">
        <v>44986</v>
      </c>
      <c r="E542" s="8">
        <v>23450</v>
      </c>
      <c r="F542" s="10">
        <f>IF(ISTEXT(Таблицаx_2[[#This Row],[Значение]]), 0, Таблицаx_2[[#This Row],[Значение]])</f>
        <v>23450</v>
      </c>
      <c r="G542" s="12">
        <v>45078</v>
      </c>
      <c r="H542" s="10" t="str">
        <f>IFERROR(VLOOKUP(Таблицаx_2[[#This Row],[id]],prolongations!A:C,2,)," ")</f>
        <v>июнь 2023</v>
      </c>
      <c r="I542" s="10">
        <f>IF(Таблицаx_2[[#This Row],[Месяц окончания]]=Таблицаx_2[[#This Row],[Месяц]],Таблицаx_2[[#This Row],[Значения числа]],0)</f>
        <v>0</v>
      </c>
      <c r="J542" s="8">
        <f>IF(AND(Таблицаx_2[[#This Row],[Месяц окончания]]=Таблицаx_2[[#This Row],[Месяц]],Таблицаx_2[[#This Row],[id]]=A543,EDATE(Таблицаx_2[[#This Row],[Месяц]],1)=D543),F543,0)</f>
        <v>0</v>
      </c>
      <c r="K542" s="8">
        <f>IF(AND(Таблицаx_2[[#This Row],[Месяц окончания]]=Таблицаx_2[[#This Row],[Месяц]],Таблицаx_2[[#This Row],[id]]=A543,EDATE(Таблицаx_2[[#This Row],[Месяц]],2)=D543),F543,0)</f>
        <v>0</v>
      </c>
    </row>
    <row r="543" spans="1:11" ht="12.75" hidden="1" customHeight="1" x14ac:dyDescent="0.2">
      <c r="A543" s="8">
        <v>806</v>
      </c>
      <c r="B543" s="8" t="s">
        <v>50</v>
      </c>
      <c r="C543" s="8" t="s">
        <v>6</v>
      </c>
      <c r="D543" s="12">
        <v>45017</v>
      </c>
      <c r="E543" s="8">
        <v>23450</v>
      </c>
      <c r="F543" s="10">
        <f>IF(ISTEXT(Таблицаx_2[[#This Row],[Значение]]), 0, Таблицаx_2[[#This Row],[Значение]])</f>
        <v>23450</v>
      </c>
      <c r="G543" s="12">
        <v>45078</v>
      </c>
      <c r="H543" s="10" t="str">
        <f>IFERROR(VLOOKUP(Таблицаx_2[[#This Row],[id]],prolongations!A:C,2,)," ")</f>
        <v>июнь 2023</v>
      </c>
      <c r="I543" s="10">
        <f>IF(Таблицаx_2[[#This Row],[Месяц окончания]]=Таблицаx_2[[#This Row],[Месяц]],Таблицаx_2[[#This Row],[Значения числа]],0)</f>
        <v>0</v>
      </c>
      <c r="J543" s="8">
        <f>IF(AND(Таблицаx_2[[#This Row],[Месяц окончания]]=Таблицаx_2[[#This Row],[Месяц]],Таблицаx_2[[#This Row],[id]]=A544,EDATE(Таблицаx_2[[#This Row],[Месяц]],1)=D544),F544,0)</f>
        <v>0</v>
      </c>
      <c r="K543" s="8">
        <f>IF(AND(Таблицаx_2[[#This Row],[Месяц окончания]]=Таблицаx_2[[#This Row],[Месяц]],Таблицаx_2[[#This Row],[id]]=A544,EDATE(Таблицаx_2[[#This Row],[Месяц]],2)=D544),F544,0)</f>
        <v>0</v>
      </c>
    </row>
    <row r="544" spans="1:11" ht="12.75" hidden="1" customHeight="1" x14ac:dyDescent="0.2">
      <c r="A544" s="8">
        <v>806</v>
      </c>
      <c r="B544" s="8" t="s">
        <v>50</v>
      </c>
      <c r="C544" s="8" t="s">
        <v>6</v>
      </c>
      <c r="D544" s="12">
        <v>45047</v>
      </c>
      <c r="E544" s="8">
        <v>30025</v>
      </c>
      <c r="F544" s="10">
        <f>IF(ISTEXT(Таблицаx_2[[#This Row],[Значение]]), 0, Таблицаx_2[[#This Row],[Значение]])</f>
        <v>30025</v>
      </c>
      <c r="G544" s="12">
        <v>45078</v>
      </c>
      <c r="H544" s="10" t="str">
        <f>IFERROR(VLOOKUP(Таблицаx_2[[#This Row],[id]],prolongations!A:C,2,)," ")</f>
        <v>июнь 2023</v>
      </c>
      <c r="I544" s="10">
        <f>IF(Таблицаx_2[[#This Row],[Месяц окончания]]=Таблицаx_2[[#This Row],[Месяц]],Таблицаx_2[[#This Row],[Значения числа]],0)</f>
        <v>0</v>
      </c>
      <c r="J544" s="8">
        <f>IF(AND(Таблицаx_2[[#This Row],[Месяц окончания]]=Таблицаx_2[[#This Row],[Месяц]],Таблицаx_2[[#This Row],[id]]=A545,EDATE(Таблицаx_2[[#This Row],[Месяц]],1)=D545),F545,0)</f>
        <v>0</v>
      </c>
      <c r="K544" s="8">
        <f>IF(AND(Таблицаx_2[[#This Row],[Месяц окончания]]=Таблицаx_2[[#This Row],[Месяц]],Таблицаx_2[[#This Row],[id]]=A545,EDATE(Таблицаx_2[[#This Row],[Месяц]],2)=D545),F545,0)</f>
        <v>0</v>
      </c>
    </row>
    <row r="545" spans="1:11" ht="12.75" hidden="1" customHeight="1" x14ac:dyDescent="0.2">
      <c r="A545" s="8">
        <v>806</v>
      </c>
      <c r="B545" s="8" t="s">
        <v>50</v>
      </c>
      <c r="C545" s="8" t="s">
        <v>6</v>
      </c>
      <c r="D545" s="12">
        <v>45078</v>
      </c>
      <c r="E545" s="8">
        <v>30025</v>
      </c>
      <c r="F545" s="10">
        <f>IF(ISTEXT(Таблицаx_2[[#This Row],[Значение]]), 0, Таблицаx_2[[#This Row],[Значение]])</f>
        <v>30025</v>
      </c>
      <c r="G545" s="12">
        <v>45078</v>
      </c>
      <c r="H545" s="10" t="str">
        <f>IFERROR(VLOOKUP(Таблицаx_2[[#This Row],[id]],prolongations!A:C,2,)," ")</f>
        <v>июнь 2023</v>
      </c>
      <c r="I545" s="10">
        <f>IF(Таблицаx_2[[#This Row],[Месяц окончания]]=Таблицаx_2[[#This Row],[Месяц]],Таблицаx_2[[#This Row],[Значения числа]],0)</f>
        <v>30025</v>
      </c>
      <c r="J545" s="8">
        <f>IF(AND(Таблицаx_2[[#This Row],[Месяц окончания]]=Таблицаx_2[[#This Row],[Месяц]],Таблицаx_2[[#This Row],[id]]=A546,EDATE(Таблицаx_2[[#This Row],[Месяц]],1)=D546),F546,0)</f>
        <v>0</v>
      </c>
      <c r="K545" s="8">
        <f>IF(AND(Таблицаx_2[[#This Row],[Месяц окончания]]=Таблицаx_2[[#This Row],[Месяц]],Таблицаx_2[[#This Row],[id]]=A546,EDATE(Таблицаx_2[[#This Row],[Месяц]],2)=D546),F546,0)</f>
        <v>0</v>
      </c>
    </row>
    <row r="546" spans="1:11" ht="12.75" hidden="1" customHeight="1" x14ac:dyDescent="0.2">
      <c r="A546" s="8">
        <v>740</v>
      </c>
      <c r="B546" s="8" t="s">
        <v>45</v>
      </c>
      <c r="C546" s="8" t="s">
        <v>6</v>
      </c>
      <c r="D546" s="12">
        <v>44927</v>
      </c>
      <c r="E546" s="8">
        <v>270325</v>
      </c>
      <c r="F546" s="10">
        <f>IF(ISTEXT(Таблицаx_2[[#This Row],[Значение]]), 0, Таблицаx_2[[#This Row],[Значение]])</f>
        <v>270325</v>
      </c>
      <c r="G546" s="12">
        <v>45017</v>
      </c>
      <c r="H546" s="10" t="str">
        <f>IFERROR(VLOOKUP(Таблицаx_2[[#This Row],[id]],prolongations!A:C,2,)," ")</f>
        <v>апрель 2023</v>
      </c>
      <c r="I546" s="10">
        <f>IF(Таблицаx_2[[#This Row],[Месяц окончания]]=Таблицаx_2[[#This Row],[Месяц]],Таблицаx_2[[#This Row],[Значения числа]],0)</f>
        <v>0</v>
      </c>
      <c r="J546" s="8">
        <f>IF(AND(Таблицаx_2[[#This Row],[Месяц окончания]]=Таблицаx_2[[#This Row],[Месяц]],Таблицаx_2[[#This Row],[id]]=A547,EDATE(Таблицаx_2[[#This Row],[Месяц]],1)=D547),F547,0)</f>
        <v>0</v>
      </c>
      <c r="K546" s="8">
        <f>IF(AND(Таблицаx_2[[#This Row],[Месяц окончания]]=Таблицаx_2[[#This Row],[Месяц]],Таблицаx_2[[#This Row],[id]]=A547,EDATE(Таблицаx_2[[#This Row],[Месяц]],2)=D547),F547,0)</f>
        <v>0</v>
      </c>
    </row>
    <row r="547" spans="1:11" ht="12.75" hidden="1" customHeight="1" x14ac:dyDescent="0.2">
      <c r="A547" s="8">
        <v>740</v>
      </c>
      <c r="B547" s="8" t="s">
        <v>45</v>
      </c>
      <c r="C547" s="8" t="s">
        <v>6</v>
      </c>
      <c r="D547" s="12">
        <v>44958</v>
      </c>
      <c r="E547" s="8">
        <v>35325</v>
      </c>
      <c r="F547" s="10">
        <f>IF(ISTEXT(Таблицаx_2[[#This Row],[Значение]]), 0, Таблицаx_2[[#This Row],[Значение]])</f>
        <v>35325</v>
      </c>
      <c r="G547" s="12">
        <v>45017</v>
      </c>
      <c r="H547" s="10" t="str">
        <f>IFERROR(VLOOKUP(Таблицаx_2[[#This Row],[id]],prolongations!A:C,2,)," ")</f>
        <v>апрель 2023</v>
      </c>
      <c r="I547" s="10">
        <f>IF(Таблицаx_2[[#This Row],[Месяц окончания]]=Таблицаx_2[[#This Row],[Месяц]],Таблицаx_2[[#This Row],[Значения числа]],0)</f>
        <v>0</v>
      </c>
      <c r="J547" s="8">
        <f>IF(AND(Таблицаx_2[[#This Row],[Месяц окончания]]=Таблицаx_2[[#This Row],[Месяц]],Таблицаx_2[[#This Row],[id]]=A548,EDATE(Таблицаx_2[[#This Row],[Месяц]],1)=D548),F548,0)</f>
        <v>0</v>
      </c>
      <c r="K547" s="8">
        <f>IF(AND(Таблицаx_2[[#This Row],[Месяц окончания]]=Таблицаx_2[[#This Row],[Месяц]],Таблицаx_2[[#This Row],[id]]=A548,EDATE(Таблицаx_2[[#This Row],[Месяц]],2)=D548),F548,0)</f>
        <v>0</v>
      </c>
    </row>
    <row r="548" spans="1:11" ht="12.75" hidden="1" customHeight="1" x14ac:dyDescent="0.2">
      <c r="A548" s="8">
        <v>740</v>
      </c>
      <c r="B548" s="8" t="s">
        <v>45</v>
      </c>
      <c r="C548" s="8" t="s">
        <v>6</v>
      </c>
      <c r="D548" s="12">
        <v>44986</v>
      </c>
      <c r="E548" s="8">
        <v>35325</v>
      </c>
      <c r="F548" s="10">
        <f>IF(ISTEXT(Таблицаx_2[[#This Row],[Значение]]), 0, Таблицаx_2[[#This Row],[Значение]])</f>
        <v>35325</v>
      </c>
      <c r="G548" s="12">
        <v>45017</v>
      </c>
      <c r="H548" s="10" t="str">
        <f>IFERROR(VLOOKUP(Таблицаx_2[[#This Row],[id]],prolongations!A:C,2,)," ")</f>
        <v>апрель 2023</v>
      </c>
      <c r="I548" s="10">
        <f>IF(Таблицаx_2[[#This Row],[Месяц окончания]]=Таблицаx_2[[#This Row],[Месяц]],Таблицаx_2[[#This Row],[Значения числа]],0)</f>
        <v>0</v>
      </c>
      <c r="J548" s="8">
        <f>IF(AND(Таблицаx_2[[#This Row],[Месяц окончания]]=Таблицаx_2[[#This Row],[Месяц]],Таблицаx_2[[#This Row],[id]]=A549,EDATE(Таблицаx_2[[#This Row],[Месяц]],1)=D549),F549,0)</f>
        <v>0</v>
      </c>
      <c r="K548" s="8">
        <f>IF(AND(Таблицаx_2[[#This Row],[Месяц окончания]]=Таблицаx_2[[#This Row],[Месяц]],Таблицаx_2[[#This Row],[id]]=A549,EDATE(Таблицаx_2[[#This Row],[Месяц]],2)=D549),F549,0)</f>
        <v>0</v>
      </c>
    </row>
    <row r="549" spans="1:11" ht="12.75" hidden="1" customHeight="1" x14ac:dyDescent="0.2">
      <c r="A549" s="8">
        <v>740</v>
      </c>
      <c r="B549" s="8" t="s">
        <v>45</v>
      </c>
      <c r="C549" s="8" t="s">
        <v>6</v>
      </c>
      <c r="D549" s="12">
        <v>45017</v>
      </c>
      <c r="E549" s="8">
        <v>27950</v>
      </c>
      <c r="F549" s="10">
        <f>IF(ISTEXT(Таблицаx_2[[#This Row],[Значение]]), 0, Таблицаx_2[[#This Row],[Значение]])</f>
        <v>27950</v>
      </c>
      <c r="G549" s="12">
        <v>45017</v>
      </c>
      <c r="H549" s="10" t="str">
        <f>IFERROR(VLOOKUP(Таблицаx_2[[#This Row],[id]],prolongations!A:C,2,)," ")</f>
        <v>апрель 2023</v>
      </c>
      <c r="I549" s="10">
        <f>IF(Таблицаx_2[[#This Row],[Месяц окончания]]=Таблицаx_2[[#This Row],[Месяц]],Таблицаx_2[[#This Row],[Значения числа]],0)</f>
        <v>27950</v>
      </c>
      <c r="J549" s="8">
        <f>IF(AND(Таблицаx_2[[#This Row],[Месяц окончания]]=Таблицаx_2[[#This Row],[Месяц]],Таблицаx_2[[#This Row],[id]]=A550,EDATE(Таблицаx_2[[#This Row],[Месяц]],1)=D550),F550,0)</f>
        <v>24470</v>
      </c>
      <c r="K549" s="8">
        <f>IF(AND(Таблицаx_2[[#This Row],[Месяц окончания]]=Таблицаx_2[[#This Row],[Месяц]],Таблицаx_2[[#This Row],[id]]=A550,EDATE(Таблицаx_2[[#This Row],[Месяц]],2)=D550),F550,0)</f>
        <v>0</v>
      </c>
    </row>
    <row r="550" spans="1:11" ht="12.75" hidden="1" customHeight="1" x14ac:dyDescent="0.2">
      <c r="A550" s="8">
        <v>740</v>
      </c>
      <c r="B550" s="8" t="s">
        <v>45</v>
      </c>
      <c r="C550" s="8" t="s">
        <v>6</v>
      </c>
      <c r="D550" s="12">
        <v>45047</v>
      </c>
      <c r="E550" s="8">
        <v>24470</v>
      </c>
      <c r="F550" s="10">
        <f>IF(ISTEXT(Таблицаx_2[[#This Row],[Значение]]), 0, Таблицаx_2[[#This Row],[Значение]])</f>
        <v>24470</v>
      </c>
      <c r="G550" s="12">
        <v>45017</v>
      </c>
      <c r="H550" s="10" t="str">
        <f>IFERROR(VLOOKUP(Таблицаx_2[[#This Row],[id]],prolongations!A:C,2,)," ")</f>
        <v>апрель 2023</v>
      </c>
      <c r="I550" s="10">
        <f>IF(Таблицаx_2[[#This Row],[Месяц окончания]]=Таблицаx_2[[#This Row],[Месяц]],Таблицаx_2[[#This Row],[Значения числа]],0)</f>
        <v>0</v>
      </c>
      <c r="J550" s="8">
        <f>IF(AND(Таблицаx_2[[#This Row],[Месяц окончания]]=Таблицаx_2[[#This Row],[Месяц]],Таблицаx_2[[#This Row],[id]]=A551,EDATE(Таблицаx_2[[#This Row],[Месяц]],1)=D551),F551,0)</f>
        <v>0</v>
      </c>
      <c r="K550" s="8">
        <f>IF(AND(Таблицаx_2[[#This Row],[Месяц окончания]]=Таблицаx_2[[#This Row],[Месяц]],Таблицаx_2[[#This Row],[id]]=A551,EDATE(Таблицаx_2[[#This Row],[Месяц]],2)=D551),F551,0)</f>
        <v>0</v>
      </c>
    </row>
    <row r="551" spans="1:11" ht="12.75" hidden="1" customHeight="1" x14ac:dyDescent="0.2">
      <c r="A551" s="8">
        <v>740</v>
      </c>
      <c r="B551" s="8" t="s">
        <v>45</v>
      </c>
      <c r="C551" s="8" t="s">
        <v>6</v>
      </c>
      <c r="D551" s="12">
        <v>45078</v>
      </c>
      <c r="E551" s="8" t="s">
        <v>46</v>
      </c>
      <c r="F551" s="10">
        <f>IF(ISTEXT(Таблицаx_2[[#This Row],[Значение]]), 0, Таблицаx_2[[#This Row],[Значение]])</f>
        <v>0</v>
      </c>
      <c r="G551" s="12">
        <v>45017</v>
      </c>
      <c r="H551" s="10" t="str">
        <f>IFERROR(VLOOKUP(Таблицаx_2[[#This Row],[id]],prolongations!A:C,2,)," ")</f>
        <v>апрель 2023</v>
      </c>
      <c r="I551" s="10">
        <f>IF(Таблицаx_2[[#This Row],[Месяц окончания]]=Таблицаx_2[[#This Row],[Месяц]],Таблицаx_2[[#This Row],[Значения числа]],0)</f>
        <v>0</v>
      </c>
      <c r="J551" s="8">
        <f>IF(AND(Таблицаx_2[[#This Row],[Месяц окончания]]=Таблицаx_2[[#This Row],[Месяц]],Таблицаx_2[[#This Row],[id]]=A552,EDATE(Таблицаx_2[[#This Row],[Месяц]],1)=D552),F552,0)</f>
        <v>0</v>
      </c>
      <c r="K551" s="8">
        <f>IF(AND(Таблицаx_2[[#This Row],[Месяц окончания]]=Таблицаx_2[[#This Row],[Месяц]],Таблицаx_2[[#This Row],[id]]=A552,EDATE(Таблицаx_2[[#This Row],[Месяц]],2)=D552),F552,0)</f>
        <v>0</v>
      </c>
    </row>
    <row r="552" spans="1:11" ht="12.75" hidden="1" customHeight="1" x14ac:dyDescent="0.2">
      <c r="A552" s="8">
        <v>740</v>
      </c>
      <c r="B552" s="8" t="s">
        <v>47</v>
      </c>
      <c r="C552" s="8" t="s">
        <v>6</v>
      </c>
      <c r="D552" s="12">
        <v>44927</v>
      </c>
      <c r="E552" s="8">
        <v>1520</v>
      </c>
      <c r="F552" s="10">
        <f>IF(ISTEXT(Таблицаx_2[[#This Row],[Значение]]), 0, Таблицаx_2[[#This Row],[Значение]])</f>
        <v>1520</v>
      </c>
      <c r="G552" s="12">
        <v>45017</v>
      </c>
      <c r="H552" s="10" t="str">
        <f>IFERROR(VLOOKUP(Таблицаx_2[[#This Row],[id]],prolongations!A:C,2,)," ")</f>
        <v>апрель 2023</v>
      </c>
      <c r="I552" s="10">
        <f>IF(Таблицаx_2[[#This Row],[Месяц окончания]]=Таблицаx_2[[#This Row],[Месяц]],Таблицаx_2[[#This Row],[Значения числа]],0)</f>
        <v>0</v>
      </c>
      <c r="J552" s="8">
        <f>IF(AND(Таблицаx_2[[#This Row],[Месяц окончания]]=Таблицаx_2[[#This Row],[Месяц]],Таблицаx_2[[#This Row],[id]]=A553,EDATE(Таблицаx_2[[#This Row],[Месяц]],1)=D553),F553,0)</f>
        <v>0</v>
      </c>
      <c r="K552" s="8">
        <f>IF(AND(Таблицаx_2[[#This Row],[Месяц окончания]]=Таблицаx_2[[#This Row],[Месяц]],Таблицаx_2[[#This Row],[id]]=A553,EDATE(Таблицаx_2[[#This Row],[Месяц]],2)=D553),F553,0)</f>
        <v>0</v>
      </c>
    </row>
    <row r="553" spans="1:11" ht="12.75" hidden="1" customHeight="1" x14ac:dyDescent="0.2">
      <c r="A553" s="8">
        <v>740</v>
      </c>
      <c r="B553" s="8" t="s">
        <v>47</v>
      </c>
      <c r="C553" s="8" t="s">
        <v>6</v>
      </c>
      <c r="D553" s="12">
        <v>44958</v>
      </c>
      <c r="E553" s="8">
        <v>15360</v>
      </c>
      <c r="F553" s="10">
        <f>IF(ISTEXT(Таблицаx_2[[#This Row],[Значение]]), 0, Таблицаx_2[[#This Row],[Значение]])</f>
        <v>15360</v>
      </c>
      <c r="G553" s="12">
        <v>45017</v>
      </c>
      <c r="H553" s="10" t="str">
        <f>IFERROR(VLOOKUP(Таблицаx_2[[#This Row],[id]],prolongations!A:C,2,)," ")</f>
        <v>апрель 2023</v>
      </c>
      <c r="I553" s="10">
        <f>IF(Таблицаx_2[[#This Row],[Месяц окончания]]=Таблицаx_2[[#This Row],[Месяц]],Таблицаx_2[[#This Row],[Значения числа]],0)</f>
        <v>0</v>
      </c>
      <c r="J553" s="8">
        <f>IF(AND(Таблицаx_2[[#This Row],[Месяц окончания]]=Таблицаx_2[[#This Row],[Месяц]],Таблицаx_2[[#This Row],[id]]=A554,EDATE(Таблицаx_2[[#This Row],[Месяц]],1)=D554),F554,0)</f>
        <v>0</v>
      </c>
      <c r="K553" s="8">
        <f>IF(AND(Таблицаx_2[[#This Row],[Месяц окончания]]=Таблицаx_2[[#This Row],[Месяц]],Таблицаx_2[[#This Row],[id]]=A554,EDATE(Таблицаx_2[[#This Row],[Месяц]],2)=D554),F554,0)</f>
        <v>0</v>
      </c>
    </row>
    <row r="554" spans="1:11" ht="12.75" hidden="1" customHeight="1" x14ac:dyDescent="0.2">
      <c r="A554" s="8">
        <v>740</v>
      </c>
      <c r="B554" s="8" t="s">
        <v>47</v>
      </c>
      <c r="C554" s="8" t="s">
        <v>6</v>
      </c>
      <c r="D554" s="12">
        <v>44986</v>
      </c>
      <c r="E554" s="8">
        <v>8000</v>
      </c>
      <c r="F554" s="10">
        <f>IF(ISTEXT(Таблицаx_2[[#This Row],[Значение]]), 0, Таблицаx_2[[#This Row],[Значение]])</f>
        <v>8000</v>
      </c>
      <c r="G554" s="12">
        <v>45017</v>
      </c>
      <c r="H554" s="10" t="str">
        <f>IFERROR(VLOOKUP(Таблицаx_2[[#This Row],[id]],prolongations!A:C,2,)," ")</f>
        <v>апрель 2023</v>
      </c>
      <c r="I554" s="10">
        <f>IF(Таблицаx_2[[#This Row],[Месяц окончания]]=Таблицаx_2[[#This Row],[Месяц]],Таблицаx_2[[#This Row],[Значения числа]],0)</f>
        <v>0</v>
      </c>
      <c r="J554" s="8">
        <f>IF(AND(Таблицаx_2[[#This Row],[Месяц окончания]]=Таблицаx_2[[#This Row],[Месяц]],Таблицаx_2[[#This Row],[id]]=A555,EDATE(Таблицаx_2[[#This Row],[Месяц]],1)=D555),F555,0)</f>
        <v>0</v>
      </c>
      <c r="K554" s="8">
        <f>IF(AND(Таблицаx_2[[#This Row],[Месяц окончания]]=Таблицаx_2[[#This Row],[Месяц]],Таблицаx_2[[#This Row],[id]]=A555,EDATE(Таблицаx_2[[#This Row],[Месяц]],2)=D555),F555,0)</f>
        <v>0</v>
      </c>
    </row>
    <row r="555" spans="1:11" ht="12.75" hidden="1" customHeight="1" x14ac:dyDescent="0.2">
      <c r="A555" s="8">
        <v>740</v>
      </c>
      <c r="B555" s="8" t="s">
        <v>47</v>
      </c>
      <c r="C555" s="8" t="s">
        <v>6</v>
      </c>
      <c r="D555" s="12">
        <v>45017</v>
      </c>
      <c r="E555" s="8">
        <v>20500</v>
      </c>
      <c r="F555" s="10">
        <f>IF(ISTEXT(Таблицаx_2[[#This Row],[Значение]]), 0, Таблицаx_2[[#This Row],[Значение]])</f>
        <v>20500</v>
      </c>
      <c r="G555" s="12">
        <v>45017</v>
      </c>
      <c r="H555" s="10" t="str">
        <f>IFERROR(VLOOKUP(Таблицаx_2[[#This Row],[id]],prolongations!A:C,2,)," ")</f>
        <v>апрель 2023</v>
      </c>
      <c r="I555" s="10">
        <f>IF(Таблицаx_2[[#This Row],[Месяц окончания]]=Таблицаx_2[[#This Row],[Месяц]],Таблицаx_2[[#This Row],[Значения числа]],0)</f>
        <v>20500</v>
      </c>
      <c r="J555" s="8">
        <f>IF(AND(Таблицаx_2[[#This Row],[Месяц окончания]]=Таблицаx_2[[#This Row],[Месяц]],Таблицаx_2[[#This Row],[id]]=A556,EDATE(Таблицаx_2[[#This Row],[Месяц]],1)=D556),F556,0)</f>
        <v>0</v>
      </c>
      <c r="K555" s="8">
        <f>IF(AND(Таблицаx_2[[#This Row],[Месяц окончания]]=Таблицаx_2[[#This Row],[Месяц]],Таблицаx_2[[#This Row],[id]]=A556,EDATE(Таблицаx_2[[#This Row],[Месяц]],2)=D556),F556,0)</f>
        <v>0</v>
      </c>
    </row>
    <row r="556" spans="1:11" ht="12.75" hidden="1" customHeight="1" x14ac:dyDescent="0.2">
      <c r="A556" s="8">
        <v>871</v>
      </c>
      <c r="B556" s="8"/>
      <c r="C556" s="8" t="s">
        <v>8</v>
      </c>
      <c r="D556" s="12">
        <v>45047</v>
      </c>
      <c r="E556" s="8">
        <v>25000</v>
      </c>
      <c r="F556" s="10">
        <f>IF(ISTEXT(Таблицаx_2[[#This Row],[Значение]]), 0, Таблицаx_2[[#This Row],[Значение]])</f>
        <v>25000</v>
      </c>
      <c r="G556" s="12">
        <v>45078</v>
      </c>
      <c r="H556" s="10" t="str">
        <f>IFERROR(VLOOKUP(Таблицаx_2[[#This Row],[id]],prolongations!A:C,2,)," ")</f>
        <v>июнь 2023</v>
      </c>
      <c r="I556" s="10">
        <f>IF(Таблицаx_2[[#This Row],[Месяц окончания]]=Таблицаx_2[[#This Row],[Месяц]],Таблицаx_2[[#This Row],[Значения числа]],0)</f>
        <v>0</v>
      </c>
      <c r="J556" s="8">
        <f>IF(AND(Таблицаx_2[[#This Row],[Месяц окончания]]=Таблицаx_2[[#This Row],[Месяц]],Таблицаx_2[[#This Row],[id]]=A557,EDATE(Таблицаx_2[[#This Row],[Месяц]],1)=D557),F557,0)</f>
        <v>0</v>
      </c>
      <c r="K556" s="8">
        <f>IF(AND(Таблицаx_2[[#This Row],[Месяц окончания]]=Таблицаx_2[[#This Row],[Месяц]],Таблицаx_2[[#This Row],[id]]=A557,EDATE(Таблицаx_2[[#This Row],[Месяц]],2)=D557),F557,0)</f>
        <v>0</v>
      </c>
    </row>
    <row r="557" spans="1:11" ht="12.75" hidden="1" customHeight="1" x14ac:dyDescent="0.2">
      <c r="A557" s="8">
        <v>871</v>
      </c>
      <c r="B557" s="8"/>
      <c r="C557" s="8" t="s">
        <v>8</v>
      </c>
      <c r="D557" s="12">
        <v>45078</v>
      </c>
      <c r="E557" s="8" t="s">
        <v>48</v>
      </c>
      <c r="F557" s="10">
        <f>IF(ISTEXT(Таблицаx_2[[#This Row],[Значение]]), 0, Таблицаx_2[[#This Row],[Значение]])</f>
        <v>0</v>
      </c>
      <c r="G557" s="12">
        <v>45078</v>
      </c>
      <c r="H557" s="10" t="str">
        <f>IFERROR(VLOOKUP(Таблицаx_2[[#This Row],[id]],prolongations!A:C,2,)," ")</f>
        <v>июнь 2023</v>
      </c>
      <c r="I557" s="10">
        <f>IF(Таблицаx_2[[#This Row],[Месяц окончания]]=Таблицаx_2[[#This Row],[Месяц]],Таблицаx_2[[#This Row],[Значения числа]],0)</f>
        <v>0</v>
      </c>
      <c r="J557" s="8">
        <f>IF(AND(Таблицаx_2[[#This Row],[Месяц окончания]]=Таблицаx_2[[#This Row],[Месяц]],Таблицаx_2[[#This Row],[id]]=A558,EDATE(Таблицаx_2[[#This Row],[Месяц]],1)=D558),F558,0)</f>
        <v>0</v>
      </c>
      <c r="K557" s="8">
        <f>IF(AND(Таблицаx_2[[#This Row],[Месяц окончания]]=Таблицаx_2[[#This Row],[Месяц]],Таблицаx_2[[#This Row],[id]]=A558,EDATE(Таблицаx_2[[#This Row],[Месяц]],2)=D558),F558,0)</f>
        <v>0</v>
      </c>
    </row>
    <row r="558" spans="1:11" ht="12.75" hidden="1" customHeight="1" x14ac:dyDescent="0.2">
      <c r="A558" s="8">
        <v>495</v>
      </c>
      <c r="B558" s="8"/>
      <c r="C558" s="8" t="s">
        <v>7</v>
      </c>
      <c r="D558" s="12">
        <v>44986</v>
      </c>
      <c r="E558" s="8">
        <v>37363.5</v>
      </c>
      <c r="F558" s="10">
        <f>IF(ISTEXT(Таблицаx_2[[#This Row],[Значение]]), 0, Таблицаx_2[[#This Row],[Значение]])</f>
        <v>37363.5</v>
      </c>
      <c r="G558" s="12">
        <v>45017</v>
      </c>
      <c r="H558" s="10" t="str">
        <f>IFERROR(VLOOKUP(Таблицаx_2[[#This Row],[id]],prolongations!A:C,2,)," ")</f>
        <v>апрель 2023</v>
      </c>
      <c r="I558" s="10">
        <f>IF(Таблицаx_2[[#This Row],[Месяц окончания]]=Таблицаx_2[[#This Row],[Месяц]],Таблицаx_2[[#This Row],[Значения числа]],0)</f>
        <v>0</v>
      </c>
      <c r="J558" s="8">
        <f>IF(AND(Таблицаx_2[[#This Row],[Месяц окончания]]=Таблицаx_2[[#This Row],[Месяц]],Таблицаx_2[[#This Row],[id]]=A559,EDATE(Таблицаx_2[[#This Row],[Месяц]],1)=D559),F559,0)</f>
        <v>0</v>
      </c>
      <c r="K558" s="8">
        <f>IF(AND(Таблицаx_2[[#This Row],[Месяц окончания]]=Таблицаx_2[[#This Row],[Месяц]],Таблицаx_2[[#This Row],[id]]=A559,EDATE(Таблицаx_2[[#This Row],[Месяц]],2)=D559),F559,0)</f>
        <v>0</v>
      </c>
    </row>
    <row r="559" spans="1:11" ht="12.75" hidden="1" customHeight="1" x14ac:dyDescent="0.2">
      <c r="A559" s="8">
        <v>495</v>
      </c>
      <c r="B559" s="8"/>
      <c r="C559" s="8" t="s">
        <v>7</v>
      </c>
      <c r="D559" s="12">
        <v>45017</v>
      </c>
      <c r="E559" s="8">
        <v>38632.5</v>
      </c>
      <c r="F559" s="10">
        <f>IF(ISTEXT(Таблицаx_2[[#This Row],[Значение]]), 0, Таблицаx_2[[#This Row],[Значение]])</f>
        <v>38632.5</v>
      </c>
      <c r="G559" s="12">
        <v>45017</v>
      </c>
      <c r="H559" s="10" t="str">
        <f>IFERROR(VLOOKUP(Таблицаx_2[[#This Row],[id]],prolongations!A:C,2,)," ")</f>
        <v>апрель 2023</v>
      </c>
      <c r="I559" s="10">
        <f>IF(Таблицаx_2[[#This Row],[Месяц окончания]]=Таблицаx_2[[#This Row],[Месяц]],Таблицаx_2[[#This Row],[Значения числа]],0)</f>
        <v>38632.5</v>
      </c>
      <c r="J559" s="8">
        <f>IF(AND(Таблицаx_2[[#This Row],[Месяц окончания]]=Таблицаx_2[[#This Row],[Месяц]],Таблицаx_2[[#This Row],[id]]=A560,EDATE(Таблицаx_2[[#This Row],[Месяц]],1)=D560),F560,0)</f>
        <v>0</v>
      </c>
      <c r="K559" s="8">
        <f>IF(AND(Таблицаx_2[[#This Row],[Месяц окончания]]=Таблицаx_2[[#This Row],[Месяц]],Таблицаx_2[[#This Row],[id]]=A560,EDATE(Таблицаx_2[[#This Row],[Месяц]],2)=D560),F560,0)</f>
        <v>38632.5</v>
      </c>
    </row>
    <row r="560" spans="1:11" ht="12.75" hidden="1" customHeight="1" x14ac:dyDescent="0.2">
      <c r="A560" s="8">
        <v>495</v>
      </c>
      <c r="B560" s="8"/>
      <c r="C560" s="8" t="s">
        <v>7</v>
      </c>
      <c r="D560" s="12">
        <v>45078</v>
      </c>
      <c r="E560" s="8">
        <v>38632.5</v>
      </c>
      <c r="F560" s="10">
        <f>IF(ISTEXT(Таблицаx_2[[#This Row],[Значение]]), 0, Таблицаx_2[[#This Row],[Значение]])</f>
        <v>38632.5</v>
      </c>
      <c r="G560" s="12">
        <v>45017</v>
      </c>
      <c r="H560" s="10" t="str">
        <f>IFERROR(VLOOKUP(Таблицаx_2[[#This Row],[id]],prolongations!A:C,2,)," ")</f>
        <v>апрель 2023</v>
      </c>
      <c r="I560" s="10">
        <f>IF(Таблицаx_2[[#This Row],[Месяц окончания]]=Таблицаx_2[[#This Row],[Месяц]],Таблицаx_2[[#This Row],[Значения числа]],0)</f>
        <v>0</v>
      </c>
      <c r="J560" s="8">
        <f>IF(AND(Таблицаx_2[[#This Row],[Месяц окончания]]=Таблицаx_2[[#This Row],[Месяц]],Таблицаx_2[[#This Row],[id]]=A561,EDATE(Таблицаx_2[[#This Row],[Месяц]],1)=D561),F561,0)</f>
        <v>0</v>
      </c>
      <c r="K560" s="8">
        <f>IF(AND(Таблицаx_2[[#This Row],[Месяц окончания]]=Таблицаx_2[[#This Row],[Месяц]],Таблицаx_2[[#This Row],[id]]=A561,EDATE(Таблицаx_2[[#This Row],[Месяц]],2)=D561),F561,0)</f>
        <v>0</v>
      </c>
    </row>
    <row r="561" spans="1:11" ht="12.75" hidden="1" customHeight="1" x14ac:dyDescent="0.2">
      <c r="A561" s="8">
        <v>495</v>
      </c>
      <c r="B561" s="8"/>
      <c r="C561" s="8" t="s">
        <v>7</v>
      </c>
      <c r="D561" s="12">
        <v>45108</v>
      </c>
      <c r="E561" s="8">
        <v>38632.5</v>
      </c>
      <c r="F561" s="10">
        <f>IF(ISTEXT(Таблицаx_2[[#This Row],[Значение]]), 0, Таблицаx_2[[#This Row],[Значение]])</f>
        <v>38632.5</v>
      </c>
      <c r="G561" s="12">
        <v>45017</v>
      </c>
      <c r="H561" s="10" t="str">
        <f>IFERROR(VLOOKUP(Таблицаx_2[[#This Row],[id]],prolongations!A:C,2,)," ")</f>
        <v>апрель 2023</v>
      </c>
      <c r="I561" s="10">
        <f>IF(Таблицаx_2[[#This Row],[Месяц окончания]]=Таблицаx_2[[#This Row],[Месяц]],Таблицаx_2[[#This Row],[Значения числа]],0)</f>
        <v>0</v>
      </c>
      <c r="J561" s="8">
        <f>IF(AND(Таблицаx_2[[#This Row],[Месяц окончания]]=Таблицаx_2[[#This Row],[Месяц]],Таблицаx_2[[#This Row],[id]]=A562,EDATE(Таблицаx_2[[#This Row],[Месяц]],1)=D562),F562,0)</f>
        <v>0</v>
      </c>
      <c r="K561" s="8">
        <f>IF(AND(Таблицаx_2[[#This Row],[Месяц окончания]]=Таблицаx_2[[#This Row],[Месяц]],Таблицаx_2[[#This Row],[id]]=A562,EDATE(Таблицаx_2[[#This Row],[Месяц]],2)=D562),F562,0)</f>
        <v>0</v>
      </c>
    </row>
    <row r="562" spans="1:11" ht="12.75" hidden="1" customHeight="1" x14ac:dyDescent="0.2">
      <c r="A562" s="8">
        <v>553</v>
      </c>
      <c r="B562" s="8" t="s">
        <v>45</v>
      </c>
      <c r="C562" s="8" t="s">
        <v>7</v>
      </c>
      <c r="D562" s="12">
        <v>45078</v>
      </c>
      <c r="E562" s="8">
        <v>95062.5</v>
      </c>
      <c r="F562" s="10">
        <f>IF(ISTEXT(Таблицаx_2[[#This Row],[Значение]]), 0, Таблицаx_2[[#This Row],[Значение]])</f>
        <v>95062.5</v>
      </c>
      <c r="G562" s="12">
        <v>45108</v>
      </c>
      <c r="H562" s="10" t="str">
        <f>IFERROR(VLOOKUP(Таблицаx_2[[#This Row],[id]],prolongations!A:C,2,)," ")</f>
        <v>июль 2023</v>
      </c>
      <c r="I562" s="10">
        <f>IF(Таблицаx_2[[#This Row],[Месяц окончания]]=Таблицаx_2[[#This Row],[Месяц]],Таблицаx_2[[#This Row],[Значения числа]],0)</f>
        <v>0</v>
      </c>
      <c r="J562" s="8">
        <f>IF(AND(Таблицаx_2[[#This Row],[Месяц окончания]]=Таблицаx_2[[#This Row],[Месяц]],Таблицаx_2[[#This Row],[id]]=A563,EDATE(Таблицаx_2[[#This Row],[Месяц]],1)=D563),F563,0)</f>
        <v>0</v>
      </c>
      <c r="K562" s="8">
        <f>IF(AND(Таблицаx_2[[#This Row],[Месяц окончания]]=Таблицаx_2[[#This Row],[Месяц]],Таблицаx_2[[#This Row],[id]]=A563,EDATE(Таблицаx_2[[#This Row],[Месяц]],2)=D563),F563,0)</f>
        <v>0</v>
      </c>
    </row>
    <row r="563" spans="1:11" ht="12.75" hidden="1" customHeight="1" x14ac:dyDescent="0.2">
      <c r="A563" s="8">
        <v>553</v>
      </c>
      <c r="B563" s="8" t="s">
        <v>45</v>
      </c>
      <c r="C563" s="8" t="s">
        <v>7</v>
      </c>
      <c r="D563" s="12">
        <v>45108</v>
      </c>
      <c r="E563" s="8">
        <v>123417</v>
      </c>
      <c r="F563" s="10">
        <f>IF(ISTEXT(Таблицаx_2[[#This Row],[Значение]]), 0, Таблицаx_2[[#This Row],[Значение]])</f>
        <v>123417</v>
      </c>
      <c r="G563" s="12">
        <v>45108</v>
      </c>
      <c r="H563" s="10" t="str">
        <f>IFERROR(VLOOKUP(Таблицаx_2[[#This Row],[id]],prolongations!A:C,2,)," ")</f>
        <v>июль 2023</v>
      </c>
      <c r="I563" s="10">
        <f>IF(Таблицаx_2[[#This Row],[Месяц окончания]]=Таблицаx_2[[#This Row],[Месяц]],Таблицаx_2[[#This Row],[Значения числа]],0)</f>
        <v>123417</v>
      </c>
      <c r="J563" s="8">
        <f>IF(AND(Таблицаx_2[[#This Row],[Месяц окончания]]=Таблицаx_2[[#This Row],[Месяц]],Таблицаx_2[[#This Row],[id]]=A564,EDATE(Таблицаx_2[[#This Row],[Месяц]],1)=D564),F564,0)</f>
        <v>0</v>
      </c>
      <c r="K563" s="8">
        <f>IF(AND(Таблицаx_2[[#This Row],[Месяц окончания]]=Таблицаx_2[[#This Row],[Месяц]],Таблицаx_2[[#This Row],[id]]=A564,EDATE(Таблицаx_2[[#This Row],[Месяц]],2)=D564),F564,0)</f>
        <v>0</v>
      </c>
    </row>
    <row r="564" spans="1:11" ht="12.75" hidden="1" customHeight="1" x14ac:dyDescent="0.2">
      <c r="A564" s="8">
        <v>553</v>
      </c>
      <c r="B564" s="8" t="s">
        <v>47</v>
      </c>
      <c r="C564" s="8" t="s">
        <v>7</v>
      </c>
      <c r="D564" s="12">
        <v>45078</v>
      </c>
      <c r="E564" s="8" t="s">
        <v>48</v>
      </c>
      <c r="F564" s="10">
        <f>IF(ISTEXT(Таблицаx_2[[#This Row],[Значение]]), 0, Таблицаx_2[[#This Row],[Значение]])</f>
        <v>0</v>
      </c>
      <c r="G564" s="12">
        <v>45108</v>
      </c>
      <c r="H564" s="10" t="str">
        <f>IFERROR(VLOOKUP(Таблицаx_2[[#This Row],[id]],prolongations!A:C,2,)," ")</f>
        <v>июль 2023</v>
      </c>
      <c r="I564" s="10">
        <f>IF(Таблицаx_2[[#This Row],[Месяц окончания]]=Таблицаx_2[[#This Row],[Месяц]],Таблицаx_2[[#This Row],[Значения числа]],0)</f>
        <v>0</v>
      </c>
      <c r="J564" s="8">
        <f>IF(AND(Таблицаx_2[[#This Row],[Месяц окончания]]=Таблицаx_2[[#This Row],[Месяц]],Таблицаx_2[[#This Row],[id]]=A565,EDATE(Таблицаx_2[[#This Row],[Месяц]],1)=D565),F565,0)</f>
        <v>0</v>
      </c>
      <c r="K564" s="8">
        <f>IF(AND(Таблицаx_2[[#This Row],[Месяц окончания]]=Таблицаx_2[[#This Row],[Месяц]],Таблицаx_2[[#This Row],[id]]=A565,EDATE(Таблицаx_2[[#This Row],[Месяц]],2)=D565),F565,0)</f>
        <v>0</v>
      </c>
    </row>
    <row r="565" spans="1:11" ht="12.75" hidden="1" customHeight="1" x14ac:dyDescent="0.2">
      <c r="A565" s="8">
        <v>553</v>
      </c>
      <c r="B565" s="8" t="s">
        <v>47</v>
      </c>
      <c r="C565" s="8" t="s">
        <v>7</v>
      </c>
      <c r="D565" s="12">
        <v>45108</v>
      </c>
      <c r="E565" s="8">
        <v>23015.45</v>
      </c>
      <c r="F565" s="10">
        <f>IF(ISTEXT(Таблицаx_2[[#This Row],[Значение]]), 0, Таблицаx_2[[#This Row],[Значение]])</f>
        <v>23015.45</v>
      </c>
      <c r="G565" s="12">
        <v>45108</v>
      </c>
      <c r="H565" s="10" t="str">
        <f>IFERROR(VLOOKUP(Таблицаx_2[[#This Row],[id]],prolongations!A:C,2,)," ")</f>
        <v>июль 2023</v>
      </c>
      <c r="I565" s="10">
        <f>IF(Таблицаx_2[[#This Row],[Месяц окончания]]=Таблицаx_2[[#This Row],[Месяц]],Таблицаx_2[[#This Row],[Значения числа]],0)</f>
        <v>23015.45</v>
      </c>
      <c r="J565" s="8">
        <f>IF(AND(Таблицаx_2[[#This Row],[Месяц окончания]]=Таблицаx_2[[#This Row],[Месяц]],Таблицаx_2[[#This Row],[id]]=A566,EDATE(Таблицаx_2[[#This Row],[Месяц]],1)=D566),F566,0)</f>
        <v>33307.629999999997</v>
      </c>
      <c r="K565" s="8">
        <f>IF(AND(Таблицаx_2[[#This Row],[Месяц окончания]]=Таблицаx_2[[#This Row],[Месяц]],Таблицаx_2[[#This Row],[id]]=A566,EDATE(Таблицаx_2[[#This Row],[Месяц]],2)=D566),F566,0)</f>
        <v>0</v>
      </c>
    </row>
    <row r="566" spans="1:11" ht="12.75" hidden="1" customHeight="1" x14ac:dyDescent="0.2">
      <c r="A566" s="8">
        <v>553</v>
      </c>
      <c r="B566" s="8" t="s">
        <v>47</v>
      </c>
      <c r="C566" s="8" t="s">
        <v>7</v>
      </c>
      <c r="D566" s="12">
        <v>45139</v>
      </c>
      <c r="E566" s="8">
        <v>33307.629999999997</v>
      </c>
      <c r="F566" s="10">
        <f>IF(ISTEXT(Таблицаx_2[[#This Row],[Значение]]), 0, Таблицаx_2[[#This Row],[Значение]])</f>
        <v>33307.629999999997</v>
      </c>
      <c r="G566" s="12">
        <v>45108</v>
      </c>
      <c r="H566" s="10" t="str">
        <f>IFERROR(VLOOKUP(Таблицаx_2[[#This Row],[id]],prolongations!A:C,2,)," ")</f>
        <v>июль 2023</v>
      </c>
      <c r="I566" s="10">
        <f>IF(Таблицаx_2[[#This Row],[Месяц окончания]]=Таблицаx_2[[#This Row],[Месяц]],Таблицаx_2[[#This Row],[Значения числа]],0)</f>
        <v>0</v>
      </c>
      <c r="J566" s="8">
        <f>IF(AND(Таблицаx_2[[#This Row],[Месяц окончания]]=Таблицаx_2[[#This Row],[Месяц]],Таблицаx_2[[#This Row],[id]]=A567,EDATE(Таблицаx_2[[#This Row],[Месяц]],1)=D567),F567,0)</f>
        <v>0</v>
      </c>
      <c r="K566" s="8">
        <f>IF(AND(Таблицаx_2[[#This Row],[Месяц окончания]]=Таблицаx_2[[#This Row],[Месяц]],Таблицаx_2[[#This Row],[id]]=A567,EDATE(Таблицаx_2[[#This Row],[Месяц]],2)=D567),F567,0)</f>
        <v>0</v>
      </c>
    </row>
    <row r="567" spans="1:11" ht="12.75" hidden="1" customHeight="1" x14ac:dyDescent="0.2">
      <c r="A567" s="8">
        <v>346</v>
      </c>
      <c r="B567" s="8" t="s">
        <v>45</v>
      </c>
      <c r="C567" s="8" t="s">
        <v>7</v>
      </c>
      <c r="D567" s="12">
        <v>44927</v>
      </c>
      <c r="E567" s="8">
        <v>60021</v>
      </c>
      <c r="F567" s="10">
        <f>IF(ISTEXT(Таблицаx_2[[#This Row],[Значение]]), 0, Таблицаx_2[[#This Row],[Значение]])</f>
        <v>60021</v>
      </c>
      <c r="G567" s="12">
        <v>45108</v>
      </c>
      <c r="H567" s="10" t="str">
        <f>IFERROR(VLOOKUP(Таблицаx_2[[#This Row],[id]],prolongations!A:C,2,)," ")</f>
        <v>июль 2023</v>
      </c>
      <c r="I567" s="10">
        <f>IF(Таблицаx_2[[#This Row],[Месяц окончания]]=Таблицаx_2[[#This Row],[Месяц]],Таблицаx_2[[#This Row],[Значения числа]],0)</f>
        <v>0</v>
      </c>
      <c r="J567" s="8">
        <f>IF(AND(Таблицаx_2[[#This Row],[Месяц окончания]]=Таблицаx_2[[#This Row],[Месяц]],Таблицаx_2[[#This Row],[id]]=A568,EDATE(Таблицаx_2[[#This Row],[Месяц]],1)=D568),F568,0)</f>
        <v>0</v>
      </c>
      <c r="K567" s="8">
        <f>IF(AND(Таблицаx_2[[#This Row],[Месяц окончания]]=Таблицаx_2[[#This Row],[Месяц]],Таблицаx_2[[#This Row],[id]]=A568,EDATE(Таблицаx_2[[#This Row],[Месяц]],2)=D568),F568,0)</f>
        <v>0</v>
      </c>
    </row>
    <row r="568" spans="1:11" ht="12.75" hidden="1" customHeight="1" x14ac:dyDescent="0.2">
      <c r="A568" s="8">
        <v>346</v>
      </c>
      <c r="B568" s="8" t="s">
        <v>45</v>
      </c>
      <c r="C568" s="8" t="s">
        <v>7</v>
      </c>
      <c r="D568" s="12">
        <v>44958</v>
      </c>
      <c r="E568" s="8">
        <v>60021</v>
      </c>
      <c r="F568" s="10">
        <f>IF(ISTEXT(Таблицаx_2[[#This Row],[Значение]]), 0, Таблицаx_2[[#This Row],[Значение]])</f>
        <v>60021</v>
      </c>
      <c r="G568" s="12">
        <v>45108</v>
      </c>
      <c r="H568" s="10" t="str">
        <f>IFERROR(VLOOKUP(Таблицаx_2[[#This Row],[id]],prolongations!A:C,2,)," ")</f>
        <v>июль 2023</v>
      </c>
      <c r="I568" s="10">
        <f>IF(Таблицаx_2[[#This Row],[Месяц окончания]]=Таблицаx_2[[#This Row],[Месяц]],Таблицаx_2[[#This Row],[Значения числа]],0)</f>
        <v>0</v>
      </c>
      <c r="J568" s="8">
        <f>IF(AND(Таблицаx_2[[#This Row],[Месяц окончания]]=Таблицаx_2[[#This Row],[Месяц]],Таблицаx_2[[#This Row],[id]]=A569,EDATE(Таблицаx_2[[#This Row],[Месяц]],1)=D569),F569,0)</f>
        <v>0</v>
      </c>
      <c r="K568" s="8">
        <f>IF(AND(Таблицаx_2[[#This Row],[Месяц окончания]]=Таблицаx_2[[#This Row],[Месяц]],Таблицаx_2[[#This Row],[id]]=A569,EDATE(Таблицаx_2[[#This Row],[Месяц]],2)=D569),F569,0)</f>
        <v>0</v>
      </c>
    </row>
    <row r="569" spans="1:11" ht="12.75" hidden="1" customHeight="1" x14ac:dyDescent="0.2">
      <c r="A569" s="8">
        <v>346</v>
      </c>
      <c r="B569" s="8" t="s">
        <v>45</v>
      </c>
      <c r="C569" s="8" t="s">
        <v>7</v>
      </c>
      <c r="D569" s="12">
        <v>44986</v>
      </c>
      <c r="E569" s="8">
        <v>60823.75</v>
      </c>
      <c r="F569" s="10">
        <f>IF(ISTEXT(Таблицаx_2[[#This Row],[Значение]]), 0, Таблицаx_2[[#This Row],[Значение]])</f>
        <v>60823.75</v>
      </c>
      <c r="G569" s="12">
        <v>45108</v>
      </c>
      <c r="H569" s="10" t="str">
        <f>IFERROR(VLOOKUP(Таблицаx_2[[#This Row],[id]],prolongations!A:C,2,)," ")</f>
        <v>июль 2023</v>
      </c>
      <c r="I569" s="10">
        <f>IF(Таблицаx_2[[#This Row],[Месяц окончания]]=Таблицаx_2[[#This Row],[Месяц]],Таблицаx_2[[#This Row],[Значения числа]],0)</f>
        <v>0</v>
      </c>
      <c r="J569" s="8">
        <f>IF(AND(Таблицаx_2[[#This Row],[Месяц окончания]]=Таблицаx_2[[#This Row],[Месяц]],Таблицаx_2[[#This Row],[id]]=A570,EDATE(Таблицаx_2[[#This Row],[Месяц]],1)=D570),F570,0)</f>
        <v>0</v>
      </c>
      <c r="K569" s="8">
        <f>IF(AND(Таблицаx_2[[#This Row],[Месяц окончания]]=Таблицаx_2[[#This Row],[Месяц]],Таблицаx_2[[#This Row],[id]]=A570,EDATE(Таблицаx_2[[#This Row],[Месяц]],2)=D570),F570,0)</f>
        <v>0</v>
      </c>
    </row>
    <row r="570" spans="1:11" ht="12.75" hidden="1" customHeight="1" x14ac:dyDescent="0.2">
      <c r="A570" s="8">
        <v>346</v>
      </c>
      <c r="B570" s="8" t="s">
        <v>45</v>
      </c>
      <c r="C570" s="8" t="s">
        <v>7</v>
      </c>
      <c r="D570" s="12">
        <v>45017</v>
      </c>
      <c r="E570" s="8">
        <v>60823.75</v>
      </c>
      <c r="F570" s="10">
        <f>IF(ISTEXT(Таблицаx_2[[#This Row],[Значение]]), 0, Таблицаx_2[[#This Row],[Значение]])</f>
        <v>60823.75</v>
      </c>
      <c r="G570" s="12">
        <v>45108</v>
      </c>
      <c r="H570" s="10" t="str">
        <f>IFERROR(VLOOKUP(Таблицаx_2[[#This Row],[id]],prolongations!A:C,2,)," ")</f>
        <v>июль 2023</v>
      </c>
      <c r="I570" s="10">
        <f>IF(Таблицаx_2[[#This Row],[Месяц окончания]]=Таблицаx_2[[#This Row],[Месяц]],Таблицаx_2[[#This Row],[Значения числа]],0)</f>
        <v>0</v>
      </c>
      <c r="J570" s="8">
        <f>IF(AND(Таблицаx_2[[#This Row],[Месяц окончания]]=Таблицаx_2[[#This Row],[Месяц]],Таблицаx_2[[#This Row],[id]]=A571,EDATE(Таблицаx_2[[#This Row],[Месяц]],1)=D571),F571,0)</f>
        <v>0</v>
      </c>
      <c r="K570" s="8">
        <f>IF(AND(Таблицаx_2[[#This Row],[Месяц окончания]]=Таблицаx_2[[#This Row],[Месяц]],Таблицаx_2[[#This Row],[id]]=A571,EDATE(Таблицаx_2[[#This Row],[Месяц]],2)=D571),F571,0)</f>
        <v>0</v>
      </c>
    </row>
    <row r="571" spans="1:11" ht="12.75" hidden="1" customHeight="1" x14ac:dyDescent="0.2">
      <c r="A571" s="8">
        <v>346</v>
      </c>
      <c r="B571" s="8" t="s">
        <v>45</v>
      </c>
      <c r="C571" s="8" t="s">
        <v>7</v>
      </c>
      <c r="D571" s="12">
        <v>45047</v>
      </c>
      <c r="E571" s="8">
        <v>60823.75</v>
      </c>
      <c r="F571" s="10">
        <f>IF(ISTEXT(Таблицаx_2[[#This Row],[Значение]]), 0, Таблицаx_2[[#This Row],[Значение]])</f>
        <v>60823.75</v>
      </c>
      <c r="G571" s="12">
        <v>45108</v>
      </c>
      <c r="H571" s="10" t="str">
        <f>IFERROR(VLOOKUP(Таблицаx_2[[#This Row],[id]],prolongations!A:C,2,)," ")</f>
        <v>июль 2023</v>
      </c>
      <c r="I571" s="10">
        <f>IF(Таблицаx_2[[#This Row],[Месяц окончания]]=Таблицаx_2[[#This Row],[Месяц]],Таблицаx_2[[#This Row],[Значения числа]],0)</f>
        <v>0</v>
      </c>
      <c r="J571" s="8">
        <f>IF(AND(Таблицаx_2[[#This Row],[Месяц окончания]]=Таблицаx_2[[#This Row],[Месяц]],Таблицаx_2[[#This Row],[id]]=A572,EDATE(Таблицаx_2[[#This Row],[Месяц]],1)=D572),F572,0)</f>
        <v>0</v>
      </c>
      <c r="K571" s="8">
        <f>IF(AND(Таблицаx_2[[#This Row],[Месяц окончания]]=Таблицаx_2[[#This Row],[Месяц]],Таблицаx_2[[#This Row],[id]]=A572,EDATE(Таблицаx_2[[#This Row],[Месяц]],2)=D572),F572,0)</f>
        <v>0</v>
      </c>
    </row>
    <row r="572" spans="1:11" ht="12.75" hidden="1" customHeight="1" x14ac:dyDescent="0.2">
      <c r="A572" s="8">
        <v>346</v>
      </c>
      <c r="B572" s="8" t="s">
        <v>45</v>
      </c>
      <c r="C572" s="8" t="s">
        <v>7</v>
      </c>
      <c r="D572" s="12">
        <v>45078</v>
      </c>
      <c r="E572" s="8">
        <v>60823.75</v>
      </c>
      <c r="F572" s="10">
        <f>IF(ISTEXT(Таблицаx_2[[#This Row],[Значение]]), 0, Таблицаx_2[[#This Row],[Значение]])</f>
        <v>60823.75</v>
      </c>
      <c r="G572" s="12">
        <v>45108</v>
      </c>
      <c r="H572" s="10" t="str">
        <f>IFERROR(VLOOKUP(Таблицаx_2[[#This Row],[id]],prolongations!A:C,2,)," ")</f>
        <v>июль 2023</v>
      </c>
      <c r="I572" s="10">
        <f>IF(Таблицаx_2[[#This Row],[Месяц окончания]]=Таблицаx_2[[#This Row],[Месяц]],Таблицаx_2[[#This Row],[Значения числа]],0)</f>
        <v>0</v>
      </c>
      <c r="J572" s="8">
        <f>IF(AND(Таблицаx_2[[#This Row],[Месяц окончания]]=Таблицаx_2[[#This Row],[Месяц]],Таблицаx_2[[#This Row],[id]]=A573,EDATE(Таблицаx_2[[#This Row],[Месяц]],1)=D573),F573,0)</f>
        <v>0</v>
      </c>
      <c r="K572" s="8">
        <f>IF(AND(Таблицаx_2[[#This Row],[Месяц окончания]]=Таблицаx_2[[#This Row],[Месяц]],Таблицаx_2[[#This Row],[id]]=A573,EDATE(Таблицаx_2[[#This Row],[Месяц]],2)=D573),F573,0)</f>
        <v>0</v>
      </c>
    </row>
    <row r="573" spans="1:11" ht="12.75" hidden="1" customHeight="1" x14ac:dyDescent="0.2">
      <c r="A573" s="8">
        <v>346</v>
      </c>
      <c r="B573" s="8" t="s">
        <v>45</v>
      </c>
      <c r="C573" s="8" t="s">
        <v>7</v>
      </c>
      <c r="D573" s="12">
        <v>45108</v>
      </c>
      <c r="E573" s="8">
        <v>60823.75</v>
      </c>
      <c r="F573" s="10">
        <f>IF(ISTEXT(Таблицаx_2[[#This Row],[Значение]]), 0, Таблицаx_2[[#This Row],[Значение]])</f>
        <v>60823.75</v>
      </c>
      <c r="G573" s="12">
        <v>45108</v>
      </c>
      <c r="H573" s="10" t="str">
        <f>IFERROR(VLOOKUP(Таблицаx_2[[#This Row],[id]],prolongations!A:C,2,)," ")</f>
        <v>июль 2023</v>
      </c>
      <c r="I573" s="10">
        <f>IF(Таблицаx_2[[#This Row],[Месяц окончания]]=Таблицаx_2[[#This Row],[Месяц]],Таблицаx_2[[#This Row],[Значения числа]],0)</f>
        <v>60823.75</v>
      </c>
      <c r="J573" s="8">
        <f>IF(AND(Таблицаx_2[[#This Row],[Месяц окончания]]=Таблицаx_2[[#This Row],[Месяц]],Таблицаx_2[[#This Row],[id]]=A574,EDATE(Таблицаx_2[[#This Row],[Месяц]],1)=D574),F574,0)</f>
        <v>60206.25</v>
      </c>
      <c r="K573" s="8">
        <f>IF(AND(Таблицаx_2[[#This Row],[Месяц окончания]]=Таблицаx_2[[#This Row],[Месяц]],Таблицаx_2[[#This Row],[id]]=A574,EDATE(Таблицаx_2[[#This Row],[Месяц]],2)=D574),F574,0)</f>
        <v>0</v>
      </c>
    </row>
    <row r="574" spans="1:11" ht="12.75" hidden="1" customHeight="1" x14ac:dyDescent="0.2">
      <c r="A574" s="8">
        <v>346</v>
      </c>
      <c r="B574" s="8" t="s">
        <v>45</v>
      </c>
      <c r="C574" s="8" t="s">
        <v>7</v>
      </c>
      <c r="D574" s="12">
        <v>45139</v>
      </c>
      <c r="E574" s="8">
        <v>60206.25</v>
      </c>
      <c r="F574" s="10">
        <f>IF(ISTEXT(Таблицаx_2[[#This Row],[Значение]]), 0, Таблицаx_2[[#This Row],[Значение]])</f>
        <v>60206.25</v>
      </c>
      <c r="G574" s="12">
        <v>45108</v>
      </c>
      <c r="H574" s="10" t="str">
        <f>IFERROR(VLOOKUP(Таблицаx_2[[#This Row],[id]],prolongations!A:C,2,)," ")</f>
        <v>июль 2023</v>
      </c>
      <c r="I574" s="10">
        <f>IF(Таблицаx_2[[#This Row],[Месяц окончания]]=Таблицаx_2[[#This Row],[Месяц]],Таблицаx_2[[#This Row],[Значения числа]],0)</f>
        <v>0</v>
      </c>
      <c r="J574" s="8">
        <f>IF(AND(Таблицаx_2[[#This Row],[Месяц окончания]]=Таблицаx_2[[#This Row],[Месяц]],Таблицаx_2[[#This Row],[id]]=A575,EDATE(Таблицаx_2[[#This Row],[Месяц]],1)=D575),F575,0)</f>
        <v>0</v>
      </c>
      <c r="K574" s="8">
        <f>IF(AND(Таблицаx_2[[#This Row],[Месяц окончания]]=Таблицаx_2[[#This Row],[Месяц]],Таблицаx_2[[#This Row],[id]]=A575,EDATE(Таблицаx_2[[#This Row],[Месяц]],2)=D575),F575,0)</f>
        <v>0</v>
      </c>
    </row>
    <row r="575" spans="1:11" ht="12.75" hidden="1" customHeight="1" x14ac:dyDescent="0.2">
      <c r="A575" s="8">
        <v>346</v>
      </c>
      <c r="B575" s="8" t="s">
        <v>45</v>
      </c>
      <c r="C575" s="8" t="s">
        <v>7</v>
      </c>
      <c r="D575" s="12">
        <v>45170</v>
      </c>
      <c r="E575" s="8">
        <v>60206.25</v>
      </c>
      <c r="F575" s="10">
        <f>IF(ISTEXT(Таблицаx_2[[#This Row],[Значение]]), 0, Таблицаx_2[[#This Row],[Значение]])</f>
        <v>60206.25</v>
      </c>
      <c r="G575" s="12">
        <v>45108</v>
      </c>
      <c r="H575" s="10" t="str">
        <f>IFERROR(VLOOKUP(Таблицаx_2[[#This Row],[id]],prolongations!A:C,2,)," ")</f>
        <v>июль 2023</v>
      </c>
      <c r="I575" s="10">
        <f>IF(Таблицаx_2[[#This Row],[Месяц окончания]]=Таблицаx_2[[#This Row],[Месяц]],Таблицаx_2[[#This Row],[Значения числа]],0)</f>
        <v>0</v>
      </c>
      <c r="J575" s="8">
        <f>IF(AND(Таблицаx_2[[#This Row],[Месяц окончания]]=Таблицаx_2[[#This Row],[Месяц]],Таблицаx_2[[#This Row],[id]]=A576,EDATE(Таблицаx_2[[#This Row],[Месяц]],1)=D576),F576,0)</f>
        <v>0</v>
      </c>
      <c r="K575" s="8">
        <f>IF(AND(Таблицаx_2[[#This Row],[Месяц окончания]]=Таблицаx_2[[#This Row],[Месяц]],Таблицаx_2[[#This Row],[id]]=A576,EDATE(Таблицаx_2[[#This Row],[Месяц]],2)=D576),F576,0)</f>
        <v>0</v>
      </c>
    </row>
    <row r="576" spans="1:11" ht="12.75" hidden="1" customHeight="1" x14ac:dyDescent="0.2">
      <c r="A576" s="8">
        <v>346</v>
      </c>
      <c r="B576" s="8" t="s">
        <v>45</v>
      </c>
      <c r="C576" s="8" t="s">
        <v>7</v>
      </c>
      <c r="D576" s="12">
        <v>45200</v>
      </c>
      <c r="E576" s="8">
        <v>60206.25</v>
      </c>
      <c r="F576" s="10">
        <f>IF(ISTEXT(Таблицаx_2[[#This Row],[Значение]]), 0, Таблицаx_2[[#This Row],[Значение]])</f>
        <v>60206.25</v>
      </c>
      <c r="G576" s="12">
        <v>45108</v>
      </c>
      <c r="H576" s="10" t="str">
        <f>IFERROR(VLOOKUP(Таблицаx_2[[#This Row],[id]],prolongations!A:C,2,)," ")</f>
        <v>июль 2023</v>
      </c>
      <c r="I576" s="10">
        <f>IF(Таблицаx_2[[#This Row],[Месяц окончания]]=Таблицаx_2[[#This Row],[Месяц]],Таблицаx_2[[#This Row],[Значения числа]],0)</f>
        <v>0</v>
      </c>
      <c r="J576" s="8">
        <f>IF(AND(Таблицаx_2[[#This Row],[Месяц окончания]]=Таблицаx_2[[#This Row],[Месяц]],Таблицаx_2[[#This Row],[id]]=A577,EDATE(Таблицаx_2[[#This Row],[Месяц]],1)=D577),F577,0)</f>
        <v>0</v>
      </c>
      <c r="K576" s="8">
        <f>IF(AND(Таблицаx_2[[#This Row],[Месяц окончания]]=Таблицаx_2[[#This Row],[Месяц]],Таблицаx_2[[#This Row],[id]]=A577,EDATE(Таблицаx_2[[#This Row],[Месяц]],2)=D577),F577,0)</f>
        <v>0</v>
      </c>
    </row>
    <row r="577" spans="1:11" ht="12.75" hidden="1" customHeight="1" x14ac:dyDescent="0.2">
      <c r="A577" s="8">
        <v>346</v>
      </c>
      <c r="B577" s="8" t="s">
        <v>45</v>
      </c>
      <c r="C577" s="8" t="s">
        <v>7</v>
      </c>
      <c r="D577" s="12">
        <v>45231</v>
      </c>
      <c r="E577" s="8">
        <v>60206.25</v>
      </c>
      <c r="F577" s="10">
        <f>IF(ISTEXT(Таблицаx_2[[#This Row],[Значение]]), 0, Таблицаx_2[[#This Row],[Значение]])</f>
        <v>60206.25</v>
      </c>
      <c r="G577" s="12">
        <v>45108</v>
      </c>
      <c r="H577" s="10" t="str">
        <f>IFERROR(VLOOKUP(Таблицаx_2[[#This Row],[id]],prolongations!A:C,2,)," ")</f>
        <v>июль 2023</v>
      </c>
      <c r="I577" s="10">
        <f>IF(Таблицаx_2[[#This Row],[Месяц окончания]]=Таблицаx_2[[#This Row],[Месяц]],Таблицаx_2[[#This Row],[Значения числа]],0)</f>
        <v>0</v>
      </c>
      <c r="J577" s="8">
        <f>IF(AND(Таблицаx_2[[#This Row],[Месяц окончания]]=Таблицаx_2[[#This Row],[Месяц]],Таблицаx_2[[#This Row],[id]]=A578,EDATE(Таблицаx_2[[#This Row],[Месяц]],1)=D578),F578,0)</f>
        <v>0</v>
      </c>
      <c r="K577" s="8">
        <f>IF(AND(Таблицаx_2[[#This Row],[Месяц окончания]]=Таблицаx_2[[#This Row],[Месяц]],Таблицаx_2[[#This Row],[id]]=A578,EDATE(Таблицаx_2[[#This Row],[Месяц]],2)=D578),F578,0)</f>
        <v>0</v>
      </c>
    </row>
    <row r="578" spans="1:11" ht="12.75" hidden="1" customHeight="1" x14ac:dyDescent="0.2">
      <c r="A578" s="8">
        <v>346</v>
      </c>
      <c r="B578" s="8" t="s">
        <v>45</v>
      </c>
      <c r="C578" s="8" t="s">
        <v>7</v>
      </c>
      <c r="D578" s="12">
        <v>45261</v>
      </c>
      <c r="E578" s="8">
        <v>60206.25</v>
      </c>
      <c r="F578" s="10">
        <f>IF(ISTEXT(Таблицаx_2[[#This Row],[Значение]]), 0, Таблицаx_2[[#This Row],[Значение]])</f>
        <v>60206.25</v>
      </c>
      <c r="G578" s="12">
        <v>45108</v>
      </c>
      <c r="H578" s="10" t="str">
        <f>IFERROR(VLOOKUP(Таблицаx_2[[#This Row],[id]],prolongations!A:C,2,)," ")</f>
        <v>июль 2023</v>
      </c>
      <c r="I578" s="10">
        <f>IF(Таблицаx_2[[#This Row],[Месяц окончания]]=Таблицаx_2[[#This Row],[Месяц]],Таблицаx_2[[#This Row],[Значения числа]],0)</f>
        <v>0</v>
      </c>
      <c r="J578" s="8">
        <f>IF(AND(Таблицаx_2[[#This Row],[Месяц окончания]]=Таблицаx_2[[#This Row],[Месяц]],Таблицаx_2[[#This Row],[id]]=A579,EDATE(Таблицаx_2[[#This Row],[Месяц]],1)=D579),F579,0)</f>
        <v>0</v>
      </c>
      <c r="K578" s="8">
        <f>IF(AND(Таблицаx_2[[#This Row],[Месяц окончания]]=Таблицаx_2[[#This Row],[Месяц]],Таблицаx_2[[#This Row],[id]]=A579,EDATE(Таблицаx_2[[#This Row],[Месяц]],2)=D579),F579,0)</f>
        <v>0</v>
      </c>
    </row>
    <row r="579" spans="1:11" ht="12.75" hidden="1" customHeight="1" x14ac:dyDescent="0.2">
      <c r="A579" s="8">
        <v>346</v>
      </c>
      <c r="B579" s="8" t="s">
        <v>45</v>
      </c>
      <c r="C579" s="8" t="s">
        <v>7</v>
      </c>
      <c r="D579" s="12">
        <v>45292</v>
      </c>
      <c r="E579" s="8">
        <v>60206.25</v>
      </c>
      <c r="F579" s="10">
        <f>IF(ISTEXT(Таблицаx_2[[#This Row],[Значение]]), 0, Таблицаx_2[[#This Row],[Значение]])</f>
        <v>60206.25</v>
      </c>
      <c r="G579" s="12">
        <v>45108</v>
      </c>
      <c r="H579" s="10" t="str">
        <f>IFERROR(VLOOKUP(Таблицаx_2[[#This Row],[id]],prolongations!A:C,2,)," ")</f>
        <v>июль 2023</v>
      </c>
      <c r="I579" s="10">
        <f>IF(Таблицаx_2[[#This Row],[Месяц окончания]]=Таблицаx_2[[#This Row],[Месяц]],Таблицаx_2[[#This Row],[Значения числа]],0)</f>
        <v>0</v>
      </c>
      <c r="J579" s="8">
        <f>IF(AND(Таблицаx_2[[#This Row],[Месяц окончания]]=Таблицаx_2[[#This Row],[Месяц]],Таблицаx_2[[#This Row],[id]]=A580,EDATE(Таблицаx_2[[#This Row],[Месяц]],1)=D580),F580,0)</f>
        <v>0</v>
      </c>
      <c r="K579" s="8">
        <f>IF(AND(Таблицаx_2[[#This Row],[Месяц окончания]]=Таблицаx_2[[#This Row],[Месяц]],Таблицаx_2[[#This Row],[id]]=A580,EDATE(Таблицаx_2[[#This Row],[Месяц]],2)=D580),F580,0)</f>
        <v>0</v>
      </c>
    </row>
    <row r="580" spans="1:11" ht="12.75" hidden="1" customHeight="1" x14ac:dyDescent="0.2">
      <c r="A580" s="8">
        <v>346</v>
      </c>
      <c r="B580" s="8" t="s">
        <v>47</v>
      </c>
      <c r="C580" s="8" t="s">
        <v>7</v>
      </c>
      <c r="D580" s="12">
        <v>44927</v>
      </c>
      <c r="E580" s="8" t="s">
        <v>48</v>
      </c>
      <c r="F580" s="10">
        <f>IF(ISTEXT(Таблицаx_2[[#This Row],[Значение]]), 0, Таблицаx_2[[#This Row],[Значение]])</f>
        <v>0</v>
      </c>
      <c r="G580" s="12">
        <v>45108</v>
      </c>
      <c r="H580" s="10" t="str">
        <f>IFERROR(VLOOKUP(Таблицаx_2[[#This Row],[id]],prolongations!A:C,2,)," ")</f>
        <v>июль 2023</v>
      </c>
      <c r="I580" s="10">
        <f>IF(Таблицаx_2[[#This Row],[Месяц окончания]]=Таблицаx_2[[#This Row],[Месяц]],Таблицаx_2[[#This Row],[Значения числа]],0)</f>
        <v>0</v>
      </c>
      <c r="J580" s="8">
        <f>IF(AND(Таблицаx_2[[#This Row],[Месяц окончания]]=Таблицаx_2[[#This Row],[Месяц]],Таблицаx_2[[#This Row],[id]]=A581,EDATE(Таблицаx_2[[#This Row],[Месяц]],1)=D581),F581,0)</f>
        <v>0</v>
      </c>
      <c r="K580" s="8">
        <f>IF(AND(Таблицаx_2[[#This Row],[Месяц окончания]]=Таблицаx_2[[#This Row],[Месяц]],Таблицаx_2[[#This Row],[id]]=A581,EDATE(Таблицаx_2[[#This Row],[Месяц]],2)=D581),F581,0)</f>
        <v>0</v>
      </c>
    </row>
    <row r="581" spans="1:11" ht="12.75" hidden="1" customHeight="1" x14ac:dyDescent="0.2">
      <c r="A581" s="8">
        <v>346</v>
      </c>
      <c r="B581" s="8" t="s">
        <v>47</v>
      </c>
      <c r="C581" s="8" t="s">
        <v>7</v>
      </c>
      <c r="D581" s="12">
        <v>44958</v>
      </c>
      <c r="E581" s="8" t="s">
        <v>48</v>
      </c>
      <c r="F581" s="10">
        <f>IF(ISTEXT(Таблицаx_2[[#This Row],[Значение]]), 0, Таблицаx_2[[#This Row],[Значение]])</f>
        <v>0</v>
      </c>
      <c r="G581" s="12">
        <v>45108</v>
      </c>
      <c r="H581" s="10" t="str">
        <f>IFERROR(VLOOKUP(Таблицаx_2[[#This Row],[id]],prolongations!A:C,2,)," ")</f>
        <v>июль 2023</v>
      </c>
      <c r="I581" s="10">
        <f>IF(Таблицаx_2[[#This Row],[Месяц окончания]]=Таблицаx_2[[#This Row],[Месяц]],Таблицаx_2[[#This Row],[Значения числа]],0)</f>
        <v>0</v>
      </c>
      <c r="J581" s="8">
        <f>IF(AND(Таблицаx_2[[#This Row],[Месяц окончания]]=Таблицаx_2[[#This Row],[Месяц]],Таблицаx_2[[#This Row],[id]]=A582,EDATE(Таблицаx_2[[#This Row],[Месяц]],1)=D582),F582,0)</f>
        <v>0</v>
      </c>
      <c r="K581" s="8">
        <f>IF(AND(Таблицаx_2[[#This Row],[Месяц окончания]]=Таблицаx_2[[#This Row],[Месяц]],Таблицаx_2[[#This Row],[id]]=A582,EDATE(Таблицаx_2[[#This Row],[Месяц]],2)=D582),F582,0)</f>
        <v>0</v>
      </c>
    </row>
    <row r="582" spans="1:11" ht="12.75" hidden="1" customHeight="1" x14ac:dyDescent="0.2">
      <c r="A582" s="8">
        <v>346</v>
      </c>
      <c r="B582" s="8" t="s">
        <v>47</v>
      </c>
      <c r="C582" s="8" t="s">
        <v>7</v>
      </c>
      <c r="D582" s="12">
        <v>44986</v>
      </c>
      <c r="E582" s="8" t="s">
        <v>48</v>
      </c>
      <c r="F582" s="10">
        <f>IF(ISTEXT(Таблицаx_2[[#This Row],[Значение]]), 0, Таблицаx_2[[#This Row],[Значение]])</f>
        <v>0</v>
      </c>
      <c r="G582" s="12">
        <v>45108</v>
      </c>
      <c r="H582" s="10" t="str">
        <f>IFERROR(VLOOKUP(Таблицаx_2[[#This Row],[id]],prolongations!A:C,2,)," ")</f>
        <v>июль 2023</v>
      </c>
      <c r="I582" s="10">
        <f>IF(Таблицаx_2[[#This Row],[Месяц окончания]]=Таблицаx_2[[#This Row],[Месяц]],Таблицаx_2[[#This Row],[Значения числа]],0)</f>
        <v>0</v>
      </c>
      <c r="J582" s="8">
        <f>IF(AND(Таблицаx_2[[#This Row],[Месяц окончания]]=Таблицаx_2[[#This Row],[Месяц]],Таблицаx_2[[#This Row],[id]]=A583,EDATE(Таблицаx_2[[#This Row],[Месяц]],1)=D583),F583,0)</f>
        <v>0</v>
      </c>
      <c r="K582" s="8">
        <f>IF(AND(Таблицаx_2[[#This Row],[Месяц окончания]]=Таблицаx_2[[#This Row],[Месяц]],Таблицаx_2[[#This Row],[id]]=A583,EDATE(Таблицаx_2[[#This Row],[Месяц]],2)=D583),F583,0)</f>
        <v>0</v>
      </c>
    </row>
    <row r="583" spans="1:11" ht="12.75" hidden="1" customHeight="1" x14ac:dyDescent="0.2">
      <c r="A583" s="8">
        <v>346</v>
      </c>
      <c r="B583" s="8" t="s">
        <v>47</v>
      </c>
      <c r="C583" s="8" t="s">
        <v>7</v>
      </c>
      <c r="D583" s="12">
        <v>45017</v>
      </c>
      <c r="E583" s="8" t="s">
        <v>48</v>
      </c>
      <c r="F583" s="10">
        <f>IF(ISTEXT(Таблицаx_2[[#This Row],[Значение]]), 0, Таблицаx_2[[#This Row],[Значение]])</f>
        <v>0</v>
      </c>
      <c r="G583" s="12">
        <v>45108</v>
      </c>
      <c r="H583" s="10" t="str">
        <f>IFERROR(VLOOKUP(Таблицаx_2[[#This Row],[id]],prolongations!A:C,2,)," ")</f>
        <v>июль 2023</v>
      </c>
      <c r="I583" s="10">
        <f>IF(Таблицаx_2[[#This Row],[Месяц окончания]]=Таблицаx_2[[#This Row],[Месяц]],Таблицаx_2[[#This Row],[Значения числа]],0)</f>
        <v>0</v>
      </c>
      <c r="J583" s="8">
        <f>IF(AND(Таблицаx_2[[#This Row],[Месяц окончания]]=Таблицаx_2[[#This Row],[Месяц]],Таблицаx_2[[#This Row],[id]]=A584,EDATE(Таблицаx_2[[#This Row],[Месяц]],1)=D584),F584,0)</f>
        <v>0</v>
      </c>
      <c r="K583" s="8">
        <f>IF(AND(Таблицаx_2[[#This Row],[Месяц окончания]]=Таблицаx_2[[#This Row],[Месяц]],Таблицаx_2[[#This Row],[id]]=A584,EDATE(Таблицаx_2[[#This Row],[Месяц]],2)=D584),F584,0)</f>
        <v>0</v>
      </c>
    </row>
    <row r="584" spans="1:11" ht="12.75" hidden="1" customHeight="1" x14ac:dyDescent="0.2">
      <c r="A584" s="8">
        <v>346</v>
      </c>
      <c r="B584" s="8" t="s">
        <v>47</v>
      </c>
      <c r="C584" s="8" t="s">
        <v>7</v>
      </c>
      <c r="D584" s="12">
        <v>45047</v>
      </c>
      <c r="E584" s="8" t="s">
        <v>48</v>
      </c>
      <c r="F584" s="10">
        <f>IF(ISTEXT(Таблицаx_2[[#This Row],[Значение]]), 0, Таблицаx_2[[#This Row],[Значение]])</f>
        <v>0</v>
      </c>
      <c r="G584" s="12">
        <v>45108</v>
      </c>
      <c r="H584" s="10" t="str">
        <f>IFERROR(VLOOKUP(Таблицаx_2[[#This Row],[id]],prolongations!A:C,2,)," ")</f>
        <v>июль 2023</v>
      </c>
      <c r="I584" s="10">
        <f>IF(Таблицаx_2[[#This Row],[Месяц окончания]]=Таблицаx_2[[#This Row],[Месяц]],Таблицаx_2[[#This Row],[Значения числа]],0)</f>
        <v>0</v>
      </c>
      <c r="J584" s="8">
        <f>IF(AND(Таблицаx_2[[#This Row],[Месяц окончания]]=Таблицаx_2[[#This Row],[Месяц]],Таблицаx_2[[#This Row],[id]]=A585,EDATE(Таблицаx_2[[#This Row],[Месяц]],1)=D585),F585,0)</f>
        <v>0</v>
      </c>
      <c r="K584" s="8">
        <f>IF(AND(Таблицаx_2[[#This Row],[Месяц окончания]]=Таблицаx_2[[#This Row],[Месяц]],Таблицаx_2[[#This Row],[id]]=A585,EDATE(Таблицаx_2[[#This Row],[Месяц]],2)=D585),F585,0)</f>
        <v>0</v>
      </c>
    </row>
    <row r="585" spans="1:11" ht="12.75" hidden="1" customHeight="1" x14ac:dyDescent="0.2">
      <c r="A585" s="8">
        <v>346</v>
      </c>
      <c r="B585" s="8" t="s">
        <v>47</v>
      </c>
      <c r="C585" s="8" t="s">
        <v>7</v>
      </c>
      <c r="D585" s="12">
        <v>45078</v>
      </c>
      <c r="E585" s="8" t="s">
        <v>48</v>
      </c>
      <c r="F585" s="10">
        <f>IF(ISTEXT(Таблицаx_2[[#This Row],[Значение]]), 0, Таблицаx_2[[#This Row],[Значение]])</f>
        <v>0</v>
      </c>
      <c r="G585" s="12">
        <v>45108</v>
      </c>
      <c r="H585" s="10" t="str">
        <f>IFERROR(VLOOKUP(Таблицаx_2[[#This Row],[id]],prolongations!A:C,2,)," ")</f>
        <v>июль 2023</v>
      </c>
      <c r="I585" s="10">
        <f>IF(Таблицаx_2[[#This Row],[Месяц окончания]]=Таблицаx_2[[#This Row],[Месяц]],Таблицаx_2[[#This Row],[Значения числа]],0)</f>
        <v>0</v>
      </c>
      <c r="J585" s="8">
        <f>IF(AND(Таблицаx_2[[#This Row],[Месяц окончания]]=Таблицаx_2[[#This Row],[Месяц]],Таблицаx_2[[#This Row],[id]]=A586,EDATE(Таблицаx_2[[#This Row],[Месяц]],1)=D586),F586,0)</f>
        <v>0</v>
      </c>
      <c r="K585" s="8">
        <f>IF(AND(Таблицаx_2[[#This Row],[Месяц окончания]]=Таблицаx_2[[#This Row],[Месяц]],Таблицаx_2[[#This Row],[id]]=A586,EDATE(Таблицаx_2[[#This Row],[Месяц]],2)=D586),F586,0)</f>
        <v>0</v>
      </c>
    </row>
    <row r="586" spans="1:11" ht="12.75" hidden="1" customHeight="1" x14ac:dyDescent="0.2">
      <c r="A586" s="8">
        <v>346</v>
      </c>
      <c r="B586" s="8" t="s">
        <v>47</v>
      </c>
      <c r="C586" s="8" t="s">
        <v>7</v>
      </c>
      <c r="D586" s="12">
        <v>45108</v>
      </c>
      <c r="E586" s="8" t="s">
        <v>48</v>
      </c>
      <c r="F586" s="10">
        <f>IF(ISTEXT(Таблицаx_2[[#This Row],[Значение]]), 0, Таблицаx_2[[#This Row],[Значение]])</f>
        <v>0</v>
      </c>
      <c r="G586" s="12">
        <v>45108</v>
      </c>
      <c r="H586" s="10" t="str">
        <f>IFERROR(VLOOKUP(Таблицаx_2[[#This Row],[id]],prolongations!A:C,2,)," ")</f>
        <v>июль 2023</v>
      </c>
      <c r="I586" s="10">
        <f>IF(Таблицаx_2[[#This Row],[Месяц окончания]]=Таблицаx_2[[#This Row],[Месяц]],Таблицаx_2[[#This Row],[Значения числа]],0)</f>
        <v>0</v>
      </c>
      <c r="J586" s="8">
        <f>IF(AND(Таблицаx_2[[#This Row],[Месяц окончания]]=Таблицаx_2[[#This Row],[Месяц]],Таблицаx_2[[#This Row],[id]]=A587,EDATE(Таблицаx_2[[#This Row],[Месяц]],1)=D587),F587,0)</f>
        <v>0</v>
      </c>
      <c r="K586" s="8">
        <f>IF(AND(Таблицаx_2[[#This Row],[Месяц окончания]]=Таблицаx_2[[#This Row],[Месяц]],Таблицаx_2[[#This Row],[id]]=A587,EDATE(Таблицаx_2[[#This Row],[Месяц]],2)=D587),F587,0)</f>
        <v>0</v>
      </c>
    </row>
    <row r="587" spans="1:11" ht="12.75" hidden="1" customHeight="1" x14ac:dyDescent="0.2">
      <c r="A587" s="8">
        <v>586</v>
      </c>
      <c r="B587" s="8"/>
      <c r="C587" s="8" t="s">
        <v>8</v>
      </c>
      <c r="D587" s="12">
        <v>44866</v>
      </c>
      <c r="E587" s="8">
        <v>52240</v>
      </c>
      <c r="F587" s="10">
        <f>IF(ISTEXT(Таблицаx_2[[#This Row],[Значение]]), 0, Таблицаx_2[[#This Row],[Значение]])</f>
        <v>52240</v>
      </c>
      <c r="G587" s="12">
        <v>44866</v>
      </c>
      <c r="H587" s="10" t="str">
        <f>IFERROR(VLOOKUP(Таблицаx_2[[#This Row],[id]],prolongations!A:C,2,)," ")</f>
        <v>ноябрь 2022</v>
      </c>
      <c r="I587" s="10">
        <f>IF(Таблицаx_2[[#This Row],[Месяц окончания]]=Таблицаx_2[[#This Row],[Месяц]],Таблицаx_2[[#This Row],[Значения числа]],0)</f>
        <v>52240</v>
      </c>
      <c r="J587" s="8">
        <f>IF(AND(Таблицаx_2[[#This Row],[Месяц окончания]]=Таблицаx_2[[#This Row],[Месяц]],Таблицаx_2[[#This Row],[id]]=A588,EDATE(Таблицаx_2[[#This Row],[Месяц]],1)=D588),F588,0)</f>
        <v>0</v>
      </c>
      <c r="K587" s="8">
        <f>IF(AND(Таблицаx_2[[#This Row],[Месяц окончания]]=Таблицаx_2[[#This Row],[Месяц]],Таблицаx_2[[#This Row],[id]]=A588,EDATE(Таблицаx_2[[#This Row],[Месяц]],2)=D588),F588,0)</f>
        <v>0</v>
      </c>
    </row>
    <row r="588" spans="1:11" ht="12.75" hidden="1" customHeight="1" x14ac:dyDescent="0.2">
      <c r="A588" s="8">
        <v>586</v>
      </c>
      <c r="B588" s="8"/>
      <c r="C588" s="8" t="s">
        <v>8</v>
      </c>
      <c r="D588" s="12">
        <v>44958</v>
      </c>
      <c r="E588" s="8">
        <v>39660</v>
      </c>
      <c r="F588" s="10">
        <f>IF(ISTEXT(Таблицаx_2[[#This Row],[Значение]]), 0, Таблицаx_2[[#This Row],[Значение]])</f>
        <v>39660</v>
      </c>
      <c r="G588" s="12">
        <v>44866</v>
      </c>
      <c r="H588" s="10" t="str">
        <f>IFERROR(VLOOKUP(Таблицаx_2[[#This Row],[id]],prolongations!A:C,2,)," ")</f>
        <v>ноябрь 2022</v>
      </c>
      <c r="I588" s="10">
        <f>IF(Таблицаx_2[[#This Row],[Месяц окончания]]=Таблицаx_2[[#This Row],[Месяц]],Таблицаx_2[[#This Row],[Значения числа]],0)</f>
        <v>0</v>
      </c>
      <c r="J588" s="8">
        <f>IF(AND(Таблицаx_2[[#This Row],[Месяц окончания]]=Таблицаx_2[[#This Row],[Месяц]],Таблицаx_2[[#This Row],[id]]=A589,EDATE(Таблицаx_2[[#This Row],[Месяц]],1)=D589),F589,0)</f>
        <v>0</v>
      </c>
      <c r="K588" s="8">
        <f>IF(AND(Таблицаx_2[[#This Row],[Месяц окончания]]=Таблицаx_2[[#This Row],[Месяц]],Таблицаx_2[[#This Row],[id]]=A589,EDATE(Таблицаx_2[[#This Row],[Месяц]],2)=D589),F589,0)</f>
        <v>0</v>
      </c>
    </row>
    <row r="589" spans="1:11" ht="12.75" hidden="1" customHeight="1" x14ac:dyDescent="0.2">
      <c r="A589" s="8">
        <v>586</v>
      </c>
      <c r="B589" s="8"/>
      <c r="C589" s="8" t="s">
        <v>8</v>
      </c>
      <c r="D589" s="12">
        <v>44986</v>
      </c>
      <c r="E589" s="8">
        <v>43240</v>
      </c>
      <c r="F589" s="10">
        <f>IF(ISTEXT(Таблицаx_2[[#This Row],[Значение]]), 0, Таблицаx_2[[#This Row],[Значение]])</f>
        <v>43240</v>
      </c>
      <c r="G589" s="12">
        <v>44866</v>
      </c>
      <c r="H589" s="10" t="str">
        <f>IFERROR(VLOOKUP(Таблицаx_2[[#This Row],[id]],prolongations!A:C,2,)," ")</f>
        <v>ноябрь 2022</v>
      </c>
      <c r="I589" s="10">
        <f>IF(Таблицаx_2[[#This Row],[Месяц окончания]]=Таблицаx_2[[#This Row],[Месяц]],Таблицаx_2[[#This Row],[Значения числа]],0)</f>
        <v>0</v>
      </c>
      <c r="J589" s="8">
        <f>IF(AND(Таблицаx_2[[#This Row],[Месяц окончания]]=Таблицаx_2[[#This Row],[Месяц]],Таблицаx_2[[#This Row],[id]]=A590,EDATE(Таблицаx_2[[#This Row],[Месяц]],1)=D590),F590,0)</f>
        <v>0</v>
      </c>
      <c r="K589" s="8">
        <f>IF(AND(Таблицаx_2[[#This Row],[Месяц окончания]]=Таблицаx_2[[#This Row],[Месяц]],Таблицаx_2[[#This Row],[id]]=A590,EDATE(Таблицаx_2[[#This Row],[Месяц]],2)=D590),F590,0)</f>
        <v>0</v>
      </c>
    </row>
    <row r="590" spans="1:11" ht="12.75" hidden="1" customHeight="1" x14ac:dyDescent="0.2">
      <c r="A590" s="8">
        <v>586</v>
      </c>
      <c r="B590" s="8"/>
      <c r="C590" s="8" t="s">
        <v>8</v>
      </c>
      <c r="D590" s="12">
        <v>45017</v>
      </c>
      <c r="E590" s="8">
        <v>44880</v>
      </c>
      <c r="F590" s="10">
        <f>IF(ISTEXT(Таблицаx_2[[#This Row],[Значение]]), 0, Таблицаx_2[[#This Row],[Значение]])</f>
        <v>44880</v>
      </c>
      <c r="G590" s="12">
        <v>44866</v>
      </c>
      <c r="H590" s="10" t="str">
        <f>IFERROR(VLOOKUP(Таблицаx_2[[#This Row],[id]],prolongations!A:C,2,)," ")</f>
        <v>ноябрь 2022</v>
      </c>
      <c r="I590" s="10">
        <f>IF(Таблицаx_2[[#This Row],[Месяц окончания]]=Таблицаx_2[[#This Row],[Месяц]],Таблицаx_2[[#This Row],[Значения числа]],0)</f>
        <v>0</v>
      </c>
      <c r="J590" s="8">
        <f>IF(AND(Таблицаx_2[[#This Row],[Месяц окончания]]=Таблицаx_2[[#This Row],[Месяц]],Таблицаx_2[[#This Row],[id]]=A591,EDATE(Таблицаx_2[[#This Row],[Месяц]],1)=D591),F591,0)</f>
        <v>0</v>
      </c>
      <c r="K590" s="8">
        <f>IF(AND(Таблицаx_2[[#This Row],[Месяц окончания]]=Таблицаx_2[[#This Row],[Месяц]],Таблицаx_2[[#This Row],[id]]=A591,EDATE(Таблицаx_2[[#This Row],[Месяц]],2)=D591),F591,0)</f>
        <v>0</v>
      </c>
    </row>
    <row r="591" spans="1:11" ht="12.75" hidden="1" customHeight="1" x14ac:dyDescent="0.2">
      <c r="A591" s="8">
        <v>586</v>
      </c>
      <c r="B591" s="8"/>
      <c r="C591" s="8" t="s">
        <v>8</v>
      </c>
      <c r="D591" s="12">
        <v>45047</v>
      </c>
      <c r="E591" s="8">
        <v>41005</v>
      </c>
      <c r="F591" s="10">
        <f>IF(ISTEXT(Таблицаx_2[[#This Row],[Значение]]), 0, Таблицаx_2[[#This Row],[Значение]])</f>
        <v>41005</v>
      </c>
      <c r="G591" s="12">
        <v>44866</v>
      </c>
      <c r="H591" s="10" t="str">
        <f>IFERROR(VLOOKUP(Таблицаx_2[[#This Row],[id]],prolongations!A:C,2,)," ")</f>
        <v>ноябрь 2022</v>
      </c>
      <c r="I591" s="10">
        <f>IF(Таблицаx_2[[#This Row],[Месяц окончания]]=Таблицаx_2[[#This Row],[Месяц]],Таблицаx_2[[#This Row],[Значения числа]],0)</f>
        <v>0</v>
      </c>
      <c r="J591" s="8">
        <f>IF(AND(Таблицаx_2[[#This Row],[Месяц окончания]]=Таблицаx_2[[#This Row],[Месяц]],Таблицаx_2[[#This Row],[id]]=A592,EDATE(Таблицаx_2[[#This Row],[Месяц]],1)=D592),F592,0)</f>
        <v>0</v>
      </c>
      <c r="K591" s="8">
        <f>IF(AND(Таблицаx_2[[#This Row],[Месяц окончания]]=Таблицаx_2[[#This Row],[Месяц]],Таблицаx_2[[#This Row],[id]]=A592,EDATE(Таблицаx_2[[#This Row],[Месяц]],2)=D592),F592,0)</f>
        <v>0</v>
      </c>
    </row>
    <row r="592" spans="1:11" ht="12.75" hidden="1" customHeight="1" x14ac:dyDescent="0.2">
      <c r="A592" s="8">
        <v>586</v>
      </c>
      <c r="B592" s="8"/>
      <c r="C592" s="8" t="s">
        <v>8</v>
      </c>
      <c r="D592" s="12">
        <v>45078</v>
      </c>
      <c r="E592" s="8">
        <v>32940</v>
      </c>
      <c r="F592" s="10">
        <f>IF(ISTEXT(Таблицаx_2[[#This Row],[Значение]]), 0, Таблицаx_2[[#This Row],[Значение]])</f>
        <v>32940</v>
      </c>
      <c r="G592" s="12">
        <v>44866</v>
      </c>
      <c r="H592" s="10" t="str">
        <f>IFERROR(VLOOKUP(Таблицаx_2[[#This Row],[id]],prolongations!A:C,2,)," ")</f>
        <v>ноябрь 2022</v>
      </c>
      <c r="I592" s="10">
        <f>IF(Таблицаx_2[[#This Row],[Месяц окончания]]=Таблицаx_2[[#This Row],[Месяц]],Таблицаx_2[[#This Row],[Значения числа]],0)</f>
        <v>0</v>
      </c>
      <c r="J592" s="8">
        <f>IF(AND(Таблицаx_2[[#This Row],[Месяц окончания]]=Таблицаx_2[[#This Row],[Месяц]],Таблицаx_2[[#This Row],[id]]=A593,EDATE(Таблицаx_2[[#This Row],[Месяц]],1)=D593),F593,0)</f>
        <v>0</v>
      </c>
      <c r="K592" s="8">
        <f>IF(AND(Таблицаx_2[[#This Row],[Месяц окончания]]=Таблицаx_2[[#This Row],[Месяц]],Таблицаx_2[[#This Row],[id]]=A593,EDATE(Таблицаx_2[[#This Row],[Месяц]],2)=D593),F593,0)</f>
        <v>0</v>
      </c>
    </row>
    <row r="593" spans="1:11" ht="12.75" hidden="1" customHeight="1" x14ac:dyDescent="0.2">
      <c r="A593" s="8">
        <v>586</v>
      </c>
      <c r="B593" s="8"/>
      <c r="C593" s="8" t="s">
        <v>8</v>
      </c>
      <c r="D593" s="12">
        <v>45108</v>
      </c>
      <c r="E593" s="8">
        <v>77330</v>
      </c>
      <c r="F593" s="10">
        <f>IF(ISTEXT(Таблицаx_2[[#This Row],[Значение]]), 0, Таблицаx_2[[#This Row],[Значение]])</f>
        <v>77330</v>
      </c>
      <c r="G593" s="12">
        <v>44866</v>
      </c>
      <c r="H593" s="10" t="str">
        <f>IFERROR(VLOOKUP(Таблицаx_2[[#This Row],[id]],prolongations!A:C,2,)," ")</f>
        <v>ноябрь 2022</v>
      </c>
      <c r="I593" s="10">
        <f>IF(Таблицаx_2[[#This Row],[Месяц окончания]]=Таблицаx_2[[#This Row],[Месяц]],Таблицаx_2[[#This Row],[Значения числа]],0)</f>
        <v>0</v>
      </c>
      <c r="J593" s="8">
        <f>IF(AND(Таблицаx_2[[#This Row],[Месяц окончания]]=Таблицаx_2[[#This Row],[Месяц]],Таблицаx_2[[#This Row],[id]]=A594,EDATE(Таблицаx_2[[#This Row],[Месяц]],1)=D594),F594,0)</f>
        <v>0</v>
      </c>
      <c r="K593" s="8">
        <f>IF(AND(Таблицаx_2[[#This Row],[Месяц окончания]]=Таблицаx_2[[#This Row],[Месяц]],Таблицаx_2[[#This Row],[id]]=A594,EDATE(Таблицаx_2[[#This Row],[Месяц]],2)=D594),F594,0)</f>
        <v>0</v>
      </c>
    </row>
    <row r="594" spans="1:11" ht="12.75" hidden="1" customHeight="1" x14ac:dyDescent="0.2">
      <c r="A594" s="8">
        <v>830</v>
      </c>
      <c r="B594" s="8"/>
      <c r="C594" s="8" t="s">
        <v>7</v>
      </c>
      <c r="D594" s="12">
        <v>45017</v>
      </c>
      <c r="E594" s="8">
        <v>50475</v>
      </c>
      <c r="F594" s="10">
        <f>IF(ISTEXT(Таблицаx_2[[#This Row],[Значение]]), 0, Таблицаx_2[[#This Row],[Значение]])</f>
        <v>50475</v>
      </c>
      <c r="G594" s="12">
        <v>45108</v>
      </c>
      <c r="H594" s="10" t="str">
        <f>IFERROR(VLOOKUP(Таблицаx_2[[#This Row],[id]],prolongations!A:C,2,)," ")</f>
        <v>июль 2023</v>
      </c>
      <c r="I594" s="10">
        <f>IF(Таблицаx_2[[#This Row],[Месяц окончания]]=Таблицаx_2[[#This Row],[Месяц]],Таблицаx_2[[#This Row],[Значения числа]],0)</f>
        <v>0</v>
      </c>
      <c r="J594" s="8">
        <f>IF(AND(Таблицаx_2[[#This Row],[Месяц окончания]]=Таблицаx_2[[#This Row],[Месяц]],Таблицаx_2[[#This Row],[id]]=A595,EDATE(Таблицаx_2[[#This Row],[Месяц]],1)=D595),F595,0)</f>
        <v>0</v>
      </c>
      <c r="K594" s="8">
        <f>IF(AND(Таблицаx_2[[#This Row],[Месяц окончания]]=Таблицаx_2[[#This Row],[Месяц]],Таблицаx_2[[#This Row],[id]]=A595,EDATE(Таблицаx_2[[#This Row],[Месяц]],2)=D595),F595,0)</f>
        <v>0</v>
      </c>
    </row>
    <row r="595" spans="1:11" ht="12.75" hidden="1" customHeight="1" x14ac:dyDescent="0.2">
      <c r="A595" s="8">
        <v>830</v>
      </c>
      <c r="B595" s="8"/>
      <c r="C595" s="8" t="s">
        <v>7</v>
      </c>
      <c r="D595" s="12">
        <v>45047</v>
      </c>
      <c r="E595" s="8">
        <v>44495</v>
      </c>
      <c r="F595" s="10">
        <f>IF(ISTEXT(Таблицаx_2[[#This Row],[Значение]]), 0, Таблицаx_2[[#This Row],[Значение]])</f>
        <v>44495</v>
      </c>
      <c r="G595" s="12">
        <v>45108</v>
      </c>
      <c r="H595" s="10" t="str">
        <f>IFERROR(VLOOKUP(Таблицаx_2[[#This Row],[id]],prolongations!A:C,2,)," ")</f>
        <v>июль 2023</v>
      </c>
      <c r="I595" s="10">
        <f>IF(Таблицаx_2[[#This Row],[Месяц окончания]]=Таблицаx_2[[#This Row],[Месяц]],Таблицаx_2[[#This Row],[Значения числа]],0)</f>
        <v>0</v>
      </c>
      <c r="J595" s="8">
        <f>IF(AND(Таблицаx_2[[#This Row],[Месяц окончания]]=Таблицаx_2[[#This Row],[Месяц]],Таблицаx_2[[#This Row],[id]]=A596,EDATE(Таблицаx_2[[#This Row],[Месяц]],1)=D596),F596,0)</f>
        <v>0</v>
      </c>
      <c r="K595" s="8">
        <f>IF(AND(Таблицаx_2[[#This Row],[Месяц окончания]]=Таблицаx_2[[#This Row],[Месяц]],Таблицаx_2[[#This Row],[id]]=A596,EDATE(Таблицаx_2[[#This Row],[Месяц]],2)=D596),F596,0)</f>
        <v>0</v>
      </c>
    </row>
    <row r="596" spans="1:11" ht="12.75" hidden="1" customHeight="1" x14ac:dyDescent="0.2">
      <c r="A596" s="8">
        <v>830</v>
      </c>
      <c r="B596" s="8"/>
      <c r="C596" s="8" t="s">
        <v>7</v>
      </c>
      <c r="D596" s="12">
        <v>45078</v>
      </c>
      <c r="E596" s="8">
        <v>44495</v>
      </c>
      <c r="F596" s="10">
        <f>IF(ISTEXT(Таблицаx_2[[#This Row],[Значение]]), 0, Таблицаx_2[[#This Row],[Значение]])</f>
        <v>44495</v>
      </c>
      <c r="G596" s="12">
        <v>45108</v>
      </c>
      <c r="H596" s="10" t="str">
        <f>IFERROR(VLOOKUP(Таблицаx_2[[#This Row],[id]],prolongations!A:C,2,)," ")</f>
        <v>июль 2023</v>
      </c>
      <c r="I596" s="10">
        <f>IF(Таблицаx_2[[#This Row],[Месяц окончания]]=Таблицаx_2[[#This Row],[Месяц]],Таблицаx_2[[#This Row],[Значения числа]],0)</f>
        <v>0</v>
      </c>
      <c r="J596" s="8">
        <f>IF(AND(Таблицаx_2[[#This Row],[Месяц окончания]]=Таблицаx_2[[#This Row],[Месяц]],Таблицаx_2[[#This Row],[id]]=A597,EDATE(Таблицаx_2[[#This Row],[Месяц]],1)=D597),F597,0)</f>
        <v>0</v>
      </c>
      <c r="K596" s="8">
        <f>IF(AND(Таблицаx_2[[#This Row],[Месяц окончания]]=Таблицаx_2[[#This Row],[Месяц]],Таблицаx_2[[#This Row],[id]]=A597,EDATE(Таблицаx_2[[#This Row],[Месяц]],2)=D597),F597,0)</f>
        <v>0</v>
      </c>
    </row>
    <row r="597" spans="1:11" ht="12.75" hidden="1" customHeight="1" x14ac:dyDescent="0.2">
      <c r="A597" s="8">
        <v>830</v>
      </c>
      <c r="B597" s="8"/>
      <c r="C597" s="8" t="s">
        <v>7</v>
      </c>
      <c r="D597" s="12">
        <v>45108</v>
      </c>
      <c r="E597" s="8" t="s">
        <v>46</v>
      </c>
      <c r="F597" s="10">
        <f>IF(ISTEXT(Таблицаx_2[[#This Row],[Значение]]), 0, Таблицаx_2[[#This Row],[Значение]])</f>
        <v>0</v>
      </c>
      <c r="G597" s="12">
        <v>45108</v>
      </c>
      <c r="H597" s="10" t="str">
        <f>IFERROR(VLOOKUP(Таблицаx_2[[#This Row],[id]],prolongations!A:C,2,)," ")</f>
        <v>июль 2023</v>
      </c>
      <c r="I597" s="10">
        <f>IF(Таблицаx_2[[#This Row],[Месяц окончания]]=Таблицаx_2[[#This Row],[Месяц]],Таблицаx_2[[#This Row],[Значения числа]],0)</f>
        <v>0</v>
      </c>
      <c r="J597" s="8">
        <f>IF(AND(Таблицаx_2[[#This Row],[Месяц окончания]]=Таблицаx_2[[#This Row],[Месяц]],Таблицаx_2[[#This Row],[id]]=A598,EDATE(Таблицаx_2[[#This Row],[Месяц]],1)=D598),F598,0)</f>
        <v>0</v>
      </c>
      <c r="K597" s="8">
        <f>IF(AND(Таблицаx_2[[#This Row],[Месяц окончания]]=Таблицаx_2[[#This Row],[Месяц]],Таблицаx_2[[#This Row],[id]]=A598,EDATE(Таблицаx_2[[#This Row],[Месяц]],2)=D598),F598,0)</f>
        <v>0</v>
      </c>
    </row>
    <row r="598" spans="1:11" ht="12.75" hidden="1" customHeight="1" x14ac:dyDescent="0.2">
      <c r="A598" s="8">
        <v>727</v>
      </c>
      <c r="B598" s="8"/>
      <c r="C598" s="8" t="s">
        <v>8</v>
      </c>
      <c r="D598" s="12">
        <v>44896</v>
      </c>
      <c r="E598" s="8">
        <v>39120</v>
      </c>
      <c r="F598" s="10">
        <f>IF(ISTEXT(Таблицаx_2[[#This Row],[Значение]]), 0, Таблицаx_2[[#This Row],[Значение]])</f>
        <v>39120</v>
      </c>
      <c r="G598" s="12">
        <v>45108</v>
      </c>
      <c r="H598" s="10" t="str">
        <f>IFERROR(VLOOKUP(Таблицаx_2[[#This Row],[id]],prolongations!A:C,2,)," ")</f>
        <v>июль 2023</v>
      </c>
      <c r="I598" s="10">
        <f>IF(Таблицаx_2[[#This Row],[Месяц окончания]]=Таблицаx_2[[#This Row],[Месяц]],Таблицаx_2[[#This Row],[Значения числа]],0)</f>
        <v>0</v>
      </c>
      <c r="J598" s="8">
        <f>IF(AND(Таблицаx_2[[#This Row],[Месяц окончания]]=Таблицаx_2[[#This Row],[Месяц]],Таблицаx_2[[#This Row],[id]]=A599,EDATE(Таблицаx_2[[#This Row],[Месяц]],1)=D599),F599,0)</f>
        <v>0</v>
      </c>
      <c r="K598" s="8">
        <f>IF(AND(Таблицаx_2[[#This Row],[Месяц окончания]]=Таблицаx_2[[#This Row],[Месяц]],Таблицаx_2[[#This Row],[id]]=A599,EDATE(Таблицаx_2[[#This Row],[Месяц]],2)=D599),F599,0)</f>
        <v>0</v>
      </c>
    </row>
    <row r="599" spans="1:11" ht="12.75" hidden="1" customHeight="1" x14ac:dyDescent="0.2">
      <c r="A599" s="8">
        <v>727</v>
      </c>
      <c r="B599" s="8"/>
      <c r="C599" s="8" t="s">
        <v>8</v>
      </c>
      <c r="D599" s="12">
        <v>44927</v>
      </c>
      <c r="E599" s="8">
        <v>73580</v>
      </c>
      <c r="F599" s="10">
        <f>IF(ISTEXT(Таблицаx_2[[#This Row],[Значение]]), 0, Таблицаx_2[[#This Row],[Значение]])</f>
        <v>73580</v>
      </c>
      <c r="G599" s="12">
        <v>45108</v>
      </c>
      <c r="H599" s="10" t="str">
        <f>IFERROR(VLOOKUP(Таблицаx_2[[#This Row],[id]],prolongations!A:C,2,)," ")</f>
        <v>июль 2023</v>
      </c>
      <c r="I599" s="10">
        <f>IF(Таблицаx_2[[#This Row],[Месяц окончания]]=Таблицаx_2[[#This Row],[Месяц]],Таблицаx_2[[#This Row],[Значения числа]],0)</f>
        <v>0</v>
      </c>
      <c r="J599" s="8">
        <f>IF(AND(Таблицаx_2[[#This Row],[Месяц окончания]]=Таблицаx_2[[#This Row],[Месяц]],Таблицаx_2[[#This Row],[id]]=A600,EDATE(Таблицаx_2[[#This Row],[Месяц]],1)=D600),F600,0)</f>
        <v>0</v>
      </c>
      <c r="K599" s="8">
        <f>IF(AND(Таблицаx_2[[#This Row],[Месяц окончания]]=Таблицаx_2[[#This Row],[Месяц]],Таблицаx_2[[#This Row],[id]]=A600,EDATE(Таблицаx_2[[#This Row],[Месяц]],2)=D600),F600,0)</f>
        <v>0</v>
      </c>
    </row>
    <row r="600" spans="1:11" ht="12.75" hidden="1" customHeight="1" x14ac:dyDescent="0.2">
      <c r="A600" s="8">
        <v>727</v>
      </c>
      <c r="B600" s="8"/>
      <c r="C600" s="8" t="s">
        <v>8</v>
      </c>
      <c r="D600" s="12">
        <v>44958</v>
      </c>
      <c r="E600" s="8">
        <v>74930</v>
      </c>
      <c r="F600" s="10">
        <f>IF(ISTEXT(Таблицаx_2[[#This Row],[Значение]]), 0, Таблицаx_2[[#This Row],[Значение]])</f>
        <v>74930</v>
      </c>
      <c r="G600" s="12">
        <v>45108</v>
      </c>
      <c r="H600" s="10" t="str">
        <f>IFERROR(VLOOKUP(Таблицаx_2[[#This Row],[id]],prolongations!A:C,2,)," ")</f>
        <v>июль 2023</v>
      </c>
      <c r="I600" s="10">
        <f>IF(Таблицаx_2[[#This Row],[Месяц окончания]]=Таблицаx_2[[#This Row],[Месяц]],Таблицаx_2[[#This Row],[Значения числа]],0)</f>
        <v>0</v>
      </c>
      <c r="J600" s="8">
        <f>IF(AND(Таблицаx_2[[#This Row],[Месяц окончания]]=Таблицаx_2[[#This Row],[Месяц]],Таблицаx_2[[#This Row],[id]]=A601,EDATE(Таблицаx_2[[#This Row],[Месяц]],1)=D601),F601,0)</f>
        <v>0</v>
      </c>
      <c r="K600" s="8">
        <f>IF(AND(Таблицаx_2[[#This Row],[Месяц окончания]]=Таблицаx_2[[#This Row],[Месяц]],Таблицаx_2[[#This Row],[id]]=A601,EDATE(Таблицаx_2[[#This Row],[Месяц]],2)=D601),F601,0)</f>
        <v>0</v>
      </c>
    </row>
    <row r="601" spans="1:11" ht="12.75" hidden="1" customHeight="1" x14ac:dyDescent="0.2">
      <c r="A601" s="8">
        <v>727</v>
      </c>
      <c r="B601" s="8"/>
      <c r="C601" s="8" t="s">
        <v>8</v>
      </c>
      <c r="D601" s="12">
        <v>44986</v>
      </c>
      <c r="E601" s="8">
        <v>72295</v>
      </c>
      <c r="F601" s="10">
        <f>IF(ISTEXT(Таблицаx_2[[#This Row],[Значение]]), 0, Таблицаx_2[[#This Row],[Значение]])</f>
        <v>72295</v>
      </c>
      <c r="G601" s="12">
        <v>45108</v>
      </c>
      <c r="H601" s="10" t="str">
        <f>IFERROR(VLOOKUP(Таблицаx_2[[#This Row],[id]],prolongations!A:C,2,)," ")</f>
        <v>июль 2023</v>
      </c>
      <c r="I601" s="10">
        <f>IF(Таблицаx_2[[#This Row],[Месяц окончания]]=Таблицаx_2[[#This Row],[Месяц]],Таблицаx_2[[#This Row],[Значения числа]],0)</f>
        <v>0</v>
      </c>
      <c r="J601" s="8">
        <f>IF(AND(Таблицаx_2[[#This Row],[Месяц окончания]]=Таблицаx_2[[#This Row],[Месяц]],Таблицаx_2[[#This Row],[id]]=A602,EDATE(Таблицаx_2[[#This Row],[Месяц]],1)=D602),F602,0)</f>
        <v>0</v>
      </c>
      <c r="K601" s="8">
        <f>IF(AND(Таблицаx_2[[#This Row],[Месяц окончания]]=Таблицаx_2[[#This Row],[Месяц]],Таблицаx_2[[#This Row],[id]]=A602,EDATE(Таблицаx_2[[#This Row],[Месяц]],2)=D602),F602,0)</f>
        <v>0</v>
      </c>
    </row>
    <row r="602" spans="1:11" ht="12.75" hidden="1" customHeight="1" x14ac:dyDescent="0.2">
      <c r="A602" s="8">
        <v>727</v>
      </c>
      <c r="B602" s="8"/>
      <c r="C602" s="8" t="s">
        <v>8</v>
      </c>
      <c r="D602" s="12">
        <v>45017</v>
      </c>
      <c r="E602" s="8">
        <v>74810</v>
      </c>
      <c r="F602" s="10">
        <f>IF(ISTEXT(Таблицаx_2[[#This Row],[Значение]]), 0, Таблицаx_2[[#This Row],[Значение]])</f>
        <v>74810</v>
      </c>
      <c r="G602" s="12">
        <v>45108</v>
      </c>
      <c r="H602" s="10" t="str">
        <f>IFERROR(VLOOKUP(Таблицаx_2[[#This Row],[id]],prolongations!A:C,2,)," ")</f>
        <v>июль 2023</v>
      </c>
      <c r="I602" s="10">
        <f>IF(Таблицаx_2[[#This Row],[Месяц окончания]]=Таблицаx_2[[#This Row],[Месяц]],Таблицаx_2[[#This Row],[Значения числа]],0)</f>
        <v>0</v>
      </c>
      <c r="J602" s="8">
        <f>IF(AND(Таблицаx_2[[#This Row],[Месяц окончания]]=Таблицаx_2[[#This Row],[Месяц]],Таблицаx_2[[#This Row],[id]]=A603,EDATE(Таблицаx_2[[#This Row],[Месяц]],1)=D603),F603,0)</f>
        <v>0</v>
      </c>
      <c r="K602" s="8">
        <f>IF(AND(Таблицаx_2[[#This Row],[Месяц окончания]]=Таблицаx_2[[#This Row],[Месяц]],Таблицаx_2[[#This Row],[id]]=A603,EDATE(Таблицаx_2[[#This Row],[Месяц]],2)=D603),F603,0)</f>
        <v>0</v>
      </c>
    </row>
    <row r="603" spans="1:11" ht="12.75" hidden="1" customHeight="1" x14ac:dyDescent="0.2">
      <c r="A603" s="8">
        <v>727</v>
      </c>
      <c r="B603" s="8"/>
      <c r="C603" s="8" t="s">
        <v>8</v>
      </c>
      <c r="D603" s="12">
        <v>45047</v>
      </c>
      <c r="E603" s="8">
        <v>72965</v>
      </c>
      <c r="F603" s="10">
        <f>IF(ISTEXT(Таблицаx_2[[#This Row],[Значение]]), 0, Таблицаx_2[[#This Row],[Значение]])</f>
        <v>72965</v>
      </c>
      <c r="G603" s="12">
        <v>45108</v>
      </c>
      <c r="H603" s="10" t="str">
        <f>IFERROR(VLOOKUP(Таблицаx_2[[#This Row],[id]],prolongations!A:C,2,)," ")</f>
        <v>июль 2023</v>
      </c>
      <c r="I603" s="10">
        <f>IF(Таблицаx_2[[#This Row],[Месяц окончания]]=Таблицаx_2[[#This Row],[Месяц]],Таблицаx_2[[#This Row],[Значения числа]],0)</f>
        <v>0</v>
      </c>
      <c r="J603" s="8">
        <f>IF(AND(Таблицаx_2[[#This Row],[Месяц окончания]]=Таблицаx_2[[#This Row],[Месяц]],Таблицаx_2[[#This Row],[id]]=A604,EDATE(Таблицаx_2[[#This Row],[Месяц]],1)=D604),F604,0)</f>
        <v>0</v>
      </c>
      <c r="K603" s="8">
        <f>IF(AND(Таблицаx_2[[#This Row],[Месяц окончания]]=Таблицаx_2[[#This Row],[Месяц]],Таблицаx_2[[#This Row],[id]]=A604,EDATE(Таблицаx_2[[#This Row],[Месяц]],2)=D604),F604,0)</f>
        <v>0</v>
      </c>
    </row>
    <row r="604" spans="1:11" ht="12.75" hidden="1" customHeight="1" x14ac:dyDescent="0.2">
      <c r="A604" s="8">
        <v>727</v>
      </c>
      <c r="B604" s="8"/>
      <c r="C604" s="8" t="s">
        <v>8</v>
      </c>
      <c r="D604" s="12">
        <v>45078</v>
      </c>
      <c r="E604" s="8">
        <v>79210</v>
      </c>
      <c r="F604" s="10">
        <f>IF(ISTEXT(Таблицаx_2[[#This Row],[Значение]]), 0, Таблицаx_2[[#This Row],[Значение]])</f>
        <v>79210</v>
      </c>
      <c r="G604" s="12">
        <v>45108</v>
      </c>
      <c r="H604" s="10" t="str">
        <f>IFERROR(VLOOKUP(Таблицаx_2[[#This Row],[id]],prolongations!A:C,2,)," ")</f>
        <v>июль 2023</v>
      </c>
      <c r="I604" s="10">
        <f>IF(Таблицаx_2[[#This Row],[Месяц окончания]]=Таблицаx_2[[#This Row],[Месяц]],Таблицаx_2[[#This Row],[Значения числа]],0)</f>
        <v>0</v>
      </c>
      <c r="J604" s="8">
        <f>IF(AND(Таблицаx_2[[#This Row],[Месяц окончания]]=Таблицаx_2[[#This Row],[Месяц]],Таблицаx_2[[#This Row],[id]]=A605,EDATE(Таблицаx_2[[#This Row],[Месяц]],1)=D605),F605,0)</f>
        <v>0</v>
      </c>
      <c r="K604" s="8">
        <f>IF(AND(Таблицаx_2[[#This Row],[Месяц окончания]]=Таблицаx_2[[#This Row],[Месяц]],Таблицаx_2[[#This Row],[id]]=A605,EDATE(Таблицаx_2[[#This Row],[Месяц]],2)=D605),F605,0)</f>
        <v>0</v>
      </c>
    </row>
    <row r="605" spans="1:11" ht="12.75" hidden="1" customHeight="1" x14ac:dyDescent="0.2">
      <c r="A605" s="8">
        <v>727</v>
      </c>
      <c r="B605" s="8"/>
      <c r="C605" s="8" t="s">
        <v>8</v>
      </c>
      <c r="D605" s="12">
        <v>45108</v>
      </c>
      <c r="E605" s="8">
        <v>52970</v>
      </c>
      <c r="F605" s="10">
        <f>IF(ISTEXT(Таблицаx_2[[#This Row],[Значение]]), 0, Таблицаx_2[[#This Row],[Значение]])</f>
        <v>52970</v>
      </c>
      <c r="G605" s="12">
        <v>45108</v>
      </c>
      <c r="H605" s="10" t="str">
        <f>IFERROR(VLOOKUP(Таблицаx_2[[#This Row],[id]],prolongations!A:C,2,)," ")</f>
        <v>июль 2023</v>
      </c>
      <c r="I605" s="10">
        <f>IF(Таблицаx_2[[#This Row],[Месяц окончания]]=Таблицаx_2[[#This Row],[Месяц]],Таблицаx_2[[#This Row],[Значения числа]],0)</f>
        <v>52970</v>
      </c>
      <c r="J605" s="8">
        <f>IF(AND(Таблицаx_2[[#This Row],[Месяц окончания]]=Таблицаx_2[[#This Row],[Месяц]],Таблицаx_2[[#This Row],[id]]=A606,EDATE(Таблицаx_2[[#This Row],[Месяц]],1)=D606),F606,0)</f>
        <v>53920</v>
      </c>
      <c r="K605" s="8">
        <f>IF(AND(Таблицаx_2[[#This Row],[Месяц окончания]]=Таблицаx_2[[#This Row],[Месяц]],Таблицаx_2[[#This Row],[id]]=A606,EDATE(Таблицаx_2[[#This Row],[Месяц]],2)=D606),F606,0)</f>
        <v>0</v>
      </c>
    </row>
    <row r="606" spans="1:11" ht="12.75" hidden="1" customHeight="1" x14ac:dyDescent="0.2">
      <c r="A606" s="8">
        <v>727</v>
      </c>
      <c r="B606" s="8"/>
      <c r="C606" s="8" t="s">
        <v>8</v>
      </c>
      <c r="D606" s="12">
        <v>45139</v>
      </c>
      <c r="E606" s="8">
        <v>53920</v>
      </c>
      <c r="F606" s="10">
        <f>IF(ISTEXT(Таблицаx_2[[#This Row],[Значение]]), 0, Таблицаx_2[[#This Row],[Значение]])</f>
        <v>53920</v>
      </c>
      <c r="G606" s="12">
        <v>45108</v>
      </c>
      <c r="H606" s="10" t="str">
        <f>IFERROR(VLOOKUP(Таблицаx_2[[#This Row],[id]],prolongations!A:C,2,)," ")</f>
        <v>июль 2023</v>
      </c>
      <c r="I606" s="10">
        <f>IF(Таблицаx_2[[#This Row],[Месяц окончания]]=Таблицаx_2[[#This Row],[Месяц]],Таблицаx_2[[#This Row],[Значения числа]],0)</f>
        <v>0</v>
      </c>
      <c r="J606" s="8">
        <f>IF(AND(Таблицаx_2[[#This Row],[Месяц окончания]]=Таблицаx_2[[#This Row],[Месяц]],Таблицаx_2[[#This Row],[id]]=A607,EDATE(Таблицаx_2[[#This Row],[Месяц]],1)=D607),F607,0)</f>
        <v>0</v>
      </c>
      <c r="K606" s="8">
        <f>IF(AND(Таблицаx_2[[#This Row],[Месяц окончания]]=Таблицаx_2[[#This Row],[Месяц]],Таблицаx_2[[#This Row],[id]]=A607,EDATE(Таблицаx_2[[#This Row],[Месяц]],2)=D607),F607,0)</f>
        <v>0</v>
      </c>
    </row>
    <row r="607" spans="1:11" ht="12.75" hidden="1" customHeight="1" x14ac:dyDescent="0.2">
      <c r="A607" s="8">
        <v>727</v>
      </c>
      <c r="B607" s="8"/>
      <c r="C607" s="8" t="s">
        <v>8</v>
      </c>
      <c r="D607" s="12">
        <v>45170</v>
      </c>
      <c r="E607" s="8">
        <v>52970</v>
      </c>
      <c r="F607" s="10">
        <f>IF(ISTEXT(Таблицаx_2[[#This Row],[Значение]]), 0, Таблицаx_2[[#This Row],[Значение]])</f>
        <v>52970</v>
      </c>
      <c r="G607" s="12">
        <v>45108</v>
      </c>
      <c r="H607" s="10" t="str">
        <f>IFERROR(VLOOKUP(Таблицаx_2[[#This Row],[id]],prolongations!A:C,2,)," ")</f>
        <v>июль 2023</v>
      </c>
      <c r="I607" s="10">
        <f>IF(Таблицаx_2[[#This Row],[Месяц окончания]]=Таблицаx_2[[#This Row],[Месяц]],Таблицаx_2[[#This Row],[Значения числа]],0)</f>
        <v>0</v>
      </c>
      <c r="J607" s="8">
        <f>IF(AND(Таблицаx_2[[#This Row],[Месяц окончания]]=Таблицаx_2[[#This Row],[Месяц]],Таблицаx_2[[#This Row],[id]]=A608,EDATE(Таблицаx_2[[#This Row],[Месяц]],1)=D608),F608,0)</f>
        <v>0</v>
      </c>
      <c r="K607" s="8">
        <f>IF(AND(Таблицаx_2[[#This Row],[Месяц окончания]]=Таблицаx_2[[#This Row],[Месяц]],Таблицаx_2[[#This Row],[id]]=A608,EDATE(Таблицаx_2[[#This Row],[Месяц]],2)=D608),F608,0)</f>
        <v>0</v>
      </c>
    </row>
    <row r="608" spans="1:11" ht="12.75" hidden="1" customHeight="1" x14ac:dyDescent="0.2">
      <c r="A608" s="8">
        <v>727</v>
      </c>
      <c r="B608" s="8"/>
      <c r="C608" s="8" t="s">
        <v>8</v>
      </c>
      <c r="D608" s="12">
        <v>45200</v>
      </c>
      <c r="E608" s="8">
        <v>53920</v>
      </c>
      <c r="F608" s="10">
        <f>IF(ISTEXT(Таблицаx_2[[#This Row],[Значение]]), 0, Таблицаx_2[[#This Row],[Значение]])</f>
        <v>53920</v>
      </c>
      <c r="G608" s="12">
        <v>45108</v>
      </c>
      <c r="H608" s="10" t="str">
        <f>IFERROR(VLOOKUP(Таблицаx_2[[#This Row],[id]],prolongations!A:C,2,)," ")</f>
        <v>июль 2023</v>
      </c>
      <c r="I608" s="10">
        <f>IF(Таблицаx_2[[#This Row],[Месяц окончания]]=Таблицаx_2[[#This Row],[Месяц]],Таблицаx_2[[#This Row],[Значения числа]],0)</f>
        <v>0</v>
      </c>
      <c r="J608" s="8">
        <f>IF(AND(Таблицаx_2[[#This Row],[Месяц окончания]]=Таблицаx_2[[#This Row],[Месяц]],Таблицаx_2[[#This Row],[id]]=A609,EDATE(Таблицаx_2[[#This Row],[Месяц]],1)=D609),F609,0)</f>
        <v>0</v>
      </c>
      <c r="K608" s="8">
        <f>IF(AND(Таблицаx_2[[#This Row],[Месяц окончания]]=Таблицаx_2[[#This Row],[Месяц]],Таблицаx_2[[#This Row],[id]]=A609,EDATE(Таблицаx_2[[#This Row],[Месяц]],2)=D609),F609,0)</f>
        <v>0</v>
      </c>
    </row>
    <row r="609" spans="1:11" ht="12.75" hidden="1" customHeight="1" x14ac:dyDescent="0.2">
      <c r="A609" s="8">
        <v>727</v>
      </c>
      <c r="B609" s="8"/>
      <c r="C609" s="8" t="s">
        <v>8</v>
      </c>
      <c r="D609" s="12">
        <v>45231</v>
      </c>
      <c r="E609" s="8">
        <v>54395</v>
      </c>
      <c r="F609" s="10">
        <f>IF(ISTEXT(Таблицаx_2[[#This Row],[Значение]]), 0, Таблицаx_2[[#This Row],[Значение]])</f>
        <v>54395</v>
      </c>
      <c r="G609" s="12">
        <v>45108</v>
      </c>
      <c r="H609" s="10" t="str">
        <f>IFERROR(VLOOKUP(Таблицаx_2[[#This Row],[id]],prolongations!A:C,2,)," ")</f>
        <v>июль 2023</v>
      </c>
      <c r="I609" s="10">
        <f>IF(Таблицаx_2[[#This Row],[Месяц окончания]]=Таблицаx_2[[#This Row],[Месяц]],Таблицаx_2[[#This Row],[Значения числа]],0)</f>
        <v>0</v>
      </c>
      <c r="J609" s="8">
        <f>IF(AND(Таблицаx_2[[#This Row],[Месяц окончания]]=Таблицаx_2[[#This Row],[Месяц]],Таблицаx_2[[#This Row],[id]]=A610,EDATE(Таблицаx_2[[#This Row],[Месяц]],1)=D610),F610,0)</f>
        <v>0</v>
      </c>
      <c r="K609" s="8">
        <f>IF(AND(Таблицаx_2[[#This Row],[Месяц окончания]]=Таблицаx_2[[#This Row],[Месяц]],Таблицаx_2[[#This Row],[id]]=A610,EDATE(Таблицаx_2[[#This Row],[Месяц]],2)=D610),F610,0)</f>
        <v>0</v>
      </c>
    </row>
    <row r="610" spans="1:11" ht="12.75" hidden="1" customHeight="1" x14ac:dyDescent="0.2">
      <c r="A610" s="8">
        <v>727</v>
      </c>
      <c r="B610" s="8"/>
      <c r="C610" s="8" t="s">
        <v>8</v>
      </c>
      <c r="D610" s="12">
        <v>45261</v>
      </c>
      <c r="E610" s="8">
        <v>54395</v>
      </c>
      <c r="F610" s="10">
        <f>IF(ISTEXT(Таблицаx_2[[#This Row],[Значение]]), 0, Таблицаx_2[[#This Row],[Значение]])</f>
        <v>54395</v>
      </c>
      <c r="G610" s="12">
        <v>45108</v>
      </c>
      <c r="H610" s="10" t="str">
        <f>IFERROR(VLOOKUP(Таблицаx_2[[#This Row],[id]],prolongations!A:C,2,)," ")</f>
        <v>июль 2023</v>
      </c>
      <c r="I610" s="10">
        <f>IF(Таблицаx_2[[#This Row],[Месяц окончания]]=Таблицаx_2[[#This Row],[Месяц]],Таблицаx_2[[#This Row],[Значения числа]],0)</f>
        <v>0</v>
      </c>
      <c r="J610" s="8">
        <f>IF(AND(Таблицаx_2[[#This Row],[Месяц окончания]]=Таблицаx_2[[#This Row],[Месяц]],Таблицаx_2[[#This Row],[id]]=A611,EDATE(Таблицаx_2[[#This Row],[Месяц]],1)=D611),F611,0)</f>
        <v>0</v>
      </c>
      <c r="K610" s="8">
        <f>IF(AND(Таблицаx_2[[#This Row],[Месяц окончания]]=Таблицаx_2[[#This Row],[Месяц]],Таблицаx_2[[#This Row],[id]]=A611,EDATE(Таблицаx_2[[#This Row],[Месяц]],2)=D611),F611,0)</f>
        <v>0</v>
      </c>
    </row>
    <row r="611" spans="1:11" ht="12.75" hidden="1" customHeight="1" x14ac:dyDescent="0.2">
      <c r="A611" s="8">
        <v>727</v>
      </c>
      <c r="B611" s="8"/>
      <c r="C611" s="8" t="s">
        <v>8</v>
      </c>
      <c r="D611" s="12">
        <v>45292</v>
      </c>
      <c r="E611" s="8">
        <v>54395</v>
      </c>
      <c r="F611" s="10">
        <f>IF(ISTEXT(Таблицаx_2[[#This Row],[Значение]]), 0, Таблицаx_2[[#This Row],[Значение]])</f>
        <v>54395</v>
      </c>
      <c r="G611" s="12">
        <v>45108</v>
      </c>
      <c r="H611" s="10" t="str">
        <f>IFERROR(VLOOKUP(Таблицаx_2[[#This Row],[id]],prolongations!A:C,2,)," ")</f>
        <v>июль 2023</v>
      </c>
      <c r="I611" s="10">
        <f>IF(Таблицаx_2[[#This Row],[Месяц окончания]]=Таблицаx_2[[#This Row],[Месяц]],Таблицаx_2[[#This Row],[Значения числа]],0)</f>
        <v>0</v>
      </c>
      <c r="J611" s="8">
        <f>IF(AND(Таблицаx_2[[#This Row],[Месяц окончания]]=Таблицаx_2[[#This Row],[Месяц]],Таблицаx_2[[#This Row],[id]]=A612,EDATE(Таблицаx_2[[#This Row],[Месяц]],1)=D612),F612,0)</f>
        <v>0</v>
      </c>
      <c r="K611" s="8">
        <f>IF(AND(Таблицаx_2[[#This Row],[Месяц окончания]]=Таблицаx_2[[#This Row],[Месяц]],Таблицаx_2[[#This Row],[id]]=A612,EDATE(Таблицаx_2[[#This Row],[Месяц]],2)=D612),F612,0)</f>
        <v>0</v>
      </c>
    </row>
    <row r="612" spans="1:11" ht="12.75" hidden="1" customHeight="1" x14ac:dyDescent="0.2">
      <c r="A612" s="8">
        <v>727</v>
      </c>
      <c r="B612" s="8"/>
      <c r="C612" s="8" t="s">
        <v>8</v>
      </c>
      <c r="D612" s="12">
        <v>45323</v>
      </c>
      <c r="E612" s="8">
        <v>54395</v>
      </c>
      <c r="F612" s="10">
        <f>IF(ISTEXT(Таблицаx_2[[#This Row],[Значение]]), 0, Таблицаx_2[[#This Row],[Значение]])</f>
        <v>54395</v>
      </c>
      <c r="G612" s="12">
        <v>45108</v>
      </c>
      <c r="H612" s="10" t="str">
        <f>IFERROR(VLOOKUP(Таблицаx_2[[#This Row],[id]],prolongations!A:C,2,)," ")</f>
        <v>июль 2023</v>
      </c>
      <c r="I612" s="10">
        <f>IF(Таблицаx_2[[#This Row],[Месяц окончания]]=Таблицаx_2[[#This Row],[Месяц]],Таблицаx_2[[#This Row],[Значения числа]],0)</f>
        <v>0</v>
      </c>
      <c r="J612" s="8">
        <f>IF(AND(Таблицаx_2[[#This Row],[Месяц окончания]]=Таблицаx_2[[#This Row],[Месяц]],Таблицаx_2[[#This Row],[id]]=A613,EDATE(Таблицаx_2[[#This Row],[Месяц]],1)=D613),F613,0)</f>
        <v>0</v>
      </c>
      <c r="K612" s="8">
        <f>IF(AND(Таблицаx_2[[#This Row],[Месяц окончания]]=Таблицаx_2[[#This Row],[Месяц]],Таблицаx_2[[#This Row],[id]]=A613,EDATE(Таблицаx_2[[#This Row],[Месяц]],2)=D613),F613,0)</f>
        <v>0</v>
      </c>
    </row>
    <row r="613" spans="1:11" ht="12.75" hidden="1" customHeight="1" x14ac:dyDescent="0.2">
      <c r="A613" s="8">
        <v>211</v>
      </c>
      <c r="B613" s="8" t="s">
        <v>52</v>
      </c>
      <c r="C613" s="8" t="s">
        <v>4</v>
      </c>
      <c r="D613" s="12">
        <v>44958</v>
      </c>
      <c r="E613" s="8">
        <v>171046.75</v>
      </c>
      <c r="F613" s="10">
        <f>IF(ISTEXT(Таблицаx_2[[#This Row],[Значение]]), 0, Таблицаx_2[[#This Row],[Значение]])</f>
        <v>171046.75</v>
      </c>
      <c r="G613" s="12">
        <v>45108</v>
      </c>
      <c r="H613" s="10" t="str">
        <f>IFERROR(VLOOKUP(Таблицаx_2[[#This Row],[id]],prolongations!A:C,2,)," ")</f>
        <v>июль 2023</v>
      </c>
      <c r="I613" s="10">
        <f>IF(Таблицаx_2[[#This Row],[Месяц окончания]]=Таблицаx_2[[#This Row],[Месяц]],Таблицаx_2[[#This Row],[Значения числа]],0)</f>
        <v>0</v>
      </c>
      <c r="J613" s="8">
        <f>IF(AND(Таблицаx_2[[#This Row],[Месяц окончания]]=Таблицаx_2[[#This Row],[Месяц]],Таблицаx_2[[#This Row],[id]]=A614,EDATE(Таблицаx_2[[#This Row],[Месяц]],1)=D614),F614,0)</f>
        <v>0</v>
      </c>
      <c r="K613" s="8">
        <f>IF(AND(Таблицаx_2[[#This Row],[Месяц окончания]]=Таблицаx_2[[#This Row],[Месяц]],Таблицаx_2[[#This Row],[id]]=A614,EDATE(Таблицаx_2[[#This Row],[Месяц]],2)=D614),F614,0)</f>
        <v>0</v>
      </c>
    </row>
    <row r="614" spans="1:11" ht="12.75" hidden="1" customHeight="1" x14ac:dyDescent="0.2">
      <c r="A614" s="8">
        <v>211</v>
      </c>
      <c r="B614" s="8" t="s">
        <v>52</v>
      </c>
      <c r="C614" s="8" t="s">
        <v>4</v>
      </c>
      <c r="D614" s="12">
        <v>45017</v>
      </c>
      <c r="E614" s="8" t="s">
        <v>48</v>
      </c>
      <c r="F614" s="10">
        <f>IF(ISTEXT(Таблицаx_2[[#This Row],[Значение]]), 0, Таблицаx_2[[#This Row],[Значение]])</f>
        <v>0</v>
      </c>
      <c r="G614" s="12">
        <v>45108</v>
      </c>
      <c r="H614" s="10" t="str">
        <f>IFERROR(VLOOKUP(Таблицаx_2[[#This Row],[id]],prolongations!A:C,2,)," ")</f>
        <v>июль 2023</v>
      </c>
      <c r="I614" s="10">
        <f>IF(Таблицаx_2[[#This Row],[Месяц окончания]]=Таблицаx_2[[#This Row],[Месяц]],Таблицаx_2[[#This Row],[Значения числа]],0)</f>
        <v>0</v>
      </c>
      <c r="J614" s="8">
        <f>IF(AND(Таблицаx_2[[#This Row],[Месяц окончания]]=Таблицаx_2[[#This Row],[Месяц]],Таблицаx_2[[#This Row],[id]]=A615,EDATE(Таблицаx_2[[#This Row],[Месяц]],1)=D615),F615,0)</f>
        <v>0</v>
      </c>
      <c r="K614" s="8">
        <f>IF(AND(Таблицаx_2[[#This Row],[Месяц окончания]]=Таблицаx_2[[#This Row],[Месяц]],Таблицаx_2[[#This Row],[id]]=A615,EDATE(Таблицаx_2[[#This Row],[Месяц]],2)=D615),F615,0)</f>
        <v>0</v>
      </c>
    </row>
    <row r="615" spans="1:11" ht="12.75" hidden="1" customHeight="1" x14ac:dyDescent="0.2">
      <c r="A615" s="8">
        <v>211</v>
      </c>
      <c r="B615" s="8" t="s">
        <v>52</v>
      </c>
      <c r="C615" s="8" t="s">
        <v>4</v>
      </c>
      <c r="D615" s="12">
        <v>45047</v>
      </c>
      <c r="E615" s="8">
        <v>54111</v>
      </c>
      <c r="F615" s="10">
        <f>IF(ISTEXT(Таблицаx_2[[#This Row],[Значение]]), 0, Таблицаx_2[[#This Row],[Значение]])</f>
        <v>54111</v>
      </c>
      <c r="G615" s="12">
        <v>45108</v>
      </c>
      <c r="H615" s="10" t="str">
        <f>IFERROR(VLOOKUP(Таблицаx_2[[#This Row],[id]],prolongations!A:C,2,)," ")</f>
        <v>июль 2023</v>
      </c>
      <c r="I615" s="10">
        <f>IF(Таблицаx_2[[#This Row],[Месяц окончания]]=Таблицаx_2[[#This Row],[Месяц]],Таблицаx_2[[#This Row],[Значения числа]],0)</f>
        <v>0</v>
      </c>
      <c r="J615" s="8">
        <f>IF(AND(Таблицаx_2[[#This Row],[Месяц окончания]]=Таблицаx_2[[#This Row],[Месяц]],Таблицаx_2[[#This Row],[id]]=A616,EDATE(Таблицаx_2[[#This Row],[Месяц]],1)=D616),F616,0)</f>
        <v>0</v>
      </c>
      <c r="K615" s="8">
        <f>IF(AND(Таблицаx_2[[#This Row],[Месяц окончания]]=Таблицаx_2[[#This Row],[Месяц]],Таблицаx_2[[#This Row],[id]]=A616,EDATE(Таблицаx_2[[#This Row],[Месяц]],2)=D616),F616,0)</f>
        <v>0</v>
      </c>
    </row>
    <row r="616" spans="1:11" ht="12.75" hidden="1" customHeight="1" x14ac:dyDescent="0.2">
      <c r="A616" s="8">
        <v>211</v>
      </c>
      <c r="B616" s="8" t="s">
        <v>52</v>
      </c>
      <c r="C616" s="8" t="s">
        <v>4</v>
      </c>
      <c r="D616" s="12">
        <v>45078</v>
      </c>
      <c r="E616" s="8">
        <v>75000</v>
      </c>
      <c r="F616" s="10">
        <f>IF(ISTEXT(Таблицаx_2[[#This Row],[Значение]]), 0, Таблицаx_2[[#This Row],[Значение]])</f>
        <v>75000</v>
      </c>
      <c r="G616" s="12">
        <v>45108</v>
      </c>
      <c r="H616" s="10" t="str">
        <f>IFERROR(VLOOKUP(Таблицаx_2[[#This Row],[id]],prolongations!A:C,2,)," ")</f>
        <v>июль 2023</v>
      </c>
      <c r="I616" s="10">
        <f>IF(Таблицаx_2[[#This Row],[Месяц окончания]]=Таблицаx_2[[#This Row],[Месяц]],Таблицаx_2[[#This Row],[Значения числа]],0)</f>
        <v>0</v>
      </c>
      <c r="J616" s="8">
        <f>IF(AND(Таблицаx_2[[#This Row],[Месяц окончания]]=Таблицаx_2[[#This Row],[Месяц]],Таблицаx_2[[#This Row],[id]]=A617,EDATE(Таблицаx_2[[#This Row],[Месяц]],1)=D617),F617,0)</f>
        <v>0</v>
      </c>
      <c r="K616" s="8">
        <f>IF(AND(Таблицаx_2[[#This Row],[Месяц окончания]]=Таблицаx_2[[#This Row],[Месяц]],Таблицаx_2[[#This Row],[id]]=A617,EDATE(Таблицаx_2[[#This Row],[Месяц]],2)=D617),F617,0)</f>
        <v>0</v>
      </c>
    </row>
    <row r="617" spans="1:11" ht="12.75" hidden="1" customHeight="1" x14ac:dyDescent="0.2">
      <c r="A617" s="8">
        <v>211</v>
      </c>
      <c r="B617" s="8" t="s">
        <v>52</v>
      </c>
      <c r="C617" s="8" t="s">
        <v>4</v>
      </c>
      <c r="D617" s="12">
        <v>45108</v>
      </c>
      <c r="E617" s="8" t="s">
        <v>48</v>
      </c>
      <c r="F617" s="10">
        <f>IF(ISTEXT(Таблицаx_2[[#This Row],[Значение]]), 0, Таблицаx_2[[#This Row],[Значение]])</f>
        <v>0</v>
      </c>
      <c r="G617" s="12">
        <v>45108</v>
      </c>
      <c r="H617" s="10" t="str">
        <f>IFERROR(VLOOKUP(Таблицаx_2[[#This Row],[id]],prolongations!A:C,2,)," ")</f>
        <v>июль 2023</v>
      </c>
      <c r="I617" s="10">
        <f>IF(Таблицаx_2[[#This Row],[Месяц окончания]]=Таблицаx_2[[#This Row],[Месяц]],Таблицаx_2[[#This Row],[Значения числа]],0)</f>
        <v>0</v>
      </c>
      <c r="J617" s="8">
        <f>IF(AND(Таблицаx_2[[#This Row],[Месяц окончания]]=Таблицаx_2[[#This Row],[Месяц]],Таблицаx_2[[#This Row],[id]]=A618,EDATE(Таблицаx_2[[#This Row],[Месяц]],1)=D618),F618,0)</f>
        <v>0</v>
      </c>
      <c r="K617" s="8">
        <f>IF(AND(Таблицаx_2[[#This Row],[Месяц окончания]]=Таблицаx_2[[#This Row],[Месяц]],Таблицаx_2[[#This Row],[id]]=A618,EDATE(Таблицаx_2[[#This Row],[Месяц]],2)=D618),F618,0)</f>
        <v>0</v>
      </c>
    </row>
    <row r="618" spans="1:11" ht="12.75" hidden="1" customHeight="1" x14ac:dyDescent="0.2">
      <c r="A618" s="8">
        <v>211</v>
      </c>
      <c r="B618" s="8" t="s">
        <v>50</v>
      </c>
      <c r="C618" s="8" t="s">
        <v>4</v>
      </c>
      <c r="D618" s="12">
        <v>45108</v>
      </c>
      <c r="E618" s="8">
        <v>180000</v>
      </c>
      <c r="F618" s="10">
        <f>IF(ISTEXT(Таблицаx_2[[#This Row],[Значение]]), 0, Таблицаx_2[[#This Row],[Значение]])</f>
        <v>180000</v>
      </c>
      <c r="G618" s="12">
        <v>45108</v>
      </c>
      <c r="H618" s="10" t="str">
        <f>IFERROR(VLOOKUP(Таблицаx_2[[#This Row],[id]],prolongations!A:C,2,)," ")</f>
        <v>июль 2023</v>
      </c>
      <c r="I618" s="10">
        <f>IF(Таблицаx_2[[#This Row],[Месяц окончания]]=Таблицаx_2[[#This Row],[Месяц]],Таблицаx_2[[#This Row],[Значения числа]],0)</f>
        <v>180000</v>
      </c>
      <c r="J618" s="8">
        <f>IF(AND(Таблицаx_2[[#This Row],[Месяц окончания]]=Таблицаx_2[[#This Row],[Месяц]],Таблицаx_2[[#This Row],[id]]=A619,EDATE(Таблицаx_2[[#This Row],[Месяц]],1)=D619),F619,0)</f>
        <v>135000</v>
      </c>
      <c r="K618" s="8">
        <f>IF(AND(Таблицаx_2[[#This Row],[Месяц окончания]]=Таблицаx_2[[#This Row],[Месяц]],Таблицаx_2[[#This Row],[id]]=A619,EDATE(Таблицаx_2[[#This Row],[Месяц]],2)=D619),F619,0)</f>
        <v>0</v>
      </c>
    </row>
    <row r="619" spans="1:11" ht="12.75" hidden="1" customHeight="1" x14ac:dyDescent="0.2">
      <c r="A619" s="8">
        <v>211</v>
      </c>
      <c r="B619" s="8" t="s">
        <v>50</v>
      </c>
      <c r="C619" s="8" t="s">
        <v>4</v>
      </c>
      <c r="D619" s="12">
        <v>45139</v>
      </c>
      <c r="E619" s="8">
        <v>135000</v>
      </c>
      <c r="F619" s="10">
        <f>IF(ISTEXT(Таблицаx_2[[#This Row],[Значение]]), 0, Таблицаx_2[[#This Row],[Значение]])</f>
        <v>135000</v>
      </c>
      <c r="G619" s="12">
        <v>45108</v>
      </c>
      <c r="H619" s="10" t="str">
        <f>IFERROR(VLOOKUP(Таблицаx_2[[#This Row],[id]],prolongations!A:C,2,)," ")</f>
        <v>июль 2023</v>
      </c>
      <c r="I619" s="10">
        <f>IF(Таблицаx_2[[#This Row],[Месяц окончания]]=Таблицаx_2[[#This Row],[Месяц]],Таблицаx_2[[#This Row],[Значения числа]],0)</f>
        <v>0</v>
      </c>
      <c r="J619" s="8">
        <f>IF(AND(Таблицаx_2[[#This Row],[Месяц окончания]]=Таблицаx_2[[#This Row],[Месяц]],Таблицаx_2[[#This Row],[id]]=A620,EDATE(Таблицаx_2[[#This Row],[Месяц]],1)=D620),F620,0)</f>
        <v>0</v>
      </c>
      <c r="K619" s="8">
        <f>IF(AND(Таблицаx_2[[#This Row],[Месяц окончания]]=Таблицаx_2[[#This Row],[Месяц]],Таблицаx_2[[#This Row],[id]]=A620,EDATE(Таблицаx_2[[#This Row],[Месяц]],2)=D620),F620,0)</f>
        <v>0</v>
      </c>
    </row>
    <row r="620" spans="1:11" ht="12.75" hidden="1" customHeight="1" x14ac:dyDescent="0.2">
      <c r="A620" s="8">
        <v>211</v>
      </c>
      <c r="B620" s="8" t="s">
        <v>50</v>
      </c>
      <c r="C620" s="8" t="s">
        <v>4</v>
      </c>
      <c r="D620" s="12">
        <v>45170</v>
      </c>
      <c r="E620" s="8">
        <v>238500</v>
      </c>
      <c r="F620" s="10">
        <f>IF(ISTEXT(Таблицаx_2[[#This Row],[Значение]]), 0, Таблицаx_2[[#This Row],[Значение]])</f>
        <v>238500</v>
      </c>
      <c r="G620" s="12">
        <v>45108</v>
      </c>
      <c r="H620" s="10" t="str">
        <f>IFERROR(VLOOKUP(Таблицаx_2[[#This Row],[id]],prolongations!A:C,2,)," ")</f>
        <v>июль 2023</v>
      </c>
      <c r="I620" s="10">
        <f>IF(Таблицаx_2[[#This Row],[Месяц окончания]]=Таблицаx_2[[#This Row],[Месяц]],Таблицаx_2[[#This Row],[Значения числа]],0)</f>
        <v>0</v>
      </c>
      <c r="J620" s="8">
        <f>IF(AND(Таблицаx_2[[#This Row],[Месяц окончания]]=Таблицаx_2[[#This Row],[Месяц]],Таблицаx_2[[#This Row],[id]]=A621,EDATE(Таблицаx_2[[#This Row],[Месяц]],1)=D621),F621,0)</f>
        <v>0</v>
      </c>
      <c r="K620" s="8">
        <f>IF(AND(Таблицаx_2[[#This Row],[Месяц окончания]]=Таблицаx_2[[#This Row],[Месяц]],Таблицаx_2[[#This Row],[id]]=A621,EDATE(Таблицаx_2[[#This Row],[Месяц]],2)=D621),F621,0)</f>
        <v>0</v>
      </c>
    </row>
    <row r="621" spans="1:11" ht="12.75" hidden="1" customHeight="1" x14ac:dyDescent="0.2">
      <c r="A621" s="8">
        <v>211</v>
      </c>
      <c r="B621" s="8" t="s">
        <v>50</v>
      </c>
      <c r="C621" s="8" t="s">
        <v>4</v>
      </c>
      <c r="D621" s="12">
        <v>45200</v>
      </c>
      <c r="E621" s="8">
        <v>186750</v>
      </c>
      <c r="F621" s="10">
        <f>IF(ISTEXT(Таблицаx_2[[#This Row],[Значение]]), 0, Таблицаx_2[[#This Row],[Значение]])</f>
        <v>186750</v>
      </c>
      <c r="G621" s="12">
        <v>45108</v>
      </c>
      <c r="H621" s="10" t="str">
        <f>IFERROR(VLOOKUP(Таблицаx_2[[#This Row],[id]],prolongations!A:C,2,)," ")</f>
        <v>июль 2023</v>
      </c>
      <c r="I621" s="10">
        <f>IF(Таблицаx_2[[#This Row],[Месяц окончания]]=Таблицаx_2[[#This Row],[Месяц]],Таблицаx_2[[#This Row],[Значения числа]],0)</f>
        <v>0</v>
      </c>
      <c r="J621" s="8">
        <f>IF(AND(Таблицаx_2[[#This Row],[Месяц окончания]]=Таблицаx_2[[#This Row],[Месяц]],Таблицаx_2[[#This Row],[id]]=A622,EDATE(Таблицаx_2[[#This Row],[Месяц]],1)=D622),F622,0)</f>
        <v>0</v>
      </c>
      <c r="K621" s="8">
        <f>IF(AND(Таблицаx_2[[#This Row],[Месяц окончания]]=Таблицаx_2[[#This Row],[Месяц]],Таблицаx_2[[#This Row],[id]]=A622,EDATE(Таблицаx_2[[#This Row],[Месяц]],2)=D622),F622,0)</f>
        <v>0</v>
      </c>
    </row>
    <row r="622" spans="1:11" ht="12.75" hidden="1" customHeight="1" x14ac:dyDescent="0.2">
      <c r="A622" s="8">
        <v>211</v>
      </c>
      <c r="B622" s="8" t="s">
        <v>50</v>
      </c>
      <c r="C622" s="8" t="s">
        <v>4</v>
      </c>
      <c r="D622" s="12">
        <v>45231</v>
      </c>
      <c r="E622" s="8">
        <v>186750</v>
      </c>
      <c r="F622" s="10">
        <f>IF(ISTEXT(Таблицаx_2[[#This Row],[Значение]]), 0, Таблицаx_2[[#This Row],[Значение]])</f>
        <v>186750</v>
      </c>
      <c r="G622" s="12">
        <v>45108</v>
      </c>
      <c r="H622" s="10" t="str">
        <f>IFERROR(VLOOKUP(Таблицаx_2[[#This Row],[id]],prolongations!A:C,2,)," ")</f>
        <v>июль 2023</v>
      </c>
      <c r="I622" s="10">
        <f>IF(Таблицаx_2[[#This Row],[Месяц окончания]]=Таблицаx_2[[#This Row],[Месяц]],Таблицаx_2[[#This Row],[Значения числа]],0)</f>
        <v>0</v>
      </c>
      <c r="J622" s="8">
        <f>IF(AND(Таблицаx_2[[#This Row],[Месяц окончания]]=Таблицаx_2[[#This Row],[Месяц]],Таблицаx_2[[#This Row],[id]]=A623,EDATE(Таблицаx_2[[#This Row],[Месяц]],1)=D623),F623,0)</f>
        <v>0</v>
      </c>
      <c r="K622" s="8">
        <f>IF(AND(Таблицаx_2[[#This Row],[Месяц окончания]]=Таблицаx_2[[#This Row],[Месяц]],Таблицаx_2[[#This Row],[id]]=A623,EDATE(Таблицаx_2[[#This Row],[Месяц]],2)=D623),F623,0)</f>
        <v>0</v>
      </c>
    </row>
    <row r="623" spans="1:11" ht="12.75" hidden="1" customHeight="1" x14ac:dyDescent="0.2">
      <c r="A623" s="8">
        <v>211</v>
      </c>
      <c r="B623" s="8" t="s">
        <v>50</v>
      </c>
      <c r="C623" s="8" t="s">
        <v>4</v>
      </c>
      <c r="D623" s="12">
        <v>45261</v>
      </c>
      <c r="E623" s="8">
        <v>186750</v>
      </c>
      <c r="F623" s="10">
        <f>IF(ISTEXT(Таблицаx_2[[#This Row],[Значение]]), 0, Таблицаx_2[[#This Row],[Значение]])</f>
        <v>186750</v>
      </c>
      <c r="G623" s="12">
        <v>45108</v>
      </c>
      <c r="H623" s="10" t="str">
        <f>IFERROR(VLOOKUP(Таблицаx_2[[#This Row],[id]],prolongations!A:C,2,)," ")</f>
        <v>июль 2023</v>
      </c>
      <c r="I623" s="10">
        <f>IF(Таблицаx_2[[#This Row],[Месяц окончания]]=Таблицаx_2[[#This Row],[Месяц]],Таблицаx_2[[#This Row],[Значения числа]],0)</f>
        <v>0</v>
      </c>
      <c r="J623" s="8">
        <f>IF(AND(Таблицаx_2[[#This Row],[Месяц окончания]]=Таблицаx_2[[#This Row],[Месяц]],Таблицаx_2[[#This Row],[id]]=A624,EDATE(Таблицаx_2[[#This Row],[Месяц]],1)=D624),F624,0)</f>
        <v>0</v>
      </c>
      <c r="K623" s="8">
        <f>IF(AND(Таблицаx_2[[#This Row],[Месяц окончания]]=Таблицаx_2[[#This Row],[Месяц]],Таблицаx_2[[#This Row],[id]]=A624,EDATE(Таблицаx_2[[#This Row],[Месяц]],2)=D624),F624,0)</f>
        <v>0</v>
      </c>
    </row>
    <row r="624" spans="1:11" ht="12.75" hidden="1" customHeight="1" x14ac:dyDescent="0.2">
      <c r="A624" s="8">
        <v>211</v>
      </c>
      <c r="B624" s="8" t="s">
        <v>50</v>
      </c>
      <c r="C624" s="8" t="s">
        <v>4</v>
      </c>
      <c r="D624" s="12">
        <v>45292</v>
      </c>
      <c r="E624" s="8">
        <v>186750</v>
      </c>
      <c r="F624" s="10">
        <f>IF(ISTEXT(Таблицаx_2[[#This Row],[Значение]]), 0, Таблицаx_2[[#This Row],[Значение]])</f>
        <v>186750</v>
      </c>
      <c r="G624" s="12">
        <v>45108</v>
      </c>
      <c r="H624" s="10" t="str">
        <f>IFERROR(VLOOKUP(Таблицаx_2[[#This Row],[id]],prolongations!A:C,2,)," ")</f>
        <v>июль 2023</v>
      </c>
      <c r="I624" s="10">
        <f>IF(Таблицаx_2[[#This Row],[Месяц окончания]]=Таблицаx_2[[#This Row],[Месяц]],Таблицаx_2[[#This Row],[Значения числа]],0)</f>
        <v>0</v>
      </c>
      <c r="J624" s="8">
        <f>IF(AND(Таблицаx_2[[#This Row],[Месяц окончания]]=Таблицаx_2[[#This Row],[Месяц]],Таблицаx_2[[#This Row],[id]]=A625,EDATE(Таблицаx_2[[#This Row],[Месяц]],1)=D625),F625,0)</f>
        <v>0</v>
      </c>
      <c r="K624" s="8">
        <f>IF(AND(Таблицаx_2[[#This Row],[Месяц окончания]]=Таблицаx_2[[#This Row],[Месяц]],Таблицаx_2[[#This Row],[id]]=A625,EDATE(Таблицаx_2[[#This Row],[Месяц]],2)=D625),F625,0)</f>
        <v>0</v>
      </c>
    </row>
    <row r="625" spans="1:11" ht="12.75" hidden="1" customHeight="1" x14ac:dyDescent="0.2">
      <c r="A625" s="8">
        <v>211</v>
      </c>
      <c r="B625" s="8" t="s">
        <v>50</v>
      </c>
      <c r="C625" s="8" t="s">
        <v>4</v>
      </c>
      <c r="D625" s="12">
        <v>45323</v>
      </c>
      <c r="E625" s="8">
        <v>186750</v>
      </c>
      <c r="F625" s="10">
        <f>IF(ISTEXT(Таблицаx_2[[#This Row],[Значение]]), 0, Таблицаx_2[[#This Row],[Значение]])</f>
        <v>186750</v>
      </c>
      <c r="G625" s="12">
        <v>45108</v>
      </c>
      <c r="H625" s="10" t="str">
        <f>IFERROR(VLOOKUP(Таблицаx_2[[#This Row],[id]],prolongations!A:C,2,)," ")</f>
        <v>июль 2023</v>
      </c>
      <c r="I625" s="10">
        <f>IF(Таблицаx_2[[#This Row],[Месяц окончания]]=Таблицаx_2[[#This Row],[Месяц]],Таблицаx_2[[#This Row],[Значения числа]],0)</f>
        <v>0</v>
      </c>
      <c r="J625" s="8">
        <f>IF(AND(Таблицаx_2[[#This Row],[Месяц окончания]]=Таблицаx_2[[#This Row],[Месяц]],Таблицаx_2[[#This Row],[id]]=A626,EDATE(Таблицаx_2[[#This Row],[Месяц]],1)=D626),F626,0)</f>
        <v>0</v>
      </c>
      <c r="K625" s="8">
        <f>IF(AND(Таблицаx_2[[#This Row],[Месяц окончания]]=Таблицаx_2[[#This Row],[Месяц]],Таблицаx_2[[#This Row],[id]]=A626,EDATE(Таблицаx_2[[#This Row],[Месяц]],2)=D626),F626,0)</f>
        <v>0</v>
      </c>
    </row>
    <row r="626" spans="1:11" ht="12.75" hidden="1" customHeight="1" x14ac:dyDescent="0.2">
      <c r="A626" s="8">
        <v>823</v>
      </c>
      <c r="B626" s="8" t="s">
        <v>45</v>
      </c>
      <c r="C626" s="8" t="s">
        <v>8</v>
      </c>
      <c r="D626" s="12">
        <v>45017</v>
      </c>
      <c r="E626" s="8">
        <v>49525</v>
      </c>
      <c r="F626" s="10">
        <f>IF(ISTEXT(Таблицаx_2[[#This Row],[Значение]]), 0, Таблицаx_2[[#This Row],[Значение]])</f>
        <v>49525</v>
      </c>
      <c r="G626" s="12">
        <v>45108</v>
      </c>
      <c r="H626" s="10" t="str">
        <f>IFERROR(VLOOKUP(Таблицаx_2[[#This Row],[id]],prolongations!A:C,2,)," ")</f>
        <v>июль 2023</v>
      </c>
      <c r="I626" s="10">
        <f>IF(Таблицаx_2[[#This Row],[Месяц окончания]]=Таблицаx_2[[#This Row],[Месяц]],Таблицаx_2[[#This Row],[Значения числа]],0)</f>
        <v>0</v>
      </c>
      <c r="J626" s="8">
        <f>IF(AND(Таблицаx_2[[#This Row],[Месяц окончания]]=Таблицаx_2[[#This Row],[Месяц]],Таблицаx_2[[#This Row],[id]]=A627,EDATE(Таблицаx_2[[#This Row],[Месяц]],1)=D627),F627,0)</f>
        <v>0</v>
      </c>
      <c r="K626" s="8">
        <f>IF(AND(Таблицаx_2[[#This Row],[Месяц окончания]]=Таблицаx_2[[#This Row],[Месяц]],Таблицаx_2[[#This Row],[id]]=A627,EDATE(Таблицаx_2[[#This Row],[Месяц]],2)=D627),F627,0)</f>
        <v>0</v>
      </c>
    </row>
    <row r="627" spans="1:11" ht="12.75" hidden="1" customHeight="1" x14ac:dyDescent="0.2">
      <c r="A627" s="8">
        <v>823</v>
      </c>
      <c r="B627" s="8" t="s">
        <v>45</v>
      </c>
      <c r="C627" s="8" t="s">
        <v>8</v>
      </c>
      <c r="D627" s="12">
        <v>45047</v>
      </c>
      <c r="E627" s="8">
        <v>43275</v>
      </c>
      <c r="F627" s="10">
        <f>IF(ISTEXT(Таблицаx_2[[#This Row],[Значение]]), 0, Таблицаx_2[[#This Row],[Значение]])</f>
        <v>43275</v>
      </c>
      <c r="G627" s="12">
        <v>45108</v>
      </c>
      <c r="H627" s="10" t="str">
        <f>IFERROR(VLOOKUP(Таблицаx_2[[#This Row],[id]],prolongations!A:C,2,)," ")</f>
        <v>июль 2023</v>
      </c>
      <c r="I627" s="10">
        <f>IF(Таблицаx_2[[#This Row],[Месяц окончания]]=Таблицаx_2[[#This Row],[Месяц]],Таблицаx_2[[#This Row],[Значения числа]],0)</f>
        <v>0</v>
      </c>
      <c r="J627" s="8">
        <f>IF(AND(Таблицаx_2[[#This Row],[Месяц окончания]]=Таблицаx_2[[#This Row],[Месяц]],Таблицаx_2[[#This Row],[id]]=A628,EDATE(Таблицаx_2[[#This Row],[Месяц]],1)=D628),F628,0)</f>
        <v>0</v>
      </c>
      <c r="K627" s="8">
        <f>IF(AND(Таблицаx_2[[#This Row],[Месяц окончания]]=Таблицаx_2[[#This Row],[Месяц]],Таблицаx_2[[#This Row],[id]]=A628,EDATE(Таблицаx_2[[#This Row],[Месяц]],2)=D628),F628,0)</f>
        <v>0</v>
      </c>
    </row>
    <row r="628" spans="1:11" ht="12.75" hidden="1" customHeight="1" x14ac:dyDescent="0.2">
      <c r="A628" s="8">
        <v>823</v>
      </c>
      <c r="B628" s="8" t="s">
        <v>45</v>
      </c>
      <c r="C628" s="8" t="s">
        <v>8</v>
      </c>
      <c r="D628" s="12">
        <v>45078</v>
      </c>
      <c r="E628" s="8">
        <v>29225</v>
      </c>
      <c r="F628" s="10">
        <f>IF(ISTEXT(Таблицаx_2[[#This Row],[Значение]]), 0, Таблицаx_2[[#This Row],[Значение]])</f>
        <v>29225</v>
      </c>
      <c r="G628" s="12">
        <v>45108</v>
      </c>
      <c r="H628" s="10" t="str">
        <f>IFERROR(VLOOKUP(Таблицаx_2[[#This Row],[id]],prolongations!A:C,2,)," ")</f>
        <v>июль 2023</v>
      </c>
      <c r="I628" s="10">
        <f>IF(Таблицаx_2[[#This Row],[Месяц окончания]]=Таблицаx_2[[#This Row],[Месяц]],Таблицаx_2[[#This Row],[Значения числа]],0)</f>
        <v>0</v>
      </c>
      <c r="J628" s="8">
        <f>IF(AND(Таблицаx_2[[#This Row],[Месяц окончания]]=Таблицаx_2[[#This Row],[Месяц]],Таблицаx_2[[#This Row],[id]]=A629,EDATE(Таблицаx_2[[#This Row],[Месяц]],1)=D629),F629,0)</f>
        <v>0</v>
      </c>
      <c r="K628" s="8">
        <f>IF(AND(Таблицаx_2[[#This Row],[Месяц окончания]]=Таблицаx_2[[#This Row],[Месяц]],Таблицаx_2[[#This Row],[id]]=A629,EDATE(Таблицаx_2[[#This Row],[Месяц]],2)=D629),F629,0)</f>
        <v>0</v>
      </c>
    </row>
    <row r="629" spans="1:11" ht="12.75" hidden="1" customHeight="1" x14ac:dyDescent="0.2">
      <c r="A629" s="8">
        <v>823</v>
      </c>
      <c r="B629" s="8" t="s">
        <v>45</v>
      </c>
      <c r="C629" s="8" t="s">
        <v>8</v>
      </c>
      <c r="D629" s="12">
        <v>45108</v>
      </c>
      <c r="E629" s="8">
        <v>44225</v>
      </c>
      <c r="F629" s="10">
        <f>IF(ISTEXT(Таблицаx_2[[#This Row],[Значение]]), 0, Таблицаx_2[[#This Row],[Значение]])</f>
        <v>44225</v>
      </c>
      <c r="G629" s="12">
        <v>45108</v>
      </c>
      <c r="H629" s="10" t="str">
        <f>IFERROR(VLOOKUP(Таблицаx_2[[#This Row],[id]],prolongations!A:C,2,)," ")</f>
        <v>июль 2023</v>
      </c>
      <c r="I629" s="10">
        <f>IF(Таблицаx_2[[#This Row],[Месяц окончания]]=Таблицаx_2[[#This Row],[Месяц]],Таблицаx_2[[#This Row],[Значения числа]],0)</f>
        <v>44225</v>
      </c>
      <c r="J629" s="8">
        <f>IF(AND(Таблицаx_2[[#This Row],[Месяц окончания]]=Таблицаx_2[[#This Row],[Месяц]],Таблицаx_2[[#This Row],[id]]=A630,EDATE(Таблицаx_2[[#This Row],[Месяц]],1)=D630),F630,0)</f>
        <v>0</v>
      </c>
      <c r="K629" s="8">
        <f>IF(AND(Таблицаx_2[[#This Row],[Месяц окончания]]=Таблицаx_2[[#This Row],[Месяц]],Таблицаx_2[[#This Row],[id]]=A630,EDATE(Таблицаx_2[[#This Row],[Месяц]],2)=D630),F630,0)</f>
        <v>0</v>
      </c>
    </row>
    <row r="630" spans="1:11" ht="12.75" hidden="1" customHeight="1" x14ac:dyDescent="0.2">
      <c r="A630" s="8">
        <v>823</v>
      </c>
      <c r="B630" s="8" t="s">
        <v>47</v>
      </c>
      <c r="C630" s="8" t="s">
        <v>8</v>
      </c>
      <c r="D630" s="12">
        <v>45078</v>
      </c>
      <c r="E630" s="8">
        <v>15000</v>
      </c>
      <c r="F630" s="10">
        <f>IF(ISTEXT(Таблицаx_2[[#This Row],[Значение]]), 0, Таблицаx_2[[#This Row],[Значение]])</f>
        <v>15000</v>
      </c>
      <c r="G630" s="12">
        <v>45108</v>
      </c>
      <c r="H630" s="10" t="str">
        <f>IFERROR(VLOOKUP(Таблицаx_2[[#This Row],[id]],prolongations!A:C,2,)," ")</f>
        <v>июль 2023</v>
      </c>
      <c r="I630" s="10">
        <f>IF(Таблицаx_2[[#This Row],[Месяц окончания]]=Таблицаx_2[[#This Row],[Месяц]],Таблицаx_2[[#This Row],[Значения числа]],0)</f>
        <v>0</v>
      </c>
      <c r="J630" s="8">
        <f>IF(AND(Таблицаx_2[[#This Row],[Месяц окончания]]=Таблицаx_2[[#This Row],[Месяц]],Таблицаx_2[[#This Row],[id]]=A631,EDATE(Таблицаx_2[[#This Row],[Месяц]],1)=D631),F631,0)</f>
        <v>0</v>
      </c>
      <c r="K630" s="8">
        <f>IF(AND(Таблицаx_2[[#This Row],[Месяц окончания]]=Таблицаx_2[[#This Row],[Месяц]],Таблицаx_2[[#This Row],[id]]=A631,EDATE(Таблицаx_2[[#This Row],[Месяц]],2)=D631),F631,0)</f>
        <v>0</v>
      </c>
    </row>
    <row r="631" spans="1:11" ht="12.75" hidden="1" customHeight="1" x14ac:dyDescent="0.2">
      <c r="A631" s="8">
        <v>786</v>
      </c>
      <c r="B631" s="8" t="s">
        <v>52</v>
      </c>
      <c r="C631" s="8" t="s">
        <v>4</v>
      </c>
      <c r="D631" s="12">
        <v>44958</v>
      </c>
      <c r="E631" s="8">
        <v>191000</v>
      </c>
      <c r="F631" s="10">
        <f>IF(ISTEXT(Таблицаx_2[[#This Row],[Значение]]), 0, Таблицаx_2[[#This Row],[Значение]])</f>
        <v>191000</v>
      </c>
      <c r="G631" s="12">
        <v>45108</v>
      </c>
      <c r="H631" s="10" t="str">
        <f>IFERROR(VLOOKUP(Таблицаx_2[[#This Row],[id]],prolongations!A:C,2,)," ")</f>
        <v>июль 2023</v>
      </c>
      <c r="I631" s="10">
        <f>IF(Таблицаx_2[[#This Row],[Месяц окончания]]=Таблицаx_2[[#This Row],[Месяц]],Таблицаx_2[[#This Row],[Значения числа]],0)</f>
        <v>0</v>
      </c>
      <c r="J631" s="8">
        <f>IF(AND(Таблицаx_2[[#This Row],[Месяц окончания]]=Таблицаx_2[[#This Row],[Месяц]],Таблицаx_2[[#This Row],[id]]=A632,EDATE(Таблицаx_2[[#This Row],[Месяц]],1)=D632),F632,0)</f>
        <v>0</v>
      </c>
      <c r="K631" s="8">
        <f>IF(AND(Таблицаx_2[[#This Row],[Месяц окончания]]=Таблицаx_2[[#This Row],[Месяц]],Таблицаx_2[[#This Row],[id]]=A632,EDATE(Таблицаx_2[[#This Row],[Месяц]],2)=D632),F632,0)</f>
        <v>0</v>
      </c>
    </row>
    <row r="632" spans="1:11" ht="12.75" hidden="1" customHeight="1" x14ac:dyDescent="0.2">
      <c r="A632" s="8">
        <v>786</v>
      </c>
      <c r="B632" s="8" t="s">
        <v>52</v>
      </c>
      <c r="C632" s="8" t="s">
        <v>4</v>
      </c>
      <c r="D632" s="12">
        <v>44986</v>
      </c>
      <c r="E632" s="8">
        <v>21000</v>
      </c>
      <c r="F632" s="10">
        <f>IF(ISTEXT(Таблицаx_2[[#This Row],[Значение]]), 0, Таблицаx_2[[#This Row],[Значение]])</f>
        <v>21000</v>
      </c>
      <c r="G632" s="12">
        <v>45108</v>
      </c>
      <c r="H632" s="10" t="str">
        <f>IFERROR(VLOOKUP(Таблицаx_2[[#This Row],[id]],prolongations!A:C,2,)," ")</f>
        <v>июль 2023</v>
      </c>
      <c r="I632" s="10">
        <f>IF(Таблицаx_2[[#This Row],[Месяц окончания]]=Таблицаx_2[[#This Row],[Месяц]],Таблицаx_2[[#This Row],[Значения числа]],0)</f>
        <v>0</v>
      </c>
      <c r="J632" s="8">
        <f>IF(AND(Таблицаx_2[[#This Row],[Месяц окончания]]=Таблицаx_2[[#This Row],[Месяц]],Таблицаx_2[[#This Row],[id]]=A633,EDATE(Таблицаx_2[[#This Row],[Месяц]],1)=D633),F633,0)</f>
        <v>0</v>
      </c>
      <c r="K632" s="8">
        <f>IF(AND(Таблицаx_2[[#This Row],[Месяц окончания]]=Таблицаx_2[[#This Row],[Месяц]],Таблицаx_2[[#This Row],[id]]=A633,EDATE(Таблицаx_2[[#This Row],[Месяц]],2)=D633),F633,0)</f>
        <v>0</v>
      </c>
    </row>
    <row r="633" spans="1:11" ht="12.75" hidden="1" customHeight="1" x14ac:dyDescent="0.2">
      <c r="A633" s="8">
        <v>786</v>
      </c>
      <c r="B633" s="8" t="s">
        <v>52</v>
      </c>
      <c r="C633" s="8" t="s">
        <v>4</v>
      </c>
      <c r="D633" s="12">
        <v>45017</v>
      </c>
      <c r="E633" s="8">
        <v>118000</v>
      </c>
      <c r="F633" s="10">
        <f>IF(ISTEXT(Таблицаx_2[[#This Row],[Значение]]), 0, Таблицаx_2[[#This Row],[Значение]])</f>
        <v>118000</v>
      </c>
      <c r="G633" s="12">
        <v>45108</v>
      </c>
      <c r="H633" s="10" t="str">
        <f>IFERROR(VLOOKUP(Таблицаx_2[[#This Row],[id]],prolongations!A:C,2,)," ")</f>
        <v>июль 2023</v>
      </c>
      <c r="I633" s="10">
        <f>IF(Таблицаx_2[[#This Row],[Месяц окончания]]=Таблицаx_2[[#This Row],[Месяц]],Таблицаx_2[[#This Row],[Значения числа]],0)</f>
        <v>0</v>
      </c>
      <c r="J633" s="8">
        <f>IF(AND(Таблицаx_2[[#This Row],[Месяц окончания]]=Таблицаx_2[[#This Row],[Месяц]],Таблицаx_2[[#This Row],[id]]=A634,EDATE(Таблицаx_2[[#This Row],[Месяц]],1)=D634),F634,0)</f>
        <v>0</v>
      </c>
      <c r="K633" s="8">
        <f>IF(AND(Таблицаx_2[[#This Row],[Месяц окончания]]=Таблицаx_2[[#This Row],[Месяц]],Таблицаx_2[[#This Row],[id]]=A634,EDATE(Таблицаx_2[[#This Row],[Месяц]],2)=D634),F634,0)</f>
        <v>0</v>
      </c>
    </row>
    <row r="634" spans="1:11" ht="12.75" hidden="1" customHeight="1" x14ac:dyDescent="0.2">
      <c r="A634" s="8">
        <v>786</v>
      </c>
      <c r="B634" s="8" t="s">
        <v>52</v>
      </c>
      <c r="C634" s="8" t="s">
        <v>4</v>
      </c>
      <c r="D634" s="12">
        <v>45047</v>
      </c>
      <c r="E634" s="8">
        <v>118000</v>
      </c>
      <c r="F634" s="10">
        <f>IF(ISTEXT(Таблицаx_2[[#This Row],[Значение]]), 0, Таблицаx_2[[#This Row],[Значение]])</f>
        <v>118000</v>
      </c>
      <c r="G634" s="12">
        <v>45108</v>
      </c>
      <c r="H634" s="10" t="str">
        <f>IFERROR(VLOOKUP(Таблицаx_2[[#This Row],[id]],prolongations!A:C,2,)," ")</f>
        <v>июль 2023</v>
      </c>
      <c r="I634" s="10">
        <f>IF(Таблицаx_2[[#This Row],[Месяц окончания]]=Таблицаx_2[[#This Row],[Месяц]],Таблицаx_2[[#This Row],[Значения числа]],0)</f>
        <v>0</v>
      </c>
      <c r="J634" s="8">
        <f>IF(AND(Таблицаx_2[[#This Row],[Месяц окончания]]=Таблицаx_2[[#This Row],[Месяц]],Таблицаx_2[[#This Row],[id]]=A635,EDATE(Таблицаx_2[[#This Row],[Месяц]],1)=D635),F635,0)</f>
        <v>0</v>
      </c>
      <c r="K634" s="8">
        <f>IF(AND(Таблицаx_2[[#This Row],[Месяц окончания]]=Таблицаx_2[[#This Row],[Месяц]],Таблицаx_2[[#This Row],[id]]=A635,EDATE(Таблицаx_2[[#This Row],[Месяц]],2)=D635),F635,0)</f>
        <v>0</v>
      </c>
    </row>
    <row r="635" spans="1:11" ht="12.75" hidden="1" customHeight="1" x14ac:dyDescent="0.2">
      <c r="A635" s="8">
        <v>786</v>
      </c>
      <c r="B635" s="8" t="s">
        <v>52</v>
      </c>
      <c r="C635" s="8" t="s">
        <v>4</v>
      </c>
      <c r="D635" s="12">
        <v>45078</v>
      </c>
      <c r="E635" s="8">
        <v>118000</v>
      </c>
      <c r="F635" s="10">
        <f>IF(ISTEXT(Таблицаx_2[[#This Row],[Значение]]), 0, Таблицаx_2[[#This Row],[Значение]])</f>
        <v>118000</v>
      </c>
      <c r="G635" s="12">
        <v>45108</v>
      </c>
      <c r="H635" s="10" t="str">
        <f>IFERROR(VLOOKUP(Таблицаx_2[[#This Row],[id]],prolongations!A:C,2,)," ")</f>
        <v>июль 2023</v>
      </c>
      <c r="I635" s="10">
        <f>IF(Таблицаx_2[[#This Row],[Месяц окончания]]=Таблицаx_2[[#This Row],[Месяц]],Таблицаx_2[[#This Row],[Значения числа]],0)</f>
        <v>0</v>
      </c>
      <c r="J635" s="8">
        <f>IF(AND(Таблицаx_2[[#This Row],[Месяц окончания]]=Таблицаx_2[[#This Row],[Месяц]],Таблицаx_2[[#This Row],[id]]=A636,EDATE(Таблицаx_2[[#This Row],[Месяц]],1)=D636),F636,0)</f>
        <v>0</v>
      </c>
      <c r="K635" s="8">
        <f>IF(AND(Таблицаx_2[[#This Row],[Месяц окончания]]=Таблицаx_2[[#This Row],[Месяц]],Таблицаx_2[[#This Row],[id]]=A636,EDATE(Таблицаx_2[[#This Row],[Месяц]],2)=D636),F636,0)</f>
        <v>0</v>
      </c>
    </row>
    <row r="636" spans="1:11" ht="12.75" hidden="1" customHeight="1" x14ac:dyDescent="0.2">
      <c r="A636" s="8">
        <v>786</v>
      </c>
      <c r="B636" s="8" t="s">
        <v>52</v>
      </c>
      <c r="C636" s="8" t="s">
        <v>4</v>
      </c>
      <c r="D636" s="12">
        <v>45108</v>
      </c>
      <c r="E636" s="8">
        <v>118000</v>
      </c>
      <c r="F636" s="10">
        <f>IF(ISTEXT(Таблицаx_2[[#This Row],[Значение]]), 0, Таблицаx_2[[#This Row],[Значение]])</f>
        <v>118000</v>
      </c>
      <c r="G636" s="12">
        <v>45108</v>
      </c>
      <c r="H636" s="10" t="str">
        <f>IFERROR(VLOOKUP(Таблицаx_2[[#This Row],[id]],prolongations!A:C,2,)," ")</f>
        <v>июль 2023</v>
      </c>
      <c r="I636" s="10">
        <f>IF(Таблицаx_2[[#This Row],[Месяц окончания]]=Таблицаx_2[[#This Row],[Месяц]],Таблицаx_2[[#This Row],[Значения числа]],0)</f>
        <v>118000</v>
      </c>
      <c r="J636" s="8">
        <f>IF(AND(Таблицаx_2[[#This Row],[Месяц окончания]]=Таблицаx_2[[#This Row],[Месяц]],Таблицаx_2[[#This Row],[id]]=A637,EDATE(Таблицаx_2[[#This Row],[Месяц]],1)=D637),F637,0)</f>
        <v>0</v>
      </c>
      <c r="K636" s="8">
        <f>IF(AND(Таблицаx_2[[#This Row],[Месяц окончания]]=Таблицаx_2[[#This Row],[Месяц]],Таблицаx_2[[#This Row],[id]]=A637,EDATE(Таблицаx_2[[#This Row],[Месяц]],2)=D637),F637,0)</f>
        <v>0</v>
      </c>
    </row>
    <row r="637" spans="1:11" ht="12.75" hidden="1" customHeight="1" x14ac:dyDescent="0.2">
      <c r="A637" s="8">
        <v>786</v>
      </c>
      <c r="B637" s="8" t="s">
        <v>50</v>
      </c>
      <c r="C637" s="8" t="s">
        <v>4</v>
      </c>
      <c r="D637" s="12">
        <v>45047</v>
      </c>
      <c r="E637" s="8">
        <v>167500</v>
      </c>
      <c r="F637" s="10">
        <f>IF(ISTEXT(Таблицаx_2[[#This Row],[Значение]]), 0, Таблицаx_2[[#This Row],[Значение]])</f>
        <v>167500</v>
      </c>
      <c r="G637" s="12">
        <v>45108</v>
      </c>
      <c r="H637" s="10" t="str">
        <f>IFERROR(VLOOKUP(Таблицаx_2[[#This Row],[id]],prolongations!A:C,2,)," ")</f>
        <v>июль 2023</v>
      </c>
      <c r="I637" s="10">
        <f>IF(Таблицаx_2[[#This Row],[Месяц окончания]]=Таблицаx_2[[#This Row],[Месяц]],Таблицаx_2[[#This Row],[Значения числа]],0)</f>
        <v>0</v>
      </c>
      <c r="J637" s="8">
        <f>IF(AND(Таблицаx_2[[#This Row],[Месяц окончания]]=Таблицаx_2[[#This Row],[Месяц]],Таблицаx_2[[#This Row],[id]]=A638,EDATE(Таблицаx_2[[#This Row],[Месяц]],1)=D638),F638,0)</f>
        <v>0</v>
      </c>
      <c r="K637" s="8">
        <f>IF(AND(Таблицаx_2[[#This Row],[Месяц окончания]]=Таблицаx_2[[#This Row],[Месяц]],Таблицаx_2[[#This Row],[id]]=A638,EDATE(Таблицаx_2[[#This Row],[Месяц]],2)=D638),F638,0)</f>
        <v>0</v>
      </c>
    </row>
    <row r="638" spans="1:11" ht="12.75" hidden="1" customHeight="1" x14ac:dyDescent="0.2">
      <c r="A638" s="8">
        <v>786</v>
      </c>
      <c r="B638" s="8" t="s">
        <v>50</v>
      </c>
      <c r="C638" s="8" t="s">
        <v>4</v>
      </c>
      <c r="D638" s="12">
        <v>45078</v>
      </c>
      <c r="E638" s="8">
        <v>121500</v>
      </c>
      <c r="F638" s="10">
        <f>IF(ISTEXT(Таблицаx_2[[#This Row],[Значение]]), 0, Таблицаx_2[[#This Row],[Значение]])</f>
        <v>121500</v>
      </c>
      <c r="G638" s="12">
        <v>45108</v>
      </c>
      <c r="H638" s="10" t="str">
        <f>IFERROR(VLOOKUP(Таблицаx_2[[#This Row],[id]],prolongations!A:C,2,)," ")</f>
        <v>июль 2023</v>
      </c>
      <c r="I638" s="10">
        <f>IF(Таблицаx_2[[#This Row],[Месяц окончания]]=Таблицаx_2[[#This Row],[Месяц]],Таблицаx_2[[#This Row],[Значения числа]],0)</f>
        <v>0</v>
      </c>
      <c r="J638" s="8">
        <f>IF(AND(Таблицаx_2[[#This Row],[Месяц окончания]]=Таблицаx_2[[#This Row],[Месяц]],Таблицаx_2[[#This Row],[id]]=A639,EDATE(Таблицаx_2[[#This Row],[Месяц]],1)=D639),F639,0)</f>
        <v>0</v>
      </c>
      <c r="K638" s="8">
        <f>IF(AND(Таблицаx_2[[#This Row],[Месяц окончания]]=Таблицаx_2[[#This Row],[Месяц]],Таблицаx_2[[#This Row],[id]]=A639,EDATE(Таблицаx_2[[#This Row],[Месяц]],2)=D639),F639,0)</f>
        <v>0</v>
      </c>
    </row>
    <row r="639" spans="1:11" ht="12.75" hidden="1" customHeight="1" x14ac:dyDescent="0.2">
      <c r="A639" s="8">
        <v>786</v>
      </c>
      <c r="B639" s="8" t="s">
        <v>50</v>
      </c>
      <c r="C639" s="8" t="s">
        <v>4</v>
      </c>
      <c r="D639" s="12">
        <v>45108</v>
      </c>
      <c r="E639" s="8">
        <v>49000</v>
      </c>
      <c r="F639" s="10">
        <f>IF(ISTEXT(Таблицаx_2[[#This Row],[Значение]]), 0, Таблицаx_2[[#This Row],[Значение]])</f>
        <v>49000</v>
      </c>
      <c r="G639" s="12">
        <v>45108</v>
      </c>
      <c r="H639" s="10" t="str">
        <f>IFERROR(VLOOKUP(Таблицаx_2[[#This Row],[id]],prolongations!A:C,2,)," ")</f>
        <v>июль 2023</v>
      </c>
      <c r="I639" s="10">
        <f>IF(Таблицаx_2[[#This Row],[Месяц окончания]]=Таблицаx_2[[#This Row],[Месяц]],Таблицаx_2[[#This Row],[Значения числа]],0)</f>
        <v>49000</v>
      </c>
      <c r="J639" s="8">
        <f>IF(AND(Таблицаx_2[[#This Row],[Месяц окончания]]=Таблицаx_2[[#This Row],[Месяц]],Таблицаx_2[[#This Row],[id]]=A640,EDATE(Таблицаx_2[[#This Row],[Месяц]],1)=D640),F640,0)</f>
        <v>0</v>
      </c>
      <c r="K639" s="8">
        <f>IF(AND(Таблицаx_2[[#This Row],[Месяц окончания]]=Таблицаx_2[[#This Row],[Месяц]],Таблицаx_2[[#This Row],[id]]=A640,EDATE(Таблицаx_2[[#This Row],[Месяц]],2)=D640),F640,0)</f>
        <v>0</v>
      </c>
    </row>
    <row r="640" spans="1:11" ht="12.75" hidden="1" customHeight="1" x14ac:dyDescent="0.2">
      <c r="A640" s="8">
        <v>786</v>
      </c>
      <c r="B640" s="8" t="s">
        <v>50</v>
      </c>
      <c r="C640" s="8" t="s">
        <v>4</v>
      </c>
      <c r="D640" s="12">
        <v>45108</v>
      </c>
      <c r="E640" s="8">
        <v>72500</v>
      </c>
      <c r="F640" s="10">
        <f>IF(ISTEXT(Таблицаx_2[[#This Row],[Значение]]), 0, Таблицаx_2[[#This Row],[Значение]])</f>
        <v>72500</v>
      </c>
      <c r="G640" s="12">
        <v>45108</v>
      </c>
      <c r="H640" s="10" t="str">
        <f>IFERROR(VLOOKUP(Таблицаx_2[[#This Row],[id]],prolongations!A:C,2,)," ")</f>
        <v>июль 2023</v>
      </c>
      <c r="I640" s="10">
        <f>IF(Таблицаx_2[[#This Row],[Месяц окончания]]=Таблицаx_2[[#This Row],[Месяц]],Таблицаx_2[[#This Row],[Значения числа]],0)</f>
        <v>72500</v>
      </c>
      <c r="J640" s="8">
        <f>IF(AND(Таблицаx_2[[#This Row],[Месяц окончания]]=Таблицаx_2[[#This Row],[Месяц]],Таблицаx_2[[#This Row],[id]]=A641,EDATE(Таблицаx_2[[#This Row],[Месяц]],1)=D641),F641,0)</f>
        <v>0</v>
      </c>
      <c r="K640" s="8">
        <f>IF(AND(Таблицаx_2[[#This Row],[Месяц окончания]]=Таблицаx_2[[#This Row],[Месяц]],Таблицаx_2[[#This Row],[id]]=A641,EDATE(Таблицаx_2[[#This Row],[Месяц]],2)=D641),F641,0)</f>
        <v>0</v>
      </c>
    </row>
    <row r="641" spans="1:11" ht="12.75" hidden="1" customHeight="1" x14ac:dyDescent="0.2">
      <c r="A641" s="8">
        <v>891</v>
      </c>
      <c r="B641" s="8"/>
      <c r="C641" s="8" t="s">
        <v>6</v>
      </c>
      <c r="D641" s="12">
        <v>45108</v>
      </c>
      <c r="E641" s="8">
        <v>126447.63</v>
      </c>
      <c r="F641" s="10">
        <f>IF(ISTEXT(Таблицаx_2[[#This Row],[Значение]]), 0, Таблицаx_2[[#This Row],[Значение]])</f>
        <v>126447.63</v>
      </c>
      <c r="G641" s="12">
        <v>45108</v>
      </c>
      <c r="H641" s="10" t="str">
        <f>IFERROR(VLOOKUP(Таблицаx_2[[#This Row],[id]],prolongations!A:C,2,)," ")</f>
        <v>июль 2023</v>
      </c>
      <c r="I641" s="10">
        <f>IF(Таблицаx_2[[#This Row],[Месяц окончания]]=Таблицаx_2[[#This Row],[Месяц]],Таблицаx_2[[#This Row],[Значения числа]],0)</f>
        <v>126447.63</v>
      </c>
      <c r="J641" s="8">
        <f>IF(AND(Таблицаx_2[[#This Row],[Месяц окончания]]=Таблицаx_2[[#This Row],[Месяц]],Таблицаx_2[[#This Row],[id]]=A642,EDATE(Таблицаx_2[[#This Row],[Месяц]],1)=D642),F642,0)</f>
        <v>0</v>
      </c>
      <c r="K641" s="8">
        <f>IF(AND(Таблицаx_2[[#This Row],[Месяц окончания]]=Таблицаx_2[[#This Row],[Месяц]],Таблицаx_2[[#This Row],[id]]=A642,EDATE(Таблицаx_2[[#This Row],[Месяц]],2)=D642),F642,0)</f>
        <v>0</v>
      </c>
    </row>
    <row r="642" spans="1:11" ht="12.75" hidden="1" customHeight="1" x14ac:dyDescent="0.2">
      <c r="A642" s="8">
        <v>904</v>
      </c>
      <c r="B642" s="8" t="s">
        <v>45</v>
      </c>
      <c r="C642" s="8" t="s">
        <v>6</v>
      </c>
      <c r="D642" s="12">
        <v>45108</v>
      </c>
      <c r="E642" s="8">
        <v>11995</v>
      </c>
      <c r="F642" s="10">
        <f>IF(ISTEXT(Таблицаx_2[[#This Row],[Значение]]), 0, Таблицаx_2[[#This Row],[Значение]])</f>
        <v>11995</v>
      </c>
      <c r="G642" s="12">
        <v>45108</v>
      </c>
      <c r="H642" s="10" t="str">
        <f>IFERROR(VLOOKUP(Таблицаx_2[[#This Row],[id]],prolongations!A:C,2,)," ")</f>
        <v>июль 2023</v>
      </c>
      <c r="I642" s="10">
        <f>IF(Таблицаx_2[[#This Row],[Месяц окончания]]=Таблицаx_2[[#This Row],[Месяц]],Таблицаx_2[[#This Row],[Значения числа]],0)</f>
        <v>11995</v>
      </c>
      <c r="J642" s="8">
        <f>IF(AND(Таблицаx_2[[#This Row],[Месяц окончания]]=Таблицаx_2[[#This Row],[Месяц]],Таблицаx_2[[#This Row],[id]]=A643,EDATE(Таблицаx_2[[#This Row],[Месяц]],1)=D643),F643,0)</f>
        <v>0</v>
      </c>
      <c r="K642" s="8">
        <f>IF(AND(Таблицаx_2[[#This Row],[Месяц окончания]]=Таблицаx_2[[#This Row],[Месяц]],Таблицаx_2[[#This Row],[id]]=A643,EDATE(Таблицаx_2[[#This Row],[Месяц]],2)=D643),F643,0)</f>
        <v>0</v>
      </c>
    </row>
    <row r="643" spans="1:11" ht="12.75" hidden="1" customHeight="1" x14ac:dyDescent="0.2">
      <c r="A643" s="8">
        <v>904</v>
      </c>
      <c r="B643" s="8" t="s">
        <v>47</v>
      </c>
      <c r="C643" s="8" t="s">
        <v>6</v>
      </c>
      <c r="D643" s="12">
        <v>45108</v>
      </c>
      <c r="E643" s="8">
        <v>1199.5</v>
      </c>
      <c r="F643" s="10">
        <f>IF(ISTEXT(Таблицаx_2[[#This Row],[Значение]]), 0, Таблицаx_2[[#This Row],[Значение]])</f>
        <v>1199.5</v>
      </c>
      <c r="G643" s="12">
        <v>45108</v>
      </c>
      <c r="H643" s="10" t="str">
        <f>IFERROR(VLOOKUP(Таблицаx_2[[#This Row],[id]],prolongations!A:C,2,)," ")</f>
        <v>июль 2023</v>
      </c>
      <c r="I643" s="10">
        <f>IF(Таблицаx_2[[#This Row],[Месяц окончания]]=Таблицаx_2[[#This Row],[Месяц]],Таблицаx_2[[#This Row],[Значения числа]],0)</f>
        <v>1199.5</v>
      </c>
      <c r="J643" s="8">
        <f>IF(AND(Таблицаx_2[[#This Row],[Месяц окончания]]=Таблицаx_2[[#This Row],[Месяц]],Таблицаx_2[[#This Row],[id]]=A644,EDATE(Таблицаx_2[[#This Row],[Месяц]],1)=D644),F644,0)</f>
        <v>0</v>
      </c>
      <c r="K643" s="8">
        <f>IF(AND(Таблицаx_2[[#This Row],[Месяц окончания]]=Таблицаx_2[[#This Row],[Месяц]],Таблицаx_2[[#This Row],[id]]=A644,EDATE(Таблицаx_2[[#This Row],[Месяц]],2)=D644),F644,0)</f>
        <v>0</v>
      </c>
    </row>
    <row r="644" spans="1:11" ht="12.75" hidden="1" customHeight="1" x14ac:dyDescent="0.2">
      <c r="A644" s="8">
        <v>901</v>
      </c>
      <c r="B644" s="8"/>
      <c r="C644" s="8" t="s">
        <v>4</v>
      </c>
      <c r="D644" s="12">
        <v>45108</v>
      </c>
      <c r="E644" s="8">
        <v>35000</v>
      </c>
      <c r="F644" s="10">
        <f>IF(ISTEXT(Таблицаx_2[[#This Row],[Значение]]), 0, Таблицаx_2[[#This Row],[Значение]])</f>
        <v>35000</v>
      </c>
      <c r="G644" s="12">
        <v>45108</v>
      </c>
      <c r="H644" s="10" t="str">
        <f>IFERROR(VLOOKUP(Таблицаx_2[[#This Row],[id]],prolongations!A:C,2,)," ")</f>
        <v>июль 2023</v>
      </c>
      <c r="I644" s="10">
        <f>IF(Таблицаx_2[[#This Row],[Месяц окончания]]=Таблицаx_2[[#This Row],[Месяц]],Таблицаx_2[[#This Row],[Значения числа]],0)</f>
        <v>35000</v>
      </c>
      <c r="J644" s="8">
        <f>IF(AND(Таблицаx_2[[#This Row],[Месяц окончания]]=Таблицаx_2[[#This Row],[Месяц]],Таблицаx_2[[#This Row],[id]]=A645,EDATE(Таблицаx_2[[#This Row],[Месяц]],1)=D645),F645,0)</f>
        <v>0</v>
      </c>
      <c r="K644" s="8">
        <f>IF(AND(Таблицаx_2[[#This Row],[Месяц окончания]]=Таблицаx_2[[#This Row],[Месяц]],Таблицаx_2[[#This Row],[id]]=A645,EDATE(Таблицаx_2[[#This Row],[Месяц]],2)=D645),F645,0)</f>
        <v>0</v>
      </c>
    </row>
    <row r="645" spans="1:11" ht="12.75" hidden="1" customHeight="1" x14ac:dyDescent="0.2">
      <c r="A645" s="8">
        <v>897</v>
      </c>
      <c r="B645" s="8" t="s">
        <v>45</v>
      </c>
      <c r="C645" s="8" t="s">
        <v>10</v>
      </c>
      <c r="D645" s="12">
        <v>45108</v>
      </c>
      <c r="E645" s="8">
        <v>110000</v>
      </c>
      <c r="F645" s="10">
        <f>IF(ISTEXT(Таблицаx_2[[#This Row],[Значение]]), 0, Таблицаx_2[[#This Row],[Значение]])</f>
        <v>110000</v>
      </c>
      <c r="G645" s="12">
        <v>45108</v>
      </c>
      <c r="H645" s="10" t="str">
        <f>IFERROR(VLOOKUP(Таблицаx_2[[#This Row],[id]],prolongations!A:C,2,)," ")</f>
        <v>июль 2023</v>
      </c>
      <c r="I645" s="10">
        <f>IF(Таблицаx_2[[#This Row],[Месяц окончания]]=Таблицаx_2[[#This Row],[Месяц]],Таблицаx_2[[#This Row],[Значения числа]],0)</f>
        <v>110000</v>
      </c>
      <c r="J645" s="8">
        <f>IF(AND(Таблицаx_2[[#This Row],[Месяц окончания]]=Таблицаx_2[[#This Row],[Месяц]],Таблицаx_2[[#This Row],[id]]=A646,EDATE(Таблицаx_2[[#This Row],[Месяц]],1)=D646),F646,0)</f>
        <v>0</v>
      </c>
      <c r="K645" s="8">
        <f>IF(AND(Таблицаx_2[[#This Row],[Месяц окончания]]=Таблицаx_2[[#This Row],[Месяц]],Таблицаx_2[[#This Row],[id]]=A646,EDATE(Таблицаx_2[[#This Row],[Месяц]],2)=D646),F646,0)</f>
        <v>0</v>
      </c>
    </row>
    <row r="646" spans="1:11" ht="12.75" hidden="1" customHeight="1" x14ac:dyDescent="0.2">
      <c r="A646" s="8">
        <v>580</v>
      </c>
      <c r="B646" s="8"/>
      <c r="C646" s="8" t="s">
        <v>6</v>
      </c>
      <c r="D646" s="12">
        <v>44986</v>
      </c>
      <c r="E646" s="8">
        <v>42937.1</v>
      </c>
      <c r="F646" s="10">
        <f>IF(ISTEXT(Таблицаx_2[[#This Row],[Значение]]), 0, Таблицаx_2[[#This Row],[Значение]])</f>
        <v>42937.1</v>
      </c>
      <c r="G646" s="12">
        <v>44986</v>
      </c>
      <c r="H646" s="10" t="str">
        <f>IFERROR(VLOOKUP(Таблицаx_2[[#This Row],[id]],prolongations!A:C,2,)," ")</f>
        <v>март 2023</v>
      </c>
      <c r="I646" s="10">
        <f>IF(Таблицаx_2[[#This Row],[Месяц окончания]]=Таблицаx_2[[#This Row],[Месяц]],Таблицаx_2[[#This Row],[Значения числа]],0)</f>
        <v>42937.1</v>
      </c>
      <c r="J646" s="8">
        <f>IF(AND(Таблицаx_2[[#This Row],[Месяц окончания]]=Таблицаx_2[[#This Row],[Месяц]],Таблицаx_2[[#This Row],[id]]=A647,EDATE(Таблицаx_2[[#This Row],[Месяц]],1)=D647),F647,0)</f>
        <v>50640.35</v>
      </c>
      <c r="K646" s="8">
        <f>IF(AND(Таблицаx_2[[#This Row],[Месяц окончания]]=Таблицаx_2[[#This Row],[Месяц]],Таблицаx_2[[#This Row],[id]]=A647,EDATE(Таблицаx_2[[#This Row],[Месяц]],2)=D647),F647,0)</f>
        <v>0</v>
      </c>
    </row>
    <row r="647" spans="1:11" ht="12.75" hidden="1" customHeight="1" x14ac:dyDescent="0.2">
      <c r="A647" s="8">
        <v>580</v>
      </c>
      <c r="B647" s="8"/>
      <c r="C647" s="8" t="s">
        <v>6</v>
      </c>
      <c r="D647" s="12">
        <v>45017</v>
      </c>
      <c r="E647" s="8">
        <v>50640.35</v>
      </c>
      <c r="F647" s="10">
        <f>IF(ISTEXT(Таблицаx_2[[#This Row],[Значение]]), 0, Таблицаx_2[[#This Row],[Значение]])</f>
        <v>50640.35</v>
      </c>
      <c r="G647" s="12">
        <v>44986</v>
      </c>
      <c r="H647" s="10" t="str">
        <f>IFERROR(VLOOKUP(Таблицаx_2[[#This Row],[id]],prolongations!A:C,2,)," ")</f>
        <v>март 2023</v>
      </c>
      <c r="I647" s="10">
        <f>IF(Таблицаx_2[[#This Row],[Месяц окончания]]=Таблицаx_2[[#This Row],[Месяц]],Таблицаx_2[[#This Row],[Значения числа]],0)</f>
        <v>0</v>
      </c>
      <c r="J647" s="8">
        <f>IF(AND(Таблицаx_2[[#This Row],[Месяц окончания]]=Таблицаx_2[[#This Row],[Месяц]],Таблицаx_2[[#This Row],[id]]=A648,EDATE(Таблицаx_2[[#This Row],[Месяц]],1)=D648),F648,0)</f>
        <v>0</v>
      </c>
      <c r="K647" s="8">
        <f>IF(AND(Таблицаx_2[[#This Row],[Месяц окончания]]=Таблицаx_2[[#This Row],[Месяц]],Таблицаx_2[[#This Row],[id]]=A648,EDATE(Таблицаx_2[[#This Row],[Месяц]],2)=D648),F648,0)</f>
        <v>0</v>
      </c>
    </row>
    <row r="648" spans="1:11" ht="12.75" hidden="1" customHeight="1" x14ac:dyDescent="0.2">
      <c r="A648" s="8">
        <v>580</v>
      </c>
      <c r="B648" s="8"/>
      <c r="C648" s="8" t="s">
        <v>6</v>
      </c>
      <c r="D648" s="12">
        <v>45047</v>
      </c>
      <c r="E648" s="8">
        <v>57901.14</v>
      </c>
      <c r="F648" s="10">
        <f>IF(ISTEXT(Таблицаx_2[[#This Row],[Значение]]), 0, Таблицаx_2[[#This Row],[Значение]])</f>
        <v>57901.14</v>
      </c>
      <c r="G648" s="12">
        <v>44986</v>
      </c>
      <c r="H648" s="10" t="str">
        <f>IFERROR(VLOOKUP(Таблицаx_2[[#This Row],[id]],prolongations!A:C,2,)," ")</f>
        <v>март 2023</v>
      </c>
      <c r="I648" s="10">
        <f>IF(Таблицаx_2[[#This Row],[Месяц окончания]]=Таблицаx_2[[#This Row],[Месяц]],Таблицаx_2[[#This Row],[Значения числа]],0)</f>
        <v>0</v>
      </c>
      <c r="J648" s="8">
        <f>IF(AND(Таблицаx_2[[#This Row],[Месяц окончания]]=Таблицаx_2[[#This Row],[Месяц]],Таблицаx_2[[#This Row],[id]]=A649,EDATE(Таблицаx_2[[#This Row],[Месяц]],1)=D649),F649,0)</f>
        <v>0</v>
      </c>
      <c r="K648" s="8">
        <f>IF(AND(Таблицаx_2[[#This Row],[Месяц окончания]]=Таблицаx_2[[#This Row],[Месяц]],Таблицаx_2[[#This Row],[id]]=A649,EDATE(Таблицаx_2[[#This Row],[Месяц]],2)=D649),F649,0)</f>
        <v>0</v>
      </c>
    </row>
    <row r="649" spans="1:11" ht="12.75" hidden="1" customHeight="1" x14ac:dyDescent="0.2">
      <c r="A649" s="8">
        <v>580</v>
      </c>
      <c r="B649" s="8"/>
      <c r="C649" s="8" t="s">
        <v>6</v>
      </c>
      <c r="D649" s="12">
        <v>45078</v>
      </c>
      <c r="E649" s="8" t="s">
        <v>48</v>
      </c>
      <c r="F649" s="10">
        <f>IF(ISTEXT(Таблицаx_2[[#This Row],[Значение]]), 0, Таблицаx_2[[#This Row],[Значение]])</f>
        <v>0</v>
      </c>
      <c r="G649" s="12">
        <v>44986</v>
      </c>
      <c r="H649" s="10" t="str">
        <f>IFERROR(VLOOKUP(Таблицаx_2[[#This Row],[id]],prolongations!A:C,2,)," ")</f>
        <v>март 2023</v>
      </c>
      <c r="I649" s="10">
        <f>IF(Таблицаx_2[[#This Row],[Месяц окончания]]=Таблицаx_2[[#This Row],[Месяц]],Таблицаx_2[[#This Row],[Значения числа]],0)</f>
        <v>0</v>
      </c>
      <c r="J649" s="8">
        <f>IF(AND(Таблицаx_2[[#This Row],[Месяц окончания]]=Таблицаx_2[[#This Row],[Месяц]],Таблицаx_2[[#This Row],[id]]=A650,EDATE(Таблицаx_2[[#This Row],[Месяц]],1)=D650),F650,0)</f>
        <v>0</v>
      </c>
      <c r="K649" s="8">
        <f>IF(AND(Таблицаx_2[[#This Row],[Месяц окончания]]=Таблицаx_2[[#This Row],[Месяц]],Таблицаx_2[[#This Row],[id]]=A650,EDATE(Таблицаx_2[[#This Row],[Месяц]],2)=D650),F650,0)</f>
        <v>0</v>
      </c>
    </row>
    <row r="650" spans="1:11" ht="12.75" hidden="1" customHeight="1" x14ac:dyDescent="0.2">
      <c r="A650" s="8">
        <v>580</v>
      </c>
      <c r="B650" s="8"/>
      <c r="C650" s="8" t="s">
        <v>6</v>
      </c>
      <c r="D650" s="12">
        <v>45108</v>
      </c>
      <c r="E650" s="8">
        <v>64219.76</v>
      </c>
      <c r="F650" s="10">
        <f>IF(ISTEXT(Таблицаx_2[[#This Row],[Значение]]), 0, Таблицаx_2[[#This Row],[Значение]])</f>
        <v>64219.76</v>
      </c>
      <c r="G650" s="12">
        <v>44986</v>
      </c>
      <c r="H650" s="10" t="str">
        <f>IFERROR(VLOOKUP(Таблицаx_2[[#This Row],[id]],prolongations!A:C,2,)," ")</f>
        <v>март 2023</v>
      </c>
      <c r="I650" s="10">
        <f>IF(Таблицаx_2[[#This Row],[Месяц окончания]]=Таблицаx_2[[#This Row],[Месяц]],Таблицаx_2[[#This Row],[Значения числа]],0)</f>
        <v>0</v>
      </c>
      <c r="J650" s="8">
        <f>IF(AND(Таблицаx_2[[#This Row],[Месяц окончания]]=Таблицаx_2[[#This Row],[Месяц]],Таблицаx_2[[#This Row],[id]]=A651,EDATE(Таблицаx_2[[#This Row],[Месяц]],1)=D651),F651,0)</f>
        <v>0</v>
      </c>
      <c r="K650" s="8">
        <f>IF(AND(Таблицаx_2[[#This Row],[Месяц окончания]]=Таблицаx_2[[#This Row],[Месяц]],Таблицаx_2[[#This Row],[id]]=A651,EDATE(Таблицаx_2[[#This Row],[Месяц]],2)=D651),F651,0)</f>
        <v>0</v>
      </c>
    </row>
    <row r="651" spans="1:11" ht="12.75" hidden="1" customHeight="1" x14ac:dyDescent="0.2">
      <c r="A651" s="8">
        <v>580</v>
      </c>
      <c r="B651" s="8"/>
      <c r="C651" s="8" t="s">
        <v>6</v>
      </c>
      <c r="D651" s="12">
        <v>45139</v>
      </c>
      <c r="E651" s="8" t="s">
        <v>48</v>
      </c>
      <c r="F651" s="10">
        <f>IF(ISTEXT(Таблицаx_2[[#This Row],[Значение]]), 0, Таблицаx_2[[#This Row],[Значение]])</f>
        <v>0</v>
      </c>
      <c r="G651" s="12">
        <v>44986</v>
      </c>
      <c r="H651" s="10" t="str">
        <f>IFERROR(VLOOKUP(Таблицаx_2[[#This Row],[id]],prolongations!A:C,2,)," ")</f>
        <v>март 2023</v>
      </c>
      <c r="I651" s="10">
        <f>IF(Таблицаx_2[[#This Row],[Месяц окончания]]=Таблицаx_2[[#This Row],[Месяц]],Таблицаx_2[[#This Row],[Значения числа]],0)</f>
        <v>0</v>
      </c>
      <c r="J651" s="8">
        <f>IF(AND(Таблицаx_2[[#This Row],[Месяц окончания]]=Таблицаx_2[[#This Row],[Месяц]],Таблицаx_2[[#This Row],[id]]=A652,EDATE(Таблицаx_2[[#This Row],[Месяц]],1)=D652),F652,0)</f>
        <v>0</v>
      </c>
      <c r="K651" s="8">
        <f>IF(AND(Таблицаx_2[[#This Row],[Месяц окончания]]=Таблицаx_2[[#This Row],[Месяц]],Таблицаx_2[[#This Row],[id]]=A652,EDATE(Таблицаx_2[[#This Row],[Месяц]],2)=D652),F652,0)</f>
        <v>0</v>
      </c>
    </row>
    <row r="652" spans="1:11" hidden="1" x14ac:dyDescent="0.2">
      <c r="A652" s="8">
        <v>719</v>
      </c>
      <c r="B652" s="8" t="s">
        <v>45</v>
      </c>
      <c r="C652" s="8" t="s">
        <v>4</v>
      </c>
      <c r="D652" s="12">
        <v>44896</v>
      </c>
      <c r="E652" s="8">
        <v>602370</v>
      </c>
      <c r="F652" s="10">
        <f>IF(ISTEXT(Таблицаx_2[[#This Row],[Значение]]), 0, Таблицаx_2[[#This Row],[Значение]])</f>
        <v>602370</v>
      </c>
      <c r="G652" s="12">
        <v>44896</v>
      </c>
      <c r="H652" s="10" t="str">
        <f>IFERROR(VLOOKUP(Таблицаx_2[[#This Row],[id]],prolongations!A:C,2,)," ")</f>
        <v>декабрь 2022</v>
      </c>
      <c r="I652" s="10">
        <f>IF(Таблицаx_2[[#This Row],[Месяц окончания]]=Таблицаx_2[[#This Row],[Месяц]],Таблицаx_2[[#This Row],[Значения числа]],0)</f>
        <v>602370</v>
      </c>
      <c r="J652" s="8">
        <f>IF(AND(Таблицаx_2[[#This Row],[Месяц окончания]]=Таблицаx_2[[#This Row],[Месяц]],Таблицаx_2[[#This Row],[id]]=A653,EDATE(Таблицаx_2[[#This Row],[Месяц]],1)=D653),F653,0)</f>
        <v>0</v>
      </c>
      <c r="K652" s="8">
        <f>IF(AND(Таблицаx_2[[#This Row],[Месяц окончания]]=Таблицаx_2[[#This Row],[Месяц]],Таблицаx_2[[#This Row],[id]]=A653,EDATE(Таблицаx_2[[#This Row],[Месяц]],2)=D653),F653,0)</f>
        <v>0</v>
      </c>
    </row>
    <row r="653" spans="1:11" ht="12.75" hidden="1" customHeight="1" x14ac:dyDescent="0.2">
      <c r="A653" s="8">
        <v>719</v>
      </c>
      <c r="B653" s="8" t="s">
        <v>45</v>
      </c>
      <c r="C653" s="8" t="s">
        <v>4</v>
      </c>
      <c r="D653" s="12">
        <v>45017</v>
      </c>
      <c r="E653" s="8">
        <v>52565</v>
      </c>
      <c r="F653" s="10">
        <f>IF(ISTEXT(Таблицаx_2[[#This Row],[Значение]]), 0, Таблицаx_2[[#This Row],[Значение]])</f>
        <v>52565</v>
      </c>
      <c r="G653" s="12">
        <v>44896</v>
      </c>
      <c r="H653" s="10" t="str">
        <f>IFERROR(VLOOKUP(Таблицаx_2[[#This Row],[id]],prolongations!A:C,2,)," ")</f>
        <v>декабрь 2022</v>
      </c>
      <c r="I653" s="10">
        <f>IF(Таблицаx_2[[#This Row],[Месяц окончания]]=Таблицаx_2[[#This Row],[Месяц]],Таблицаx_2[[#This Row],[Значения числа]],0)</f>
        <v>0</v>
      </c>
      <c r="J653" s="8">
        <f>IF(AND(Таблицаx_2[[#This Row],[Месяц окончания]]=Таблицаx_2[[#This Row],[Месяц]],Таблицаx_2[[#This Row],[id]]=A654,EDATE(Таблицаx_2[[#This Row],[Месяц]],1)=D654),F654,0)</f>
        <v>0</v>
      </c>
      <c r="K653" s="8">
        <f>IF(AND(Таблицаx_2[[#This Row],[Месяц окончания]]=Таблицаx_2[[#This Row],[Месяц]],Таблицаx_2[[#This Row],[id]]=A654,EDATE(Таблицаx_2[[#This Row],[Месяц]],2)=D654),F654,0)</f>
        <v>0</v>
      </c>
    </row>
    <row r="654" spans="1:11" ht="12.75" hidden="1" customHeight="1" x14ac:dyDescent="0.2">
      <c r="A654" s="8">
        <v>719</v>
      </c>
      <c r="B654" s="8" t="s">
        <v>45</v>
      </c>
      <c r="C654" s="8" t="s">
        <v>4</v>
      </c>
      <c r="D654" s="12">
        <v>45047</v>
      </c>
      <c r="E654" s="8">
        <v>54355</v>
      </c>
      <c r="F654" s="10">
        <f>IF(ISTEXT(Таблицаx_2[[#This Row],[Значение]]), 0, Таблицаx_2[[#This Row],[Значение]])</f>
        <v>54355</v>
      </c>
      <c r="G654" s="12">
        <v>44896</v>
      </c>
      <c r="H654" s="10" t="str">
        <f>IFERROR(VLOOKUP(Таблицаx_2[[#This Row],[id]],prolongations!A:C,2,)," ")</f>
        <v>декабрь 2022</v>
      </c>
      <c r="I654" s="10">
        <f>IF(Таблицаx_2[[#This Row],[Месяц окончания]]=Таблицаx_2[[#This Row],[Месяц]],Таблицаx_2[[#This Row],[Значения числа]],0)</f>
        <v>0</v>
      </c>
      <c r="J654" s="8">
        <f>IF(AND(Таблицаx_2[[#This Row],[Месяц окончания]]=Таблицаx_2[[#This Row],[Месяц]],Таблицаx_2[[#This Row],[id]]=A655,EDATE(Таблицаx_2[[#This Row],[Месяц]],1)=D655),F655,0)</f>
        <v>0</v>
      </c>
      <c r="K654" s="8">
        <f>IF(AND(Таблицаx_2[[#This Row],[Месяц окончания]]=Таблицаx_2[[#This Row],[Месяц]],Таблицаx_2[[#This Row],[id]]=A655,EDATE(Таблицаx_2[[#This Row],[Месяц]],2)=D655),F655,0)</f>
        <v>0</v>
      </c>
    </row>
    <row r="655" spans="1:11" ht="12.75" hidden="1" customHeight="1" x14ac:dyDescent="0.2">
      <c r="A655" s="8">
        <v>719</v>
      </c>
      <c r="B655" s="8" t="s">
        <v>45</v>
      </c>
      <c r="C655" s="8" t="s">
        <v>4</v>
      </c>
      <c r="D655" s="12">
        <v>45078</v>
      </c>
      <c r="E655" s="8">
        <v>53510</v>
      </c>
      <c r="F655" s="10">
        <f>IF(ISTEXT(Таблицаx_2[[#This Row],[Значение]]), 0, Таблицаx_2[[#This Row],[Значение]])</f>
        <v>53510</v>
      </c>
      <c r="G655" s="12">
        <v>44896</v>
      </c>
      <c r="H655" s="10" t="str">
        <f>IFERROR(VLOOKUP(Таблицаx_2[[#This Row],[id]],prolongations!A:C,2,)," ")</f>
        <v>декабрь 2022</v>
      </c>
      <c r="I655" s="10">
        <f>IF(Таблицаx_2[[#This Row],[Месяц окончания]]=Таблицаx_2[[#This Row],[Месяц]],Таблицаx_2[[#This Row],[Значения числа]],0)</f>
        <v>0</v>
      </c>
      <c r="J655" s="8">
        <f>IF(AND(Таблицаx_2[[#This Row],[Месяц окончания]]=Таблицаx_2[[#This Row],[Месяц]],Таблицаx_2[[#This Row],[id]]=A656,EDATE(Таблицаx_2[[#This Row],[Месяц]],1)=D656),F656,0)</f>
        <v>0</v>
      </c>
      <c r="K655" s="8">
        <f>IF(AND(Таблицаx_2[[#This Row],[Месяц окончания]]=Таблицаx_2[[#This Row],[Месяц]],Таблицаx_2[[#This Row],[id]]=A656,EDATE(Таблицаx_2[[#This Row],[Месяц]],2)=D656),F656,0)</f>
        <v>0</v>
      </c>
    </row>
    <row r="656" spans="1:11" ht="12.75" hidden="1" customHeight="1" x14ac:dyDescent="0.2">
      <c r="A656" s="8">
        <v>719</v>
      </c>
      <c r="B656" s="8" t="s">
        <v>45</v>
      </c>
      <c r="C656" s="8" t="s">
        <v>4</v>
      </c>
      <c r="D656" s="12">
        <v>45108</v>
      </c>
      <c r="E656" s="8">
        <v>64355</v>
      </c>
      <c r="F656" s="10">
        <f>IF(ISTEXT(Таблицаx_2[[#This Row],[Значение]]), 0, Таблицаx_2[[#This Row],[Значение]])</f>
        <v>64355</v>
      </c>
      <c r="G656" s="12">
        <v>44896</v>
      </c>
      <c r="H656" s="10" t="str">
        <f>IFERROR(VLOOKUP(Таблицаx_2[[#This Row],[id]],prolongations!A:C,2,)," ")</f>
        <v>декабрь 2022</v>
      </c>
      <c r="I656" s="10">
        <f>IF(Таблицаx_2[[#This Row],[Месяц окончания]]=Таблицаx_2[[#This Row],[Месяц]],Таблицаx_2[[#This Row],[Значения числа]],0)</f>
        <v>0</v>
      </c>
      <c r="J656" s="8">
        <f>IF(AND(Таблицаx_2[[#This Row],[Месяц окончания]]=Таблицаx_2[[#This Row],[Месяц]],Таблицаx_2[[#This Row],[id]]=A657,EDATE(Таблицаx_2[[#This Row],[Месяц]],1)=D657),F657,0)</f>
        <v>0</v>
      </c>
      <c r="K656" s="8">
        <f>IF(AND(Таблицаx_2[[#This Row],[Месяц окончания]]=Таблицаx_2[[#This Row],[Месяц]],Таблицаx_2[[#This Row],[id]]=A657,EDATE(Таблицаx_2[[#This Row],[Месяц]],2)=D657),F657,0)</f>
        <v>0</v>
      </c>
    </row>
    <row r="657" spans="1:11" ht="12.75" hidden="1" customHeight="1" x14ac:dyDescent="0.2">
      <c r="A657" s="8">
        <v>719</v>
      </c>
      <c r="B657" s="8" t="s">
        <v>45</v>
      </c>
      <c r="C657" s="8" t="s">
        <v>4</v>
      </c>
      <c r="D657" s="12">
        <v>45139</v>
      </c>
      <c r="E657" s="8">
        <v>58355</v>
      </c>
      <c r="F657" s="10">
        <f>IF(ISTEXT(Таблицаx_2[[#This Row],[Значение]]), 0, Таблицаx_2[[#This Row],[Значение]])</f>
        <v>58355</v>
      </c>
      <c r="G657" s="12">
        <v>44896</v>
      </c>
      <c r="H657" s="10" t="str">
        <f>IFERROR(VLOOKUP(Таблицаx_2[[#This Row],[id]],prolongations!A:C,2,)," ")</f>
        <v>декабрь 2022</v>
      </c>
      <c r="I657" s="10">
        <f>IF(Таблицаx_2[[#This Row],[Месяц окончания]]=Таблицаx_2[[#This Row],[Месяц]],Таблицаx_2[[#This Row],[Значения числа]],0)</f>
        <v>0</v>
      </c>
      <c r="J657" s="8">
        <f>IF(AND(Таблицаx_2[[#This Row],[Месяц окончания]]=Таблицаx_2[[#This Row],[Месяц]],Таблицаx_2[[#This Row],[id]]=A658,EDATE(Таблицаx_2[[#This Row],[Месяц]],1)=D658),F658,0)</f>
        <v>0</v>
      </c>
      <c r="K657" s="8">
        <f>IF(AND(Таблицаx_2[[#This Row],[Месяц окончания]]=Таблицаx_2[[#This Row],[Месяц]],Таблицаx_2[[#This Row],[id]]=A658,EDATE(Таблицаx_2[[#This Row],[Месяц]],2)=D658),F658,0)</f>
        <v>0</v>
      </c>
    </row>
    <row r="658" spans="1:11" ht="12.75" hidden="1" customHeight="1" x14ac:dyDescent="0.2">
      <c r="A658" s="8">
        <v>719</v>
      </c>
      <c r="B658" s="8" t="s">
        <v>47</v>
      </c>
      <c r="C658" s="8" t="s">
        <v>4</v>
      </c>
      <c r="D658" s="12">
        <v>45017</v>
      </c>
      <c r="E658" s="8">
        <v>1022.55</v>
      </c>
      <c r="F658" s="10">
        <f>IF(ISTEXT(Таблицаx_2[[#This Row],[Значение]]), 0, Таблицаx_2[[#This Row],[Значение]])</f>
        <v>1022.55</v>
      </c>
      <c r="G658" s="12">
        <v>44896</v>
      </c>
      <c r="H658" s="10" t="str">
        <f>IFERROR(VLOOKUP(Таблицаx_2[[#This Row],[id]],prolongations!A:C,2,)," ")</f>
        <v>декабрь 2022</v>
      </c>
      <c r="I658" s="10">
        <f>IF(Таблицаx_2[[#This Row],[Месяц окончания]]=Таблицаx_2[[#This Row],[Месяц]],Таблицаx_2[[#This Row],[Значения числа]],0)</f>
        <v>0</v>
      </c>
      <c r="J658" s="8">
        <f>IF(AND(Таблицаx_2[[#This Row],[Месяц окончания]]=Таблицаx_2[[#This Row],[Месяц]],Таблицаx_2[[#This Row],[id]]=A659,EDATE(Таблицаx_2[[#This Row],[Месяц]],1)=D659),F659,0)</f>
        <v>0</v>
      </c>
      <c r="K658" s="8">
        <f>IF(AND(Таблицаx_2[[#This Row],[Месяц окончания]]=Таблицаx_2[[#This Row],[Месяц]],Таблицаx_2[[#This Row],[id]]=A659,EDATE(Таблицаx_2[[#This Row],[Месяц]],2)=D659),F659,0)</f>
        <v>0</v>
      </c>
    </row>
    <row r="659" spans="1:11" ht="12.75" hidden="1" customHeight="1" x14ac:dyDescent="0.2">
      <c r="A659" s="8">
        <v>719</v>
      </c>
      <c r="B659" s="8" t="s">
        <v>47</v>
      </c>
      <c r="C659" s="8" t="s">
        <v>4</v>
      </c>
      <c r="D659" s="12">
        <v>45047</v>
      </c>
      <c r="E659" s="8" t="s">
        <v>48</v>
      </c>
      <c r="F659" s="10">
        <f>IF(ISTEXT(Таблицаx_2[[#This Row],[Значение]]), 0, Таблицаx_2[[#This Row],[Значение]])</f>
        <v>0</v>
      </c>
      <c r="G659" s="12">
        <v>44896</v>
      </c>
      <c r="H659" s="10" t="str">
        <f>IFERROR(VLOOKUP(Таблицаx_2[[#This Row],[id]],prolongations!A:C,2,)," ")</f>
        <v>декабрь 2022</v>
      </c>
      <c r="I659" s="10">
        <f>IF(Таблицаx_2[[#This Row],[Месяц окончания]]=Таблицаx_2[[#This Row],[Месяц]],Таблицаx_2[[#This Row],[Значения числа]],0)</f>
        <v>0</v>
      </c>
      <c r="J659" s="8">
        <f>IF(AND(Таблицаx_2[[#This Row],[Месяц окончания]]=Таблицаx_2[[#This Row],[Месяц]],Таблицаx_2[[#This Row],[id]]=A660,EDATE(Таблицаx_2[[#This Row],[Месяц]],1)=D660),F660,0)</f>
        <v>0</v>
      </c>
      <c r="K659" s="8">
        <f>IF(AND(Таблицаx_2[[#This Row],[Месяц окончания]]=Таблицаx_2[[#This Row],[Месяц]],Таблицаx_2[[#This Row],[id]]=A660,EDATE(Таблицаx_2[[#This Row],[Месяц]],2)=D660),F660,0)</f>
        <v>0</v>
      </c>
    </row>
    <row r="660" spans="1:11" ht="12.75" hidden="1" customHeight="1" x14ac:dyDescent="0.2">
      <c r="A660" s="8">
        <v>719</v>
      </c>
      <c r="B660" s="8" t="s">
        <v>47</v>
      </c>
      <c r="C660" s="8" t="s">
        <v>4</v>
      </c>
      <c r="D660" s="12">
        <v>45078</v>
      </c>
      <c r="E660" s="8">
        <v>1590</v>
      </c>
      <c r="F660" s="10">
        <f>IF(ISTEXT(Таблицаx_2[[#This Row],[Значение]]), 0, Таблицаx_2[[#This Row],[Значение]])</f>
        <v>1590</v>
      </c>
      <c r="G660" s="12">
        <v>44896</v>
      </c>
      <c r="H660" s="10" t="str">
        <f>IFERROR(VLOOKUP(Таблицаx_2[[#This Row],[id]],prolongations!A:C,2,)," ")</f>
        <v>декабрь 2022</v>
      </c>
      <c r="I660" s="10">
        <f>IF(Таблицаx_2[[#This Row],[Месяц окончания]]=Таблицаx_2[[#This Row],[Месяц]],Таблицаx_2[[#This Row],[Значения числа]],0)</f>
        <v>0</v>
      </c>
      <c r="J660" s="8">
        <f>IF(AND(Таблицаx_2[[#This Row],[Месяц окончания]]=Таблицаx_2[[#This Row],[Месяц]],Таблицаx_2[[#This Row],[id]]=A661,EDATE(Таблицаx_2[[#This Row],[Месяц]],1)=D661),F661,0)</f>
        <v>0</v>
      </c>
      <c r="K660" s="8">
        <f>IF(AND(Таблицаx_2[[#This Row],[Месяц окончания]]=Таблицаx_2[[#This Row],[Месяц]],Таблицаx_2[[#This Row],[id]]=A661,EDATE(Таблицаx_2[[#This Row],[Месяц]],2)=D661),F661,0)</f>
        <v>0</v>
      </c>
    </row>
    <row r="661" spans="1:11" ht="12.75" hidden="1" customHeight="1" x14ac:dyDescent="0.2">
      <c r="A661" s="8">
        <v>719</v>
      </c>
      <c r="B661" s="8" t="s">
        <v>47</v>
      </c>
      <c r="C661" s="8" t="s">
        <v>4</v>
      </c>
      <c r="D661" s="12">
        <v>45108</v>
      </c>
      <c r="E661" s="8" t="s">
        <v>48</v>
      </c>
      <c r="F661" s="10">
        <f>IF(ISTEXT(Таблицаx_2[[#This Row],[Значение]]), 0, Таблицаx_2[[#This Row],[Значение]])</f>
        <v>0</v>
      </c>
      <c r="G661" s="12">
        <v>44896</v>
      </c>
      <c r="H661" s="10" t="str">
        <f>IFERROR(VLOOKUP(Таблицаx_2[[#This Row],[id]],prolongations!A:C,2,)," ")</f>
        <v>декабрь 2022</v>
      </c>
      <c r="I661" s="10">
        <f>IF(Таблицаx_2[[#This Row],[Месяц окончания]]=Таблицаx_2[[#This Row],[Месяц]],Таблицаx_2[[#This Row],[Значения числа]],0)</f>
        <v>0</v>
      </c>
      <c r="J661" s="8">
        <f>IF(AND(Таблицаx_2[[#This Row],[Месяц окончания]]=Таблицаx_2[[#This Row],[Месяц]],Таблицаx_2[[#This Row],[id]]=A662,EDATE(Таблицаx_2[[#This Row],[Месяц]],1)=D662),F662,0)</f>
        <v>0</v>
      </c>
      <c r="K661" s="8">
        <f>IF(AND(Таблицаx_2[[#This Row],[Месяц окончания]]=Таблицаx_2[[#This Row],[Месяц]],Таблицаx_2[[#This Row],[id]]=A662,EDATE(Таблицаx_2[[#This Row],[Месяц]],2)=D662),F662,0)</f>
        <v>0</v>
      </c>
    </row>
    <row r="662" spans="1:11" ht="12.75" hidden="1" customHeight="1" x14ac:dyDescent="0.2">
      <c r="A662" s="8">
        <v>719</v>
      </c>
      <c r="B662" s="8" t="s">
        <v>47</v>
      </c>
      <c r="C662" s="8" t="s">
        <v>4</v>
      </c>
      <c r="D662" s="12">
        <v>45139</v>
      </c>
      <c r="E662" s="8" t="s">
        <v>48</v>
      </c>
      <c r="F662" s="10">
        <f>IF(ISTEXT(Таблицаx_2[[#This Row],[Значение]]), 0, Таблицаx_2[[#This Row],[Значение]])</f>
        <v>0</v>
      </c>
      <c r="G662" s="12">
        <v>44896</v>
      </c>
      <c r="H662" s="10" t="str">
        <f>IFERROR(VLOOKUP(Таблицаx_2[[#This Row],[id]],prolongations!A:C,2,)," ")</f>
        <v>декабрь 2022</v>
      </c>
      <c r="I662" s="10">
        <f>IF(Таблицаx_2[[#This Row],[Месяц окончания]]=Таблицаx_2[[#This Row],[Месяц]],Таблицаx_2[[#This Row],[Значения числа]],0)</f>
        <v>0</v>
      </c>
      <c r="J662" s="8">
        <f>IF(AND(Таблицаx_2[[#This Row],[Месяц окончания]]=Таблицаx_2[[#This Row],[Месяц]],Таблицаx_2[[#This Row],[id]]=A663,EDATE(Таблицаx_2[[#This Row],[Месяц]],1)=D663),F663,0)</f>
        <v>0</v>
      </c>
      <c r="K662" s="8">
        <f>IF(AND(Таблицаx_2[[#This Row],[Месяц окончания]]=Таблицаx_2[[#This Row],[Месяц]],Таблицаx_2[[#This Row],[id]]=A663,EDATE(Таблицаx_2[[#This Row],[Месяц]],2)=D663),F663,0)</f>
        <v>0</v>
      </c>
    </row>
    <row r="663" spans="1:11" ht="12.75" hidden="1" customHeight="1" x14ac:dyDescent="0.2">
      <c r="A663" s="8">
        <v>848</v>
      </c>
      <c r="B663" s="8" t="s">
        <v>45</v>
      </c>
      <c r="C663" s="8" t="s">
        <v>10</v>
      </c>
      <c r="D663" s="12">
        <v>45047</v>
      </c>
      <c r="E663" s="8">
        <v>62920</v>
      </c>
      <c r="F663" s="10">
        <f>IF(ISTEXT(Таблицаx_2[[#This Row],[Значение]]), 0, Таблицаx_2[[#This Row],[Значение]])</f>
        <v>62920</v>
      </c>
      <c r="G663" s="12">
        <v>45108</v>
      </c>
      <c r="H663" s="10" t="str">
        <f>IFERROR(VLOOKUP(Таблицаx_2[[#This Row],[id]],prolongations!A:C,2,)," ")</f>
        <v>июль 2023</v>
      </c>
      <c r="I663" s="10">
        <f>IF(Таблицаx_2[[#This Row],[Месяц окончания]]=Таблицаx_2[[#This Row],[Месяц]],Таблицаx_2[[#This Row],[Значения числа]],0)</f>
        <v>0</v>
      </c>
      <c r="J663" s="8">
        <f>IF(AND(Таблицаx_2[[#This Row],[Месяц окончания]]=Таблицаx_2[[#This Row],[Месяц]],Таблицаx_2[[#This Row],[id]]=A664,EDATE(Таблицаx_2[[#This Row],[Месяц]],1)=D664),F664,0)</f>
        <v>0</v>
      </c>
      <c r="K663" s="8">
        <f>IF(AND(Таблицаx_2[[#This Row],[Месяц окончания]]=Таблицаx_2[[#This Row],[Месяц]],Таблицаx_2[[#This Row],[id]]=A664,EDATE(Таблицаx_2[[#This Row],[Месяц]],2)=D664),F664,0)</f>
        <v>0</v>
      </c>
    </row>
    <row r="664" spans="1:11" ht="12.75" hidden="1" customHeight="1" x14ac:dyDescent="0.2">
      <c r="A664" s="8">
        <v>848</v>
      </c>
      <c r="B664" s="8" t="s">
        <v>45</v>
      </c>
      <c r="C664" s="8" t="s">
        <v>10</v>
      </c>
      <c r="D664" s="12">
        <v>45078</v>
      </c>
      <c r="E664" s="8">
        <v>60960</v>
      </c>
      <c r="F664" s="10">
        <f>IF(ISTEXT(Таблицаx_2[[#This Row],[Значение]]), 0, Таблицаx_2[[#This Row],[Значение]])</f>
        <v>60960</v>
      </c>
      <c r="G664" s="12">
        <v>45108</v>
      </c>
      <c r="H664" s="10" t="str">
        <f>IFERROR(VLOOKUP(Таблицаx_2[[#This Row],[id]],prolongations!A:C,2,)," ")</f>
        <v>июль 2023</v>
      </c>
      <c r="I664" s="10">
        <f>IF(Таблицаx_2[[#This Row],[Месяц окончания]]=Таблицаx_2[[#This Row],[Месяц]],Таблицаx_2[[#This Row],[Значения числа]],0)</f>
        <v>0</v>
      </c>
      <c r="J664" s="8">
        <f>IF(AND(Таблицаx_2[[#This Row],[Месяц окончания]]=Таблицаx_2[[#This Row],[Месяц]],Таблицаx_2[[#This Row],[id]]=A665,EDATE(Таблицаx_2[[#This Row],[Месяц]],1)=D665),F665,0)</f>
        <v>0</v>
      </c>
      <c r="K664" s="8">
        <f>IF(AND(Таблицаx_2[[#This Row],[Месяц окончания]]=Таблицаx_2[[#This Row],[Месяц]],Таблицаx_2[[#This Row],[id]]=A665,EDATE(Таблицаx_2[[#This Row],[Месяц]],2)=D665),F665,0)</f>
        <v>0</v>
      </c>
    </row>
    <row r="665" spans="1:11" ht="12.75" hidden="1" customHeight="1" x14ac:dyDescent="0.2">
      <c r="A665" s="8">
        <v>848</v>
      </c>
      <c r="B665" s="8" t="s">
        <v>45</v>
      </c>
      <c r="C665" s="8" t="s">
        <v>10</v>
      </c>
      <c r="D665" s="12">
        <v>45108</v>
      </c>
      <c r="E665" s="8">
        <v>64390</v>
      </c>
      <c r="F665" s="10">
        <f>IF(ISTEXT(Таблицаx_2[[#This Row],[Значение]]), 0, Таблицаx_2[[#This Row],[Значение]])</f>
        <v>64390</v>
      </c>
      <c r="G665" s="12">
        <v>45108</v>
      </c>
      <c r="H665" s="10" t="str">
        <f>IFERROR(VLOOKUP(Таблицаx_2[[#This Row],[id]],prolongations!A:C,2,)," ")</f>
        <v>июль 2023</v>
      </c>
      <c r="I665" s="10">
        <f>IF(Таблицаx_2[[#This Row],[Месяц окончания]]=Таблицаx_2[[#This Row],[Месяц]],Таблицаx_2[[#This Row],[Значения числа]],0)</f>
        <v>64390</v>
      </c>
      <c r="J665" s="8">
        <f>IF(AND(Таблицаx_2[[#This Row],[Месяц окончания]]=Таблицаx_2[[#This Row],[Месяц]],Таблицаx_2[[#This Row],[id]]=A666,EDATE(Таблицаx_2[[#This Row],[Месяц]],1)=D666),F666,0)</f>
        <v>69065</v>
      </c>
      <c r="K665" s="8">
        <f>IF(AND(Таблицаx_2[[#This Row],[Месяц окончания]]=Таблицаx_2[[#This Row],[Месяц]],Таблицаx_2[[#This Row],[id]]=A666,EDATE(Таблицаx_2[[#This Row],[Месяц]],2)=D666),F666,0)</f>
        <v>0</v>
      </c>
    </row>
    <row r="666" spans="1:11" ht="12.75" hidden="1" customHeight="1" x14ac:dyDescent="0.2">
      <c r="A666" s="8">
        <v>848</v>
      </c>
      <c r="B666" s="8" t="s">
        <v>45</v>
      </c>
      <c r="C666" s="8" t="s">
        <v>10</v>
      </c>
      <c r="D666" s="12">
        <v>45139</v>
      </c>
      <c r="E666" s="8">
        <v>69065</v>
      </c>
      <c r="F666" s="10">
        <f>IF(ISTEXT(Таблицаx_2[[#This Row],[Значение]]), 0, Таблицаx_2[[#This Row],[Значение]])</f>
        <v>69065</v>
      </c>
      <c r="G666" s="12">
        <v>45108</v>
      </c>
      <c r="H666" s="10" t="str">
        <f>IFERROR(VLOOKUP(Таблицаx_2[[#This Row],[id]],prolongations!A:C,2,)," ")</f>
        <v>июль 2023</v>
      </c>
      <c r="I666" s="10">
        <f>IF(Таблицаx_2[[#This Row],[Месяц окончания]]=Таблицаx_2[[#This Row],[Месяц]],Таблицаx_2[[#This Row],[Значения числа]],0)</f>
        <v>0</v>
      </c>
      <c r="J666" s="8">
        <f>IF(AND(Таблицаx_2[[#This Row],[Месяц окончания]]=Таблицаx_2[[#This Row],[Месяц]],Таблицаx_2[[#This Row],[id]]=A667,EDATE(Таблицаx_2[[#This Row],[Месяц]],1)=D667),F667,0)</f>
        <v>0</v>
      </c>
      <c r="K666" s="8">
        <f>IF(AND(Таблицаx_2[[#This Row],[Месяц окончания]]=Таблицаx_2[[#This Row],[Месяц]],Таблицаx_2[[#This Row],[id]]=A667,EDATE(Таблицаx_2[[#This Row],[Месяц]],2)=D667),F667,0)</f>
        <v>0</v>
      </c>
    </row>
    <row r="667" spans="1:11" ht="12.75" hidden="1" customHeight="1" x14ac:dyDescent="0.2">
      <c r="A667" s="8">
        <v>848</v>
      </c>
      <c r="B667" s="8" t="s">
        <v>45</v>
      </c>
      <c r="C667" s="8" t="s">
        <v>10</v>
      </c>
      <c r="D667" s="12">
        <v>45170</v>
      </c>
      <c r="E667" s="8">
        <v>97690</v>
      </c>
      <c r="F667" s="10">
        <f>IF(ISTEXT(Таблицаx_2[[#This Row],[Значение]]), 0, Таблицаx_2[[#This Row],[Значение]])</f>
        <v>97690</v>
      </c>
      <c r="G667" s="12">
        <v>45108</v>
      </c>
      <c r="H667" s="10" t="str">
        <f>IFERROR(VLOOKUP(Таблицаx_2[[#This Row],[id]],prolongations!A:C,2,)," ")</f>
        <v>июль 2023</v>
      </c>
      <c r="I667" s="10">
        <f>IF(Таблицаx_2[[#This Row],[Месяц окончания]]=Таблицаx_2[[#This Row],[Месяц]],Таблицаx_2[[#This Row],[Значения числа]],0)</f>
        <v>0</v>
      </c>
      <c r="J667" s="8">
        <f>IF(AND(Таблицаx_2[[#This Row],[Месяц окончания]]=Таблицаx_2[[#This Row],[Месяц]],Таблицаx_2[[#This Row],[id]]=A668,EDATE(Таблицаx_2[[#This Row],[Месяц]],1)=D668),F668,0)</f>
        <v>0</v>
      </c>
      <c r="K667" s="8">
        <f>IF(AND(Таблицаx_2[[#This Row],[Месяц окончания]]=Таблицаx_2[[#This Row],[Месяц]],Таблицаx_2[[#This Row],[id]]=A668,EDATE(Таблицаx_2[[#This Row],[Месяц]],2)=D668),F668,0)</f>
        <v>0</v>
      </c>
    </row>
    <row r="668" spans="1:11" ht="12.75" hidden="1" customHeight="1" x14ac:dyDescent="0.2">
      <c r="A668" s="8">
        <v>848</v>
      </c>
      <c r="B668" s="8" t="s">
        <v>45</v>
      </c>
      <c r="C668" s="8" t="s">
        <v>10</v>
      </c>
      <c r="D668" s="12">
        <v>45200</v>
      </c>
      <c r="E668" s="8">
        <v>95435</v>
      </c>
      <c r="F668" s="10">
        <f>IF(ISTEXT(Таблицаx_2[[#This Row],[Значение]]), 0, Таблицаx_2[[#This Row],[Значение]])</f>
        <v>95435</v>
      </c>
      <c r="G668" s="12">
        <v>45108</v>
      </c>
      <c r="H668" s="10" t="str">
        <f>IFERROR(VLOOKUP(Таблицаx_2[[#This Row],[id]],prolongations!A:C,2,)," ")</f>
        <v>июль 2023</v>
      </c>
      <c r="I668" s="10">
        <f>IF(Таблицаx_2[[#This Row],[Месяц окончания]]=Таблицаx_2[[#This Row],[Месяц]],Таблицаx_2[[#This Row],[Значения числа]],0)</f>
        <v>0</v>
      </c>
      <c r="J668" s="8">
        <f>IF(AND(Таблицаx_2[[#This Row],[Месяц окончания]]=Таблицаx_2[[#This Row],[Месяц]],Таблицаx_2[[#This Row],[id]]=A669,EDATE(Таблицаx_2[[#This Row],[Месяц]],1)=D669),F669,0)</f>
        <v>0</v>
      </c>
      <c r="K668" s="8">
        <f>IF(AND(Таблицаx_2[[#This Row],[Месяц окончания]]=Таблицаx_2[[#This Row],[Месяц]],Таблицаx_2[[#This Row],[id]]=A669,EDATE(Таблицаx_2[[#This Row],[Месяц]],2)=D669),F669,0)</f>
        <v>0</v>
      </c>
    </row>
    <row r="669" spans="1:11" ht="12.75" hidden="1" customHeight="1" x14ac:dyDescent="0.2">
      <c r="A669" s="8">
        <v>848</v>
      </c>
      <c r="B669" s="8" t="s">
        <v>45</v>
      </c>
      <c r="C669" s="8" t="s">
        <v>10</v>
      </c>
      <c r="D669" s="12">
        <v>45231</v>
      </c>
      <c r="E669" s="8">
        <v>99075</v>
      </c>
      <c r="F669" s="10">
        <f>IF(ISTEXT(Таблицаx_2[[#This Row],[Значение]]), 0, Таблицаx_2[[#This Row],[Значение]])</f>
        <v>99075</v>
      </c>
      <c r="G669" s="12">
        <v>45108</v>
      </c>
      <c r="H669" s="10" t="str">
        <f>IFERROR(VLOOKUP(Таблицаx_2[[#This Row],[id]],prolongations!A:C,2,)," ")</f>
        <v>июль 2023</v>
      </c>
      <c r="I669" s="10">
        <f>IF(Таблицаx_2[[#This Row],[Месяц окончания]]=Таблицаx_2[[#This Row],[Месяц]],Таблицаx_2[[#This Row],[Значения числа]],0)</f>
        <v>0</v>
      </c>
      <c r="J669" s="8">
        <f>IF(AND(Таблицаx_2[[#This Row],[Месяц окончания]]=Таблицаx_2[[#This Row],[Месяц]],Таблицаx_2[[#This Row],[id]]=A670,EDATE(Таблицаx_2[[#This Row],[Месяц]],1)=D670),F670,0)</f>
        <v>0</v>
      </c>
      <c r="K669" s="8">
        <f>IF(AND(Таблицаx_2[[#This Row],[Месяц окончания]]=Таблицаx_2[[#This Row],[Месяц]],Таблицаx_2[[#This Row],[id]]=A670,EDATE(Таблицаx_2[[#This Row],[Месяц]],2)=D670),F670,0)</f>
        <v>0</v>
      </c>
    </row>
    <row r="670" spans="1:11" ht="12.75" hidden="1" customHeight="1" x14ac:dyDescent="0.2">
      <c r="A670" s="8">
        <v>848</v>
      </c>
      <c r="B670" s="8" t="s">
        <v>45</v>
      </c>
      <c r="C670" s="8" t="s">
        <v>10</v>
      </c>
      <c r="D670" s="12">
        <v>45261</v>
      </c>
      <c r="E670" s="8">
        <v>100765</v>
      </c>
      <c r="F670" s="10">
        <f>IF(ISTEXT(Таблицаx_2[[#This Row],[Значение]]), 0, Таблицаx_2[[#This Row],[Значение]])</f>
        <v>100765</v>
      </c>
      <c r="G670" s="12">
        <v>45108</v>
      </c>
      <c r="H670" s="10" t="str">
        <f>IFERROR(VLOOKUP(Таблицаx_2[[#This Row],[id]],prolongations!A:C,2,)," ")</f>
        <v>июль 2023</v>
      </c>
      <c r="I670" s="10">
        <f>IF(Таблицаx_2[[#This Row],[Месяц окончания]]=Таблицаx_2[[#This Row],[Месяц]],Таблицаx_2[[#This Row],[Значения числа]],0)</f>
        <v>0</v>
      </c>
      <c r="J670" s="8">
        <f>IF(AND(Таблицаx_2[[#This Row],[Месяц окончания]]=Таблицаx_2[[#This Row],[Месяц]],Таблицаx_2[[#This Row],[id]]=A671,EDATE(Таблицаx_2[[#This Row],[Месяц]],1)=D671),F671,0)</f>
        <v>0</v>
      </c>
      <c r="K670" s="8">
        <f>IF(AND(Таблицаx_2[[#This Row],[Месяц окончания]]=Таблицаx_2[[#This Row],[Месяц]],Таблицаx_2[[#This Row],[id]]=A671,EDATE(Таблицаx_2[[#This Row],[Месяц]],2)=D671),F671,0)</f>
        <v>0</v>
      </c>
    </row>
    <row r="671" spans="1:11" ht="12.75" hidden="1" customHeight="1" x14ac:dyDescent="0.2">
      <c r="A671" s="8">
        <v>848</v>
      </c>
      <c r="B671" s="8" t="s">
        <v>47</v>
      </c>
      <c r="C671" s="8" t="s">
        <v>10</v>
      </c>
      <c r="D671" s="12">
        <v>45170</v>
      </c>
      <c r="E671" s="8">
        <v>1000</v>
      </c>
      <c r="F671" s="10">
        <f>IF(ISTEXT(Таблицаx_2[[#This Row],[Значение]]), 0, Таблицаx_2[[#This Row],[Значение]])</f>
        <v>1000</v>
      </c>
      <c r="G671" s="12">
        <v>45108</v>
      </c>
      <c r="H671" s="10" t="str">
        <f>IFERROR(VLOOKUP(Таблицаx_2[[#This Row],[id]],prolongations!A:C,2,)," ")</f>
        <v>июль 2023</v>
      </c>
      <c r="I671" s="10">
        <f>IF(Таблицаx_2[[#This Row],[Месяц окончания]]=Таблицаx_2[[#This Row],[Месяц]],Таблицаx_2[[#This Row],[Значения числа]],0)</f>
        <v>0</v>
      </c>
      <c r="J671" s="8">
        <f>IF(AND(Таблицаx_2[[#This Row],[Месяц окончания]]=Таблицаx_2[[#This Row],[Месяц]],Таблицаx_2[[#This Row],[id]]=A672,EDATE(Таблицаx_2[[#This Row],[Месяц]],1)=D672),F672,0)</f>
        <v>0</v>
      </c>
      <c r="K671" s="8">
        <f>IF(AND(Таблицаx_2[[#This Row],[Месяц окончания]]=Таблицаx_2[[#This Row],[Месяц]],Таблицаx_2[[#This Row],[id]]=A672,EDATE(Таблицаx_2[[#This Row],[Месяц]],2)=D672),F672,0)</f>
        <v>0</v>
      </c>
    </row>
    <row r="672" spans="1:11" ht="12.75" hidden="1" customHeight="1" x14ac:dyDescent="0.2">
      <c r="A672" s="8">
        <v>848</v>
      </c>
      <c r="B672" s="8" t="s">
        <v>47</v>
      </c>
      <c r="C672" s="8" t="s">
        <v>10</v>
      </c>
      <c r="D672" s="12">
        <v>45200</v>
      </c>
      <c r="E672" s="8">
        <v>1000</v>
      </c>
      <c r="F672" s="10">
        <f>IF(ISTEXT(Таблицаx_2[[#This Row],[Значение]]), 0, Таблицаx_2[[#This Row],[Значение]])</f>
        <v>1000</v>
      </c>
      <c r="G672" s="12">
        <v>45108</v>
      </c>
      <c r="H672" s="10" t="str">
        <f>IFERROR(VLOOKUP(Таблицаx_2[[#This Row],[id]],prolongations!A:C,2,)," ")</f>
        <v>июль 2023</v>
      </c>
      <c r="I672" s="10">
        <f>IF(Таблицаx_2[[#This Row],[Месяц окончания]]=Таблицаx_2[[#This Row],[Месяц]],Таблицаx_2[[#This Row],[Значения числа]],0)</f>
        <v>0</v>
      </c>
      <c r="J672" s="8">
        <f>IF(AND(Таблицаx_2[[#This Row],[Месяц окончания]]=Таблицаx_2[[#This Row],[Месяц]],Таблицаx_2[[#This Row],[id]]=A673,EDATE(Таблицаx_2[[#This Row],[Месяц]],1)=D673),F673,0)</f>
        <v>0</v>
      </c>
      <c r="K672" s="8">
        <f>IF(AND(Таблицаx_2[[#This Row],[Месяц окончания]]=Таблицаx_2[[#This Row],[Месяц]],Таблицаx_2[[#This Row],[id]]=A673,EDATE(Таблицаx_2[[#This Row],[Месяц]],2)=D673),F673,0)</f>
        <v>0</v>
      </c>
    </row>
    <row r="673" spans="1:11" ht="12.75" hidden="1" customHeight="1" x14ac:dyDescent="0.2">
      <c r="A673" s="8">
        <v>848</v>
      </c>
      <c r="B673" s="8" t="s">
        <v>47</v>
      </c>
      <c r="C673" s="8" t="s">
        <v>10</v>
      </c>
      <c r="D673" s="12">
        <v>45231</v>
      </c>
      <c r="E673" s="8" t="s">
        <v>48</v>
      </c>
      <c r="F673" s="10">
        <f>IF(ISTEXT(Таблицаx_2[[#This Row],[Значение]]), 0, Таблицаx_2[[#This Row],[Значение]])</f>
        <v>0</v>
      </c>
      <c r="G673" s="12">
        <v>45108</v>
      </c>
      <c r="H673" s="10" t="str">
        <f>IFERROR(VLOOKUP(Таблицаx_2[[#This Row],[id]],prolongations!A:C,2,)," ")</f>
        <v>июль 2023</v>
      </c>
      <c r="I673" s="10">
        <f>IF(Таблицаx_2[[#This Row],[Месяц окончания]]=Таблицаx_2[[#This Row],[Месяц]],Таблицаx_2[[#This Row],[Значения числа]],0)</f>
        <v>0</v>
      </c>
      <c r="J673" s="8">
        <f>IF(AND(Таблицаx_2[[#This Row],[Месяц окончания]]=Таблицаx_2[[#This Row],[Месяц]],Таблицаx_2[[#This Row],[id]]=A674,EDATE(Таблицаx_2[[#This Row],[Месяц]],1)=D674),F674,0)</f>
        <v>0</v>
      </c>
      <c r="K673" s="8">
        <f>IF(AND(Таблицаx_2[[#This Row],[Месяц окончания]]=Таблицаx_2[[#This Row],[Месяц]],Таблицаx_2[[#This Row],[id]]=A674,EDATE(Таблицаx_2[[#This Row],[Месяц]],2)=D674),F674,0)</f>
        <v>0</v>
      </c>
    </row>
    <row r="674" spans="1:11" ht="12.75" hidden="1" customHeight="1" x14ac:dyDescent="0.2">
      <c r="A674" s="8">
        <v>848</v>
      </c>
      <c r="B674" s="8" t="s">
        <v>47</v>
      </c>
      <c r="C674" s="8" t="s">
        <v>10</v>
      </c>
      <c r="D674" s="12">
        <v>45261</v>
      </c>
      <c r="E674" s="8" t="s">
        <v>48</v>
      </c>
      <c r="F674" s="10">
        <f>IF(ISTEXT(Таблицаx_2[[#This Row],[Значение]]), 0, Таблицаx_2[[#This Row],[Значение]])</f>
        <v>0</v>
      </c>
      <c r="G674" s="12">
        <v>45108</v>
      </c>
      <c r="H674" s="10" t="str">
        <f>IFERROR(VLOOKUP(Таблицаx_2[[#This Row],[id]],prolongations!A:C,2,)," ")</f>
        <v>июль 2023</v>
      </c>
      <c r="I674" s="10">
        <f>IF(Таблицаx_2[[#This Row],[Месяц окончания]]=Таблицаx_2[[#This Row],[Месяц]],Таблицаx_2[[#This Row],[Значения числа]],0)</f>
        <v>0</v>
      </c>
      <c r="J674" s="8">
        <f>IF(AND(Таблицаx_2[[#This Row],[Месяц окончания]]=Таблицаx_2[[#This Row],[Месяц]],Таблицаx_2[[#This Row],[id]]=A675,EDATE(Таблицаx_2[[#This Row],[Месяц]],1)=D675),F675,0)</f>
        <v>0</v>
      </c>
      <c r="K674" s="8">
        <f>IF(AND(Таблицаx_2[[#This Row],[Месяц окончания]]=Таблицаx_2[[#This Row],[Месяц]],Таблицаx_2[[#This Row],[id]]=A675,EDATE(Таблицаx_2[[#This Row],[Месяц]],2)=D675),F675,0)</f>
        <v>0</v>
      </c>
    </row>
    <row r="675" spans="1:11" ht="12.75" hidden="1" customHeight="1" x14ac:dyDescent="0.2">
      <c r="A675" s="8">
        <v>337</v>
      </c>
      <c r="B675" s="8"/>
      <c r="C675" s="8" t="s">
        <v>8</v>
      </c>
      <c r="D675" s="12">
        <v>45017</v>
      </c>
      <c r="E675" s="8">
        <v>60450</v>
      </c>
      <c r="F675" s="10">
        <f>IF(ISTEXT(Таблицаx_2[[#This Row],[Значение]]), 0, Таблицаx_2[[#This Row],[Значение]])</f>
        <v>60450</v>
      </c>
      <c r="G675" s="12">
        <v>45078</v>
      </c>
      <c r="H675" s="10" t="str">
        <f>IFERROR(VLOOKUP(Таблицаx_2[[#This Row],[id]],prolongations!A:C,2,)," ")</f>
        <v>июнь 2023</v>
      </c>
      <c r="I675" s="10">
        <f>IF(Таблицаx_2[[#This Row],[Месяц окончания]]=Таблицаx_2[[#This Row],[Месяц]],Таблицаx_2[[#This Row],[Значения числа]],0)</f>
        <v>0</v>
      </c>
      <c r="J675" s="8">
        <f>IF(AND(Таблицаx_2[[#This Row],[Месяц окончания]]=Таблицаx_2[[#This Row],[Месяц]],Таблицаx_2[[#This Row],[id]]=A676,EDATE(Таблицаx_2[[#This Row],[Месяц]],1)=D676),F676,0)</f>
        <v>0</v>
      </c>
      <c r="K675" s="8">
        <f>IF(AND(Таблицаx_2[[#This Row],[Месяц окончания]]=Таблицаx_2[[#This Row],[Месяц]],Таблицаx_2[[#This Row],[id]]=A676,EDATE(Таблицаx_2[[#This Row],[Месяц]],2)=D676),F676,0)</f>
        <v>0</v>
      </c>
    </row>
    <row r="676" spans="1:11" ht="12.75" hidden="1" customHeight="1" x14ac:dyDescent="0.2">
      <c r="A676" s="8">
        <v>337</v>
      </c>
      <c r="B676" s="8"/>
      <c r="C676" s="8" t="s">
        <v>8</v>
      </c>
      <c r="D676" s="12">
        <v>45047</v>
      </c>
      <c r="E676" s="8">
        <v>47410</v>
      </c>
      <c r="F676" s="10">
        <f>IF(ISTEXT(Таблицаx_2[[#This Row],[Значение]]), 0, Таблицаx_2[[#This Row],[Значение]])</f>
        <v>47410</v>
      </c>
      <c r="G676" s="12">
        <v>45078</v>
      </c>
      <c r="H676" s="10" t="str">
        <f>IFERROR(VLOOKUP(Таблицаx_2[[#This Row],[id]],prolongations!A:C,2,)," ")</f>
        <v>июнь 2023</v>
      </c>
      <c r="I676" s="10">
        <f>IF(Таблицаx_2[[#This Row],[Месяц окончания]]=Таблицаx_2[[#This Row],[Месяц]],Таблицаx_2[[#This Row],[Значения числа]],0)</f>
        <v>0</v>
      </c>
      <c r="J676" s="8">
        <f>IF(AND(Таблицаx_2[[#This Row],[Месяц окончания]]=Таблицаx_2[[#This Row],[Месяц]],Таблицаx_2[[#This Row],[id]]=A677,EDATE(Таблицаx_2[[#This Row],[Месяц]],1)=D677),F677,0)</f>
        <v>0</v>
      </c>
      <c r="K676" s="8">
        <f>IF(AND(Таблицаx_2[[#This Row],[Месяц окончания]]=Таблицаx_2[[#This Row],[Месяц]],Таблицаx_2[[#This Row],[id]]=A677,EDATE(Таблицаx_2[[#This Row],[Месяц]],2)=D677),F677,0)</f>
        <v>0</v>
      </c>
    </row>
    <row r="677" spans="1:11" ht="12.75" hidden="1" customHeight="1" x14ac:dyDescent="0.2">
      <c r="A677" s="8">
        <v>337</v>
      </c>
      <c r="B677" s="8"/>
      <c r="C677" s="8" t="s">
        <v>8</v>
      </c>
      <c r="D677" s="12">
        <v>45078</v>
      </c>
      <c r="E677" s="8">
        <v>44165</v>
      </c>
      <c r="F677" s="10">
        <f>IF(ISTEXT(Таблицаx_2[[#This Row],[Значение]]), 0, Таблицаx_2[[#This Row],[Значение]])</f>
        <v>44165</v>
      </c>
      <c r="G677" s="12">
        <v>45078</v>
      </c>
      <c r="H677" s="10" t="str">
        <f>IFERROR(VLOOKUP(Таблицаx_2[[#This Row],[id]],prolongations!A:C,2,)," ")</f>
        <v>июнь 2023</v>
      </c>
      <c r="I677" s="10">
        <f>IF(Таблицаx_2[[#This Row],[Месяц окончания]]=Таблицаx_2[[#This Row],[Месяц]],Таблицаx_2[[#This Row],[Значения числа]],0)</f>
        <v>44165</v>
      </c>
      <c r="J677" s="8">
        <f>IF(AND(Таблицаx_2[[#This Row],[Месяц окончания]]=Таблицаx_2[[#This Row],[Месяц]],Таблицаx_2[[#This Row],[id]]=A678,EDATE(Таблицаx_2[[#This Row],[Месяц]],1)=D678),F678,0)</f>
        <v>30800</v>
      </c>
      <c r="K677" s="8">
        <f>IF(AND(Таблицаx_2[[#This Row],[Месяц окончания]]=Таблицаx_2[[#This Row],[Месяц]],Таблицаx_2[[#This Row],[id]]=A678,EDATE(Таблицаx_2[[#This Row],[Месяц]],2)=D678),F678,0)</f>
        <v>0</v>
      </c>
    </row>
    <row r="678" spans="1:11" ht="12.75" hidden="1" customHeight="1" x14ac:dyDescent="0.2">
      <c r="A678" s="8">
        <v>337</v>
      </c>
      <c r="B678" s="8"/>
      <c r="C678" s="8" t="s">
        <v>8</v>
      </c>
      <c r="D678" s="12">
        <v>45108</v>
      </c>
      <c r="E678" s="8">
        <v>30800</v>
      </c>
      <c r="F678" s="10">
        <f>IF(ISTEXT(Таблицаx_2[[#This Row],[Значение]]), 0, Таблицаx_2[[#This Row],[Значение]])</f>
        <v>30800</v>
      </c>
      <c r="G678" s="12">
        <v>45078</v>
      </c>
      <c r="H678" s="10" t="str">
        <f>IFERROR(VLOOKUP(Таблицаx_2[[#This Row],[id]],prolongations!A:C,2,)," ")</f>
        <v>июнь 2023</v>
      </c>
      <c r="I678" s="10">
        <f>IF(Таблицаx_2[[#This Row],[Месяц окончания]]=Таблицаx_2[[#This Row],[Месяц]],Таблицаx_2[[#This Row],[Значения числа]],0)</f>
        <v>0</v>
      </c>
      <c r="J678" s="8">
        <f>IF(AND(Таблицаx_2[[#This Row],[Месяц окончания]]=Таблицаx_2[[#This Row],[Месяц]],Таблицаx_2[[#This Row],[id]]=A679,EDATE(Таблицаx_2[[#This Row],[Месяц]],1)=D679),F679,0)</f>
        <v>0</v>
      </c>
      <c r="K678" s="8">
        <f>IF(AND(Таблицаx_2[[#This Row],[Месяц окончания]]=Таблицаx_2[[#This Row],[Месяц]],Таблицаx_2[[#This Row],[id]]=A679,EDATE(Таблицаx_2[[#This Row],[Месяц]],2)=D679),F679,0)</f>
        <v>0</v>
      </c>
    </row>
    <row r="679" spans="1:11" ht="12.75" hidden="1" customHeight="1" x14ac:dyDescent="0.2">
      <c r="A679" s="8">
        <v>337</v>
      </c>
      <c r="B679" s="8"/>
      <c r="C679" s="8" t="s">
        <v>8</v>
      </c>
      <c r="D679" s="12">
        <v>45139</v>
      </c>
      <c r="E679" s="8">
        <v>56975</v>
      </c>
      <c r="F679" s="10">
        <f>IF(ISTEXT(Таблицаx_2[[#This Row],[Значение]]), 0, Таблицаx_2[[#This Row],[Значение]])</f>
        <v>56975</v>
      </c>
      <c r="G679" s="12">
        <v>45078</v>
      </c>
      <c r="H679" s="10" t="str">
        <f>IFERROR(VLOOKUP(Таблицаx_2[[#This Row],[id]],prolongations!A:C,2,)," ")</f>
        <v>июнь 2023</v>
      </c>
      <c r="I679" s="10">
        <f>IF(Таблицаx_2[[#This Row],[Месяц окончания]]=Таблицаx_2[[#This Row],[Месяц]],Таблицаx_2[[#This Row],[Значения числа]],0)</f>
        <v>0</v>
      </c>
      <c r="J679" s="8">
        <f>IF(AND(Таблицаx_2[[#This Row],[Месяц окончания]]=Таблицаx_2[[#This Row],[Месяц]],Таблицаx_2[[#This Row],[id]]=A680,EDATE(Таблицаx_2[[#This Row],[Месяц]],1)=D680),F680,0)</f>
        <v>0</v>
      </c>
      <c r="K679" s="8">
        <f>IF(AND(Таблицаx_2[[#This Row],[Месяц окончания]]=Таблицаx_2[[#This Row],[Месяц]],Таблицаx_2[[#This Row],[id]]=A680,EDATE(Таблицаx_2[[#This Row],[Месяц]],2)=D680),F680,0)</f>
        <v>0</v>
      </c>
    </row>
    <row r="680" spans="1:11" ht="12.75" hidden="1" customHeight="1" x14ac:dyDescent="0.2">
      <c r="A680" s="8">
        <v>180</v>
      </c>
      <c r="B680" s="8" t="s">
        <v>52</v>
      </c>
      <c r="C680" s="8" t="s">
        <v>8</v>
      </c>
      <c r="D680" s="12">
        <v>44866</v>
      </c>
      <c r="E680" s="8">
        <v>99500</v>
      </c>
      <c r="F680" s="10">
        <f>IF(ISTEXT(Таблицаx_2[[#This Row],[Значение]]), 0, Таблицаx_2[[#This Row],[Значение]])</f>
        <v>99500</v>
      </c>
      <c r="G680" s="12">
        <v>44958</v>
      </c>
      <c r="H680" s="10" t="str">
        <f>IFERROR(VLOOKUP(Таблицаx_2[[#This Row],[id]],prolongations!A:C,2,)," ")</f>
        <v>февраль 2023</v>
      </c>
      <c r="I680" s="10">
        <f>IF(Таблицаx_2[[#This Row],[Месяц окончания]]=Таблицаx_2[[#This Row],[Месяц]],Таблицаx_2[[#This Row],[Значения числа]],0)</f>
        <v>0</v>
      </c>
      <c r="J680" s="8">
        <f>IF(AND(Таблицаx_2[[#This Row],[Месяц окончания]]=Таблицаx_2[[#This Row],[Месяц]],Таблицаx_2[[#This Row],[id]]=A681,EDATE(Таблицаx_2[[#This Row],[Месяц]],1)=D681),F681,0)</f>
        <v>0</v>
      </c>
      <c r="K680" s="8">
        <f>IF(AND(Таблицаx_2[[#This Row],[Месяц окончания]]=Таблицаx_2[[#This Row],[Месяц]],Таблицаx_2[[#This Row],[id]]=A681,EDATE(Таблицаx_2[[#This Row],[Месяц]],2)=D681),F681,0)</f>
        <v>0</v>
      </c>
    </row>
    <row r="681" spans="1:11" ht="12.75" hidden="1" customHeight="1" x14ac:dyDescent="0.2">
      <c r="A681" s="8">
        <v>180</v>
      </c>
      <c r="B681" s="8" t="s">
        <v>52</v>
      </c>
      <c r="C681" s="8" t="s">
        <v>8</v>
      </c>
      <c r="D681" s="12">
        <v>44896</v>
      </c>
      <c r="E681" s="8">
        <v>97550</v>
      </c>
      <c r="F681" s="10">
        <f>IF(ISTEXT(Таблицаx_2[[#This Row],[Значение]]), 0, Таблицаx_2[[#This Row],[Значение]])</f>
        <v>97550</v>
      </c>
      <c r="G681" s="12">
        <v>44958</v>
      </c>
      <c r="H681" s="10" t="str">
        <f>IFERROR(VLOOKUP(Таблицаx_2[[#This Row],[id]],prolongations!A:C,2,)," ")</f>
        <v>февраль 2023</v>
      </c>
      <c r="I681" s="10">
        <f>IF(Таблицаx_2[[#This Row],[Месяц окончания]]=Таблицаx_2[[#This Row],[Месяц]],Таблицаx_2[[#This Row],[Значения числа]],0)</f>
        <v>0</v>
      </c>
      <c r="J681" s="8">
        <f>IF(AND(Таблицаx_2[[#This Row],[Месяц окончания]]=Таблицаx_2[[#This Row],[Месяц]],Таблицаx_2[[#This Row],[id]]=A682,EDATE(Таблицаx_2[[#This Row],[Месяц]],1)=D682),F682,0)</f>
        <v>0</v>
      </c>
      <c r="K681" s="8">
        <f>IF(AND(Таблицаx_2[[#This Row],[Месяц окончания]]=Таблицаx_2[[#This Row],[Месяц]],Таблицаx_2[[#This Row],[id]]=A682,EDATE(Таблицаx_2[[#This Row],[Месяц]],2)=D682),F682,0)</f>
        <v>0</v>
      </c>
    </row>
    <row r="682" spans="1:11" ht="12.75" hidden="1" customHeight="1" x14ac:dyDescent="0.2">
      <c r="A682" s="8">
        <v>180</v>
      </c>
      <c r="B682" s="8" t="s">
        <v>52</v>
      </c>
      <c r="C682" s="8" t="s">
        <v>8</v>
      </c>
      <c r="D682" s="12">
        <v>44927</v>
      </c>
      <c r="E682" s="8">
        <v>70950</v>
      </c>
      <c r="F682" s="10">
        <f>IF(ISTEXT(Таблицаx_2[[#This Row],[Значение]]), 0, Таблицаx_2[[#This Row],[Значение]])</f>
        <v>70950</v>
      </c>
      <c r="G682" s="12">
        <v>44958</v>
      </c>
      <c r="H682" s="10" t="str">
        <f>IFERROR(VLOOKUP(Таблицаx_2[[#This Row],[id]],prolongations!A:C,2,)," ")</f>
        <v>февраль 2023</v>
      </c>
      <c r="I682" s="10">
        <f>IF(Таблицаx_2[[#This Row],[Месяц окончания]]=Таблицаx_2[[#This Row],[Месяц]],Таблицаx_2[[#This Row],[Значения числа]],0)</f>
        <v>0</v>
      </c>
      <c r="J682" s="8">
        <f>IF(AND(Таблицаx_2[[#This Row],[Месяц окончания]]=Таблицаx_2[[#This Row],[Месяц]],Таблицаx_2[[#This Row],[id]]=A683,EDATE(Таблицаx_2[[#This Row],[Месяц]],1)=D683),F683,0)</f>
        <v>0</v>
      </c>
      <c r="K682" s="8">
        <f>IF(AND(Таблицаx_2[[#This Row],[Месяц окончания]]=Таблицаx_2[[#This Row],[Месяц]],Таблицаx_2[[#This Row],[id]]=A683,EDATE(Таблицаx_2[[#This Row],[Месяц]],2)=D683),F683,0)</f>
        <v>0</v>
      </c>
    </row>
    <row r="683" spans="1:11" ht="12.75" hidden="1" customHeight="1" x14ac:dyDescent="0.2">
      <c r="A683" s="8">
        <v>180</v>
      </c>
      <c r="B683" s="8" t="s">
        <v>52</v>
      </c>
      <c r="C683" s="8" t="s">
        <v>8</v>
      </c>
      <c r="D683" s="12">
        <v>44958</v>
      </c>
      <c r="E683" s="8" t="s">
        <v>46</v>
      </c>
      <c r="F683" s="10">
        <f>IF(ISTEXT(Таблицаx_2[[#This Row],[Значение]]), 0, Таблицаx_2[[#This Row],[Значение]])</f>
        <v>0</v>
      </c>
      <c r="G683" s="12">
        <v>44958</v>
      </c>
      <c r="H683" s="10" t="str">
        <f>IFERROR(VLOOKUP(Таблицаx_2[[#This Row],[id]],prolongations!A:C,2,)," ")</f>
        <v>февраль 2023</v>
      </c>
      <c r="I683" s="10">
        <f>IF(Таблицаx_2[[#This Row],[Месяц окончания]]=Таблицаx_2[[#This Row],[Месяц]],Таблицаx_2[[#This Row],[Значения числа]],0)</f>
        <v>0</v>
      </c>
      <c r="J683" s="8">
        <f>IF(AND(Таблицаx_2[[#This Row],[Месяц окончания]]=Таблицаx_2[[#This Row],[Месяц]],Таблицаx_2[[#This Row],[id]]=A684,EDATE(Таблицаx_2[[#This Row],[Месяц]],1)=D684),F684,0)</f>
        <v>0</v>
      </c>
      <c r="K683" s="8">
        <f>IF(AND(Таблицаx_2[[#This Row],[Месяц окончания]]=Таблицаx_2[[#This Row],[Месяц]],Таблицаx_2[[#This Row],[id]]=A684,EDATE(Таблицаx_2[[#This Row],[Месяц]],2)=D684),F684,0)</f>
        <v>0</v>
      </c>
    </row>
    <row r="684" spans="1:11" ht="12.75" hidden="1" customHeight="1" x14ac:dyDescent="0.2">
      <c r="A684" s="8">
        <v>180</v>
      </c>
      <c r="B684" s="8" t="s">
        <v>45</v>
      </c>
      <c r="C684" s="8" t="s">
        <v>8</v>
      </c>
      <c r="D684" s="12">
        <v>44958</v>
      </c>
      <c r="E684" s="8">
        <v>139625</v>
      </c>
      <c r="F684" s="10">
        <f>IF(ISTEXT(Таблицаx_2[[#This Row],[Значение]]), 0, Таблицаx_2[[#This Row],[Значение]])</f>
        <v>139625</v>
      </c>
      <c r="G684" s="12">
        <v>44958</v>
      </c>
      <c r="H684" s="10" t="str">
        <f>IFERROR(VLOOKUP(Таблицаx_2[[#This Row],[id]],prolongations!A:C,2,)," ")</f>
        <v>февраль 2023</v>
      </c>
      <c r="I684" s="10">
        <f>IF(Таблицаx_2[[#This Row],[Месяц окончания]]=Таблицаx_2[[#This Row],[Месяц]],Таблицаx_2[[#This Row],[Значения числа]],0)</f>
        <v>139625</v>
      </c>
      <c r="J684" s="8">
        <f>IF(AND(Таблицаx_2[[#This Row],[Месяц окончания]]=Таблицаx_2[[#This Row],[Месяц]],Таблицаx_2[[#This Row],[id]]=A685,EDATE(Таблицаx_2[[#This Row],[Месяц]],1)=D685),F685,0)</f>
        <v>139625</v>
      </c>
      <c r="K684" s="8">
        <f>IF(AND(Таблицаx_2[[#This Row],[Месяц окончания]]=Таблицаx_2[[#This Row],[Месяц]],Таблицаx_2[[#This Row],[id]]=A685,EDATE(Таблицаx_2[[#This Row],[Месяц]],2)=D685),F685,0)</f>
        <v>0</v>
      </c>
    </row>
    <row r="685" spans="1:11" ht="12.75" hidden="1" customHeight="1" x14ac:dyDescent="0.2">
      <c r="A685" s="8">
        <v>180</v>
      </c>
      <c r="B685" s="8" t="s">
        <v>45</v>
      </c>
      <c r="C685" s="8" t="s">
        <v>8</v>
      </c>
      <c r="D685" s="12">
        <v>44986</v>
      </c>
      <c r="E685" s="8">
        <v>139625</v>
      </c>
      <c r="F685" s="10">
        <f>IF(ISTEXT(Таблицаx_2[[#This Row],[Значение]]), 0, Таблицаx_2[[#This Row],[Значение]])</f>
        <v>139625</v>
      </c>
      <c r="G685" s="12">
        <v>44958</v>
      </c>
      <c r="H685" s="10" t="str">
        <f>IFERROR(VLOOKUP(Таблицаx_2[[#This Row],[id]],prolongations!A:C,2,)," ")</f>
        <v>февраль 2023</v>
      </c>
      <c r="I685" s="10">
        <f>IF(Таблицаx_2[[#This Row],[Месяц окончания]]=Таблицаx_2[[#This Row],[Месяц]],Таблицаx_2[[#This Row],[Значения числа]],0)</f>
        <v>0</v>
      </c>
      <c r="J685" s="8">
        <f>IF(AND(Таблицаx_2[[#This Row],[Месяц окончания]]=Таблицаx_2[[#This Row],[Месяц]],Таблицаx_2[[#This Row],[id]]=A686,EDATE(Таблицаx_2[[#This Row],[Месяц]],1)=D686),F686,0)</f>
        <v>0</v>
      </c>
      <c r="K685" s="8">
        <f>IF(AND(Таблицаx_2[[#This Row],[Месяц окончания]]=Таблицаx_2[[#This Row],[Месяц]],Таблицаx_2[[#This Row],[id]]=A686,EDATE(Таблицаx_2[[#This Row],[Месяц]],2)=D686),F686,0)</f>
        <v>0</v>
      </c>
    </row>
    <row r="686" spans="1:11" ht="12.75" hidden="1" customHeight="1" x14ac:dyDescent="0.2">
      <c r="A686" s="8">
        <v>180</v>
      </c>
      <c r="B686" s="8" t="s">
        <v>45</v>
      </c>
      <c r="C686" s="8" t="s">
        <v>8</v>
      </c>
      <c r="D686" s="12">
        <v>45017</v>
      </c>
      <c r="E686" s="8">
        <v>139625</v>
      </c>
      <c r="F686" s="10">
        <f>IF(ISTEXT(Таблицаx_2[[#This Row],[Значение]]), 0, Таблицаx_2[[#This Row],[Значение]])</f>
        <v>139625</v>
      </c>
      <c r="G686" s="12">
        <v>44958</v>
      </c>
      <c r="H686" s="10" t="str">
        <f>IFERROR(VLOOKUP(Таблицаx_2[[#This Row],[id]],prolongations!A:C,2,)," ")</f>
        <v>февраль 2023</v>
      </c>
      <c r="I686" s="10">
        <f>IF(Таблицаx_2[[#This Row],[Месяц окончания]]=Таблицаx_2[[#This Row],[Месяц]],Таблицаx_2[[#This Row],[Значения числа]],0)</f>
        <v>0</v>
      </c>
      <c r="J686" s="8">
        <f>IF(AND(Таблицаx_2[[#This Row],[Месяц окончания]]=Таблицаx_2[[#This Row],[Месяц]],Таблицаx_2[[#This Row],[id]]=A687,EDATE(Таблицаx_2[[#This Row],[Месяц]],1)=D687),F687,0)</f>
        <v>0</v>
      </c>
      <c r="K686" s="8">
        <f>IF(AND(Таблицаx_2[[#This Row],[Месяц окончания]]=Таблицаx_2[[#This Row],[Месяц]],Таблицаx_2[[#This Row],[id]]=A687,EDATE(Таблицаx_2[[#This Row],[Месяц]],2)=D687),F687,0)</f>
        <v>0</v>
      </c>
    </row>
    <row r="687" spans="1:11" ht="12.75" hidden="1" customHeight="1" x14ac:dyDescent="0.2">
      <c r="A687" s="8">
        <v>180</v>
      </c>
      <c r="B687" s="8" t="s">
        <v>45</v>
      </c>
      <c r="C687" s="8" t="s">
        <v>8</v>
      </c>
      <c r="D687" s="12">
        <v>45047</v>
      </c>
      <c r="E687" s="8">
        <v>139625</v>
      </c>
      <c r="F687" s="10">
        <f>IF(ISTEXT(Таблицаx_2[[#This Row],[Значение]]), 0, Таблицаx_2[[#This Row],[Значение]])</f>
        <v>139625</v>
      </c>
      <c r="G687" s="12">
        <v>44958</v>
      </c>
      <c r="H687" s="10" t="str">
        <f>IFERROR(VLOOKUP(Таблицаx_2[[#This Row],[id]],prolongations!A:C,2,)," ")</f>
        <v>февраль 2023</v>
      </c>
      <c r="I687" s="10">
        <f>IF(Таблицаx_2[[#This Row],[Месяц окончания]]=Таблицаx_2[[#This Row],[Месяц]],Таблицаx_2[[#This Row],[Значения числа]],0)</f>
        <v>0</v>
      </c>
      <c r="J687" s="8">
        <f>IF(AND(Таблицаx_2[[#This Row],[Месяц окончания]]=Таблицаx_2[[#This Row],[Месяц]],Таблицаx_2[[#This Row],[id]]=A688,EDATE(Таблицаx_2[[#This Row],[Месяц]],1)=D688),F688,0)</f>
        <v>0</v>
      </c>
      <c r="K687" s="8">
        <f>IF(AND(Таблицаx_2[[#This Row],[Месяц окончания]]=Таблицаx_2[[#This Row],[Месяц]],Таблицаx_2[[#This Row],[id]]=A688,EDATE(Таблицаx_2[[#This Row],[Месяц]],2)=D688),F688,0)</f>
        <v>0</v>
      </c>
    </row>
    <row r="688" spans="1:11" ht="12.75" hidden="1" customHeight="1" x14ac:dyDescent="0.2">
      <c r="A688" s="8">
        <v>180</v>
      </c>
      <c r="B688" s="8" t="s">
        <v>45</v>
      </c>
      <c r="C688" s="8" t="s">
        <v>8</v>
      </c>
      <c r="D688" s="12">
        <v>45078</v>
      </c>
      <c r="E688" s="8">
        <v>139625</v>
      </c>
      <c r="F688" s="10">
        <f>IF(ISTEXT(Таблицаx_2[[#This Row],[Значение]]), 0, Таблицаx_2[[#This Row],[Значение]])</f>
        <v>139625</v>
      </c>
      <c r="G688" s="12">
        <v>44958</v>
      </c>
      <c r="H688" s="10" t="str">
        <f>IFERROR(VLOOKUP(Таблицаx_2[[#This Row],[id]],prolongations!A:C,2,)," ")</f>
        <v>февраль 2023</v>
      </c>
      <c r="I688" s="10">
        <f>IF(Таблицаx_2[[#This Row],[Месяц окончания]]=Таблицаx_2[[#This Row],[Месяц]],Таблицаx_2[[#This Row],[Значения числа]],0)</f>
        <v>0</v>
      </c>
      <c r="J688" s="8">
        <f>IF(AND(Таблицаx_2[[#This Row],[Месяц окончания]]=Таблицаx_2[[#This Row],[Месяц]],Таблицаx_2[[#This Row],[id]]=A689,EDATE(Таблицаx_2[[#This Row],[Месяц]],1)=D689),F689,0)</f>
        <v>0</v>
      </c>
      <c r="K688" s="8">
        <f>IF(AND(Таблицаx_2[[#This Row],[Месяц окончания]]=Таблицаx_2[[#This Row],[Месяц]],Таблицаx_2[[#This Row],[id]]=A689,EDATE(Таблицаx_2[[#This Row],[Месяц]],2)=D689),F689,0)</f>
        <v>0</v>
      </c>
    </row>
    <row r="689" spans="1:11" ht="12.75" hidden="1" customHeight="1" x14ac:dyDescent="0.2">
      <c r="A689" s="8">
        <v>180</v>
      </c>
      <c r="B689" s="8" t="s">
        <v>45</v>
      </c>
      <c r="C689" s="8" t="s">
        <v>8</v>
      </c>
      <c r="D689" s="12">
        <v>45108</v>
      </c>
      <c r="E689" s="8">
        <v>139625</v>
      </c>
      <c r="F689" s="10">
        <f>IF(ISTEXT(Таблицаx_2[[#This Row],[Значение]]), 0, Таблицаx_2[[#This Row],[Значение]])</f>
        <v>139625</v>
      </c>
      <c r="G689" s="12">
        <v>44958</v>
      </c>
      <c r="H689" s="10" t="str">
        <f>IFERROR(VLOOKUP(Таблицаx_2[[#This Row],[id]],prolongations!A:C,2,)," ")</f>
        <v>февраль 2023</v>
      </c>
      <c r="I689" s="10">
        <f>IF(Таблицаx_2[[#This Row],[Месяц окончания]]=Таблицаx_2[[#This Row],[Месяц]],Таблицаx_2[[#This Row],[Значения числа]],0)</f>
        <v>0</v>
      </c>
      <c r="J689" s="8">
        <f>IF(AND(Таблицаx_2[[#This Row],[Месяц окончания]]=Таблицаx_2[[#This Row],[Месяц]],Таблицаx_2[[#This Row],[id]]=A690,EDATE(Таблицаx_2[[#This Row],[Месяц]],1)=D690),F690,0)</f>
        <v>0</v>
      </c>
      <c r="K689" s="8">
        <f>IF(AND(Таблицаx_2[[#This Row],[Месяц окончания]]=Таблицаx_2[[#This Row],[Месяц]],Таблицаx_2[[#This Row],[id]]=A690,EDATE(Таблицаx_2[[#This Row],[Месяц]],2)=D690),F690,0)</f>
        <v>0</v>
      </c>
    </row>
    <row r="690" spans="1:11" ht="12.75" hidden="1" customHeight="1" x14ac:dyDescent="0.2">
      <c r="A690" s="8">
        <v>180</v>
      </c>
      <c r="B690" s="8" t="s">
        <v>45</v>
      </c>
      <c r="C690" s="8" t="s">
        <v>8</v>
      </c>
      <c r="D690" s="12">
        <v>45139</v>
      </c>
      <c r="E690" s="8">
        <v>139625</v>
      </c>
      <c r="F690" s="10">
        <f>IF(ISTEXT(Таблицаx_2[[#This Row],[Значение]]), 0, Таблицаx_2[[#This Row],[Значение]])</f>
        <v>139625</v>
      </c>
      <c r="G690" s="12">
        <v>44958</v>
      </c>
      <c r="H690" s="10" t="str">
        <f>IFERROR(VLOOKUP(Таблицаx_2[[#This Row],[id]],prolongations!A:C,2,)," ")</f>
        <v>февраль 2023</v>
      </c>
      <c r="I690" s="10">
        <f>IF(Таблицаx_2[[#This Row],[Месяц окончания]]=Таблицаx_2[[#This Row],[Месяц]],Таблицаx_2[[#This Row],[Значения числа]],0)</f>
        <v>0</v>
      </c>
      <c r="J690" s="8">
        <f>IF(AND(Таблицаx_2[[#This Row],[Месяц окончания]]=Таблицаx_2[[#This Row],[Месяц]],Таблицаx_2[[#This Row],[id]]=A691,EDATE(Таблицаx_2[[#This Row],[Месяц]],1)=D691),F691,0)</f>
        <v>0</v>
      </c>
      <c r="K690" s="8">
        <f>IF(AND(Таблицаx_2[[#This Row],[Месяц окончания]]=Таблицаx_2[[#This Row],[Месяц]],Таблицаx_2[[#This Row],[id]]=A691,EDATE(Таблицаx_2[[#This Row],[Месяц]],2)=D691),F691,0)</f>
        <v>0</v>
      </c>
    </row>
    <row r="691" spans="1:11" ht="12.75" hidden="1" customHeight="1" x14ac:dyDescent="0.2">
      <c r="A691" s="8">
        <v>180</v>
      </c>
      <c r="B691" s="8" t="s">
        <v>45</v>
      </c>
      <c r="C691" s="8" t="s">
        <v>8</v>
      </c>
      <c r="D691" s="12">
        <v>45200</v>
      </c>
      <c r="E691" s="8">
        <v>163359</v>
      </c>
      <c r="F691" s="10">
        <f>IF(ISTEXT(Таблицаx_2[[#This Row],[Значение]]), 0, Таблицаx_2[[#This Row],[Значение]])</f>
        <v>163359</v>
      </c>
      <c r="G691" s="12">
        <v>44958</v>
      </c>
      <c r="H691" s="10" t="str">
        <f>IFERROR(VLOOKUP(Таблицаx_2[[#This Row],[id]],prolongations!A:C,2,)," ")</f>
        <v>февраль 2023</v>
      </c>
      <c r="I691" s="10">
        <f>IF(Таблицаx_2[[#This Row],[Месяц окончания]]=Таблицаx_2[[#This Row],[Месяц]],Таблицаx_2[[#This Row],[Значения числа]],0)</f>
        <v>0</v>
      </c>
      <c r="J691" s="8">
        <f>IF(AND(Таблицаx_2[[#This Row],[Месяц окончания]]=Таблицаx_2[[#This Row],[Месяц]],Таблицаx_2[[#This Row],[id]]=A692,EDATE(Таблицаx_2[[#This Row],[Месяц]],1)=D692),F692,0)</f>
        <v>0</v>
      </c>
      <c r="K691" s="8">
        <f>IF(AND(Таблицаx_2[[#This Row],[Месяц окончания]]=Таблицаx_2[[#This Row],[Месяц]],Таблицаx_2[[#This Row],[id]]=A692,EDATE(Таблицаx_2[[#This Row],[Месяц]],2)=D692),F692,0)</f>
        <v>0</v>
      </c>
    </row>
    <row r="692" spans="1:11" ht="12.75" hidden="1" customHeight="1" x14ac:dyDescent="0.2">
      <c r="A692" s="8">
        <v>180</v>
      </c>
      <c r="B692" s="8" t="s">
        <v>45</v>
      </c>
      <c r="C692" s="8" t="s">
        <v>8</v>
      </c>
      <c r="D692" s="12">
        <v>45231</v>
      </c>
      <c r="E692" s="8">
        <v>163359</v>
      </c>
      <c r="F692" s="10">
        <f>IF(ISTEXT(Таблицаx_2[[#This Row],[Значение]]), 0, Таблицаx_2[[#This Row],[Значение]])</f>
        <v>163359</v>
      </c>
      <c r="G692" s="12">
        <v>44958</v>
      </c>
      <c r="H692" s="10" t="str">
        <f>IFERROR(VLOOKUP(Таблицаx_2[[#This Row],[id]],prolongations!A:C,2,)," ")</f>
        <v>февраль 2023</v>
      </c>
      <c r="I692" s="10">
        <f>IF(Таблицаx_2[[#This Row],[Месяц окончания]]=Таблицаx_2[[#This Row],[Месяц]],Таблицаx_2[[#This Row],[Значения числа]],0)</f>
        <v>0</v>
      </c>
      <c r="J692" s="8">
        <f>IF(AND(Таблицаx_2[[#This Row],[Месяц окончания]]=Таблицаx_2[[#This Row],[Месяц]],Таблицаx_2[[#This Row],[id]]=A693,EDATE(Таблицаx_2[[#This Row],[Месяц]],1)=D693),F693,0)</f>
        <v>0</v>
      </c>
      <c r="K692" s="8">
        <f>IF(AND(Таблицаx_2[[#This Row],[Месяц окончания]]=Таблицаx_2[[#This Row],[Месяц]],Таблицаx_2[[#This Row],[id]]=A693,EDATE(Таблицаx_2[[#This Row],[Месяц]],2)=D693),F693,0)</f>
        <v>0</v>
      </c>
    </row>
    <row r="693" spans="1:11" ht="12.75" hidden="1" customHeight="1" x14ac:dyDescent="0.2">
      <c r="A693" s="8">
        <v>180</v>
      </c>
      <c r="B693" s="8" t="s">
        <v>45</v>
      </c>
      <c r="C693" s="8" t="s">
        <v>8</v>
      </c>
      <c r="D693" s="12">
        <v>45261</v>
      </c>
      <c r="E693" s="8">
        <v>163359</v>
      </c>
      <c r="F693" s="10">
        <f>IF(ISTEXT(Таблицаx_2[[#This Row],[Значение]]), 0, Таблицаx_2[[#This Row],[Значение]])</f>
        <v>163359</v>
      </c>
      <c r="G693" s="12">
        <v>44958</v>
      </c>
      <c r="H693" s="10" t="str">
        <f>IFERROR(VLOOKUP(Таблицаx_2[[#This Row],[id]],prolongations!A:C,2,)," ")</f>
        <v>февраль 2023</v>
      </c>
      <c r="I693" s="10">
        <f>IF(Таблицаx_2[[#This Row],[Месяц окончания]]=Таблицаx_2[[#This Row],[Месяц]],Таблицаx_2[[#This Row],[Значения числа]],0)</f>
        <v>0</v>
      </c>
      <c r="J693" s="8">
        <f>IF(AND(Таблицаx_2[[#This Row],[Месяц окончания]]=Таблицаx_2[[#This Row],[Месяц]],Таблицаx_2[[#This Row],[id]]=A694,EDATE(Таблицаx_2[[#This Row],[Месяц]],1)=D694),F694,0)</f>
        <v>0</v>
      </c>
      <c r="K693" s="8">
        <f>IF(AND(Таблицаx_2[[#This Row],[Месяц окончания]]=Таблицаx_2[[#This Row],[Месяц]],Таблицаx_2[[#This Row],[id]]=A694,EDATE(Таблицаx_2[[#This Row],[Месяц]],2)=D694),F694,0)</f>
        <v>0</v>
      </c>
    </row>
    <row r="694" spans="1:11" ht="12.75" hidden="1" customHeight="1" x14ac:dyDescent="0.2">
      <c r="A694" s="8">
        <v>180</v>
      </c>
      <c r="B694" s="8" t="s">
        <v>45</v>
      </c>
      <c r="C694" s="8" t="s">
        <v>8</v>
      </c>
      <c r="D694" s="12">
        <v>45292</v>
      </c>
      <c r="E694" s="8">
        <v>163359</v>
      </c>
      <c r="F694" s="10">
        <f>IF(ISTEXT(Таблицаx_2[[#This Row],[Значение]]), 0, Таблицаx_2[[#This Row],[Значение]])</f>
        <v>163359</v>
      </c>
      <c r="G694" s="12">
        <v>44958</v>
      </c>
      <c r="H694" s="10" t="str">
        <f>IFERROR(VLOOKUP(Таблицаx_2[[#This Row],[id]],prolongations!A:C,2,)," ")</f>
        <v>февраль 2023</v>
      </c>
      <c r="I694" s="10">
        <f>IF(Таблицаx_2[[#This Row],[Месяц окончания]]=Таблицаx_2[[#This Row],[Месяц]],Таблицаx_2[[#This Row],[Значения числа]],0)</f>
        <v>0</v>
      </c>
      <c r="J694" s="8">
        <f>IF(AND(Таблицаx_2[[#This Row],[Месяц окончания]]=Таблицаx_2[[#This Row],[Месяц]],Таблицаx_2[[#This Row],[id]]=A695,EDATE(Таблицаx_2[[#This Row],[Месяц]],1)=D695),F695,0)</f>
        <v>0</v>
      </c>
      <c r="K694" s="8">
        <f>IF(AND(Таблицаx_2[[#This Row],[Месяц окончания]]=Таблицаx_2[[#This Row],[Месяц]],Таблицаx_2[[#This Row],[id]]=A695,EDATE(Таблицаx_2[[#This Row],[Месяц]],2)=D695),F695,0)</f>
        <v>0</v>
      </c>
    </row>
    <row r="695" spans="1:11" ht="12.75" hidden="1" customHeight="1" x14ac:dyDescent="0.2">
      <c r="A695" s="8">
        <v>180</v>
      </c>
      <c r="B695" s="8" t="s">
        <v>45</v>
      </c>
      <c r="C695" s="8" t="s">
        <v>8</v>
      </c>
      <c r="D695" s="12">
        <v>45323</v>
      </c>
      <c r="E695" s="8" t="s">
        <v>46</v>
      </c>
      <c r="F695" s="10">
        <f>IF(ISTEXT(Таблицаx_2[[#This Row],[Значение]]), 0, Таблицаx_2[[#This Row],[Значение]])</f>
        <v>0</v>
      </c>
      <c r="G695" s="12">
        <v>44958</v>
      </c>
      <c r="H695" s="10" t="str">
        <f>IFERROR(VLOOKUP(Таблицаx_2[[#This Row],[id]],prolongations!A:C,2,)," ")</f>
        <v>февраль 2023</v>
      </c>
      <c r="I695" s="10">
        <f>IF(Таблицаx_2[[#This Row],[Месяц окончания]]=Таблицаx_2[[#This Row],[Месяц]],Таблицаx_2[[#This Row],[Значения числа]],0)</f>
        <v>0</v>
      </c>
      <c r="J695" s="8">
        <f>IF(AND(Таблицаx_2[[#This Row],[Месяц окончания]]=Таблицаx_2[[#This Row],[Месяц]],Таблицаx_2[[#This Row],[id]]=A696,EDATE(Таблицаx_2[[#This Row],[Месяц]],1)=D696),F696,0)</f>
        <v>0</v>
      </c>
      <c r="K695" s="8">
        <f>IF(AND(Таблицаx_2[[#This Row],[Месяц окончания]]=Таблицаx_2[[#This Row],[Месяц]],Таблицаx_2[[#This Row],[id]]=A696,EDATE(Таблицаx_2[[#This Row],[Месяц]],2)=D696),F696,0)</f>
        <v>0</v>
      </c>
    </row>
    <row r="696" spans="1:11" ht="12.75" hidden="1" customHeight="1" x14ac:dyDescent="0.2">
      <c r="A696" s="8">
        <v>180</v>
      </c>
      <c r="B696" s="8" t="s">
        <v>47</v>
      </c>
      <c r="C696" s="8" t="s">
        <v>8</v>
      </c>
      <c r="D696" s="12">
        <v>44958</v>
      </c>
      <c r="E696" s="8">
        <v>43255</v>
      </c>
      <c r="F696" s="10">
        <f>IF(ISTEXT(Таблицаx_2[[#This Row],[Значение]]), 0, Таблицаx_2[[#This Row],[Значение]])</f>
        <v>43255</v>
      </c>
      <c r="G696" s="12">
        <v>44958</v>
      </c>
      <c r="H696" s="10" t="str">
        <f>IFERROR(VLOOKUP(Таблицаx_2[[#This Row],[id]],prolongations!A:C,2,)," ")</f>
        <v>февраль 2023</v>
      </c>
      <c r="I696" s="10">
        <f>IF(Таблицаx_2[[#This Row],[Месяц окончания]]=Таблицаx_2[[#This Row],[Месяц]],Таблицаx_2[[#This Row],[Значения числа]],0)</f>
        <v>43255</v>
      </c>
      <c r="J696" s="8">
        <f>IF(AND(Таблицаx_2[[#This Row],[Месяц окончания]]=Таблицаx_2[[#This Row],[Месяц]],Таблицаx_2[[#This Row],[id]]=A697,EDATE(Таблицаx_2[[#This Row],[Месяц]],1)=D697),F697,0)</f>
        <v>23210</v>
      </c>
      <c r="K696" s="8">
        <f>IF(AND(Таблицаx_2[[#This Row],[Месяц окончания]]=Таблицаx_2[[#This Row],[Месяц]],Таблицаx_2[[#This Row],[id]]=A697,EDATE(Таблицаx_2[[#This Row],[Месяц]],2)=D697),F697,0)</f>
        <v>0</v>
      </c>
    </row>
    <row r="697" spans="1:11" ht="12.75" hidden="1" customHeight="1" x14ac:dyDescent="0.2">
      <c r="A697" s="8">
        <v>180</v>
      </c>
      <c r="B697" s="8" t="s">
        <v>47</v>
      </c>
      <c r="C697" s="8" t="s">
        <v>8</v>
      </c>
      <c r="D697" s="12">
        <v>44986</v>
      </c>
      <c r="E697" s="8">
        <v>23210</v>
      </c>
      <c r="F697" s="10">
        <f>IF(ISTEXT(Таблицаx_2[[#This Row],[Значение]]), 0, Таблицаx_2[[#This Row],[Значение]])</f>
        <v>23210</v>
      </c>
      <c r="G697" s="12">
        <v>44958</v>
      </c>
      <c r="H697" s="10" t="str">
        <f>IFERROR(VLOOKUP(Таблицаx_2[[#This Row],[id]],prolongations!A:C,2,)," ")</f>
        <v>февраль 2023</v>
      </c>
      <c r="I697" s="10">
        <f>IF(Таблицаx_2[[#This Row],[Месяц окончания]]=Таблицаx_2[[#This Row],[Месяц]],Таблицаx_2[[#This Row],[Значения числа]],0)</f>
        <v>0</v>
      </c>
      <c r="J697" s="8">
        <f>IF(AND(Таблицаx_2[[#This Row],[Месяц окончания]]=Таблицаx_2[[#This Row],[Месяц]],Таблицаx_2[[#This Row],[id]]=A698,EDATE(Таблицаx_2[[#This Row],[Месяц]],1)=D698),F698,0)</f>
        <v>0</v>
      </c>
      <c r="K697" s="8">
        <f>IF(AND(Таблицаx_2[[#This Row],[Месяц окончания]]=Таблицаx_2[[#This Row],[Месяц]],Таблицаx_2[[#This Row],[id]]=A698,EDATE(Таблицаx_2[[#This Row],[Месяц]],2)=D698),F698,0)</f>
        <v>0</v>
      </c>
    </row>
    <row r="698" spans="1:11" ht="12.75" hidden="1" customHeight="1" x14ac:dyDescent="0.2">
      <c r="A698" s="8">
        <v>180</v>
      </c>
      <c r="B698" s="8" t="s">
        <v>47</v>
      </c>
      <c r="C698" s="8" t="s">
        <v>8</v>
      </c>
      <c r="D698" s="12">
        <v>45017</v>
      </c>
      <c r="E698" s="8">
        <v>51695</v>
      </c>
      <c r="F698" s="10">
        <f>IF(ISTEXT(Таблицаx_2[[#This Row],[Значение]]), 0, Таблицаx_2[[#This Row],[Значение]])</f>
        <v>51695</v>
      </c>
      <c r="G698" s="12">
        <v>44958</v>
      </c>
      <c r="H698" s="10" t="str">
        <f>IFERROR(VLOOKUP(Таблицаx_2[[#This Row],[id]],prolongations!A:C,2,)," ")</f>
        <v>февраль 2023</v>
      </c>
      <c r="I698" s="10">
        <f>IF(Таблицаx_2[[#This Row],[Месяц окончания]]=Таблицаx_2[[#This Row],[Месяц]],Таблицаx_2[[#This Row],[Значения числа]],0)</f>
        <v>0</v>
      </c>
      <c r="J698" s="8">
        <f>IF(AND(Таблицаx_2[[#This Row],[Месяц окончания]]=Таблицаx_2[[#This Row],[Месяц]],Таблицаx_2[[#This Row],[id]]=A699,EDATE(Таблицаx_2[[#This Row],[Месяц]],1)=D699),F699,0)</f>
        <v>0</v>
      </c>
      <c r="K698" s="8">
        <f>IF(AND(Таблицаx_2[[#This Row],[Месяц окончания]]=Таблицаx_2[[#This Row],[Месяц]],Таблицаx_2[[#This Row],[id]]=A699,EDATE(Таблицаx_2[[#This Row],[Месяц]],2)=D699),F699,0)</f>
        <v>0</v>
      </c>
    </row>
    <row r="699" spans="1:11" ht="12.75" hidden="1" customHeight="1" x14ac:dyDescent="0.2">
      <c r="A699" s="8">
        <v>180</v>
      </c>
      <c r="B699" s="8" t="s">
        <v>47</v>
      </c>
      <c r="C699" s="8" t="s">
        <v>8</v>
      </c>
      <c r="D699" s="12">
        <v>45047</v>
      </c>
      <c r="E699" s="8">
        <v>59080</v>
      </c>
      <c r="F699" s="10">
        <f>IF(ISTEXT(Таблицаx_2[[#This Row],[Значение]]), 0, Таблицаx_2[[#This Row],[Значение]])</f>
        <v>59080</v>
      </c>
      <c r="G699" s="12">
        <v>44958</v>
      </c>
      <c r="H699" s="10" t="str">
        <f>IFERROR(VLOOKUP(Таблицаx_2[[#This Row],[id]],prolongations!A:C,2,)," ")</f>
        <v>февраль 2023</v>
      </c>
      <c r="I699" s="10">
        <f>IF(Таблицаx_2[[#This Row],[Месяц окончания]]=Таблицаx_2[[#This Row],[Месяц]],Таблицаx_2[[#This Row],[Значения числа]],0)</f>
        <v>0</v>
      </c>
      <c r="J699" s="8">
        <f>IF(AND(Таблицаx_2[[#This Row],[Месяц окончания]]=Таблицаx_2[[#This Row],[Месяц]],Таблицаx_2[[#This Row],[id]]=A700,EDATE(Таблицаx_2[[#This Row],[Месяц]],1)=D700),F700,0)</f>
        <v>0</v>
      </c>
      <c r="K699" s="8">
        <f>IF(AND(Таблицаx_2[[#This Row],[Месяц окончания]]=Таблицаx_2[[#This Row],[Месяц]],Таблицаx_2[[#This Row],[id]]=A700,EDATE(Таблицаx_2[[#This Row],[Месяц]],2)=D700),F700,0)</f>
        <v>0</v>
      </c>
    </row>
    <row r="700" spans="1:11" ht="12.75" hidden="1" customHeight="1" x14ac:dyDescent="0.2">
      <c r="A700" s="8">
        <v>180</v>
      </c>
      <c r="B700" s="8" t="s">
        <v>47</v>
      </c>
      <c r="C700" s="8" t="s">
        <v>8</v>
      </c>
      <c r="D700" s="12">
        <v>45078</v>
      </c>
      <c r="E700" s="8">
        <v>55915</v>
      </c>
      <c r="F700" s="10">
        <f>IF(ISTEXT(Таблицаx_2[[#This Row],[Значение]]), 0, Таблицаx_2[[#This Row],[Значение]])</f>
        <v>55915</v>
      </c>
      <c r="G700" s="12">
        <v>44958</v>
      </c>
      <c r="H700" s="10" t="str">
        <f>IFERROR(VLOOKUP(Таблицаx_2[[#This Row],[id]],prolongations!A:C,2,)," ")</f>
        <v>февраль 2023</v>
      </c>
      <c r="I700" s="10">
        <f>IF(Таблицаx_2[[#This Row],[Месяц окончания]]=Таблицаx_2[[#This Row],[Месяц]],Таблицаx_2[[#This Row],[Значения числа]],0)</f>
        <v>0</v>
      </c>
      <c r="J700" s="8">
        <f>IF(AND(Таблицаx_2[[#This Row],[Месяц окончания]]=Таблицаx_2[[#This Row],[Месяц]],Таблицаx_2[[#This Row],[id]]=A701,EDATE(Таблицаx_2[[#This Row],[Месяц]],1)=D701),F701,0)</f>
        <v>0</v>
      </c>
      <c r="K700" s="8">
        <f>IF(AND(Таблицаx_2[[#This Row],[Месяц окончания]]=Таблицаx_2[[#This Row],[Месяц]],Таблицаx_2[[#This Row],[id]]=A701,EDATE(Таблицаx_2[[#This Row],[Месяц]],2)=D701),F701,0)</f>
        <v>0</v>
      </c>
    </row>
    <row r="701" spans="1:11" ht="12.75" hidden="1" customHeight="1" x14ac:dyDescent="0.2">
      <c r="A701" s="8">
        <v>180</v>
      </c>
      <c r="B701" s="8" t="s">
        <v>47</v>
      </c>
      <c r="C701" s="8" t="s">
        <v>8</v>
      </c>
      <c r="D701" s="12">
        <v>45108</v>
      </c>
      <c r="E701" s="8">
        <v>30595</v>
      </c>
      <c r="F701" s="10">
        <f>IF(ISTEXT(Таблицаx_2[[#This Row],[Значение]]), 0, Таблицаx_2[[#This Row],[Значение]])</f>
        <v>30595</v>
      </c>
      <c r="G701" s="12">
        <v>44958</v>
      </c>
      <c r="H701" s="10" t="str">
        <f>IFERROR(VLOOKUP(Таблицаx_2[[#This Row],[id]],prolongations!A:C,2,)," ")</f>
        <v>февраль 2023</v>
      </c>
      <c r="I701" s="10">
        <f>IF(Таблицаx_2[[#This Row],[Месяц окончания]]=Таблицаx_2[[#This Row],[Месяц]],Таблицаx_2[[#This Row],[Значения числа]],0)</f>
        <v>0</v>
      </c>
      <c r="J701" s="8">
        <f>IF(AND(Таблицаx_2[[#This Row],[Месяц окончания]]=Таблицаx_2[[#This Row],[Месяц]],Таблицаx_2[[#This Row],[id]]=A702,EDATE(Таблицаx_2[[#This Row],[Месяц]],1)=D702),F702,0)</f>
        <v>0</v>
      </c>
      <c r="K701" s="8">
        <f>IF(AND(Таблицаx_2[[#This Row],[Месяц окончания]]=Таблицаx_2[[#This Row],[Месяц]],Таблицаx_2[[#This Row],[id]]=A702,EDATE(Таблицаx_2[[#This Row],[Месяц]],2)=D702),F702,0)</f>
        <v>0</v>
      </c>
    </row>
    <row r="702" spans="1:11" ht="12.75" hidden="1" customHeight="1" x14ac:dyDescent="0.2">
      <c r="A702" s="8">
        <v>180</v>
      </c>
      <c r="B702" s="8" t="s">
        <v>47</v>
      </c>
      <c r="C702" s="8" t="s">
        <v>8</v>
      </c>
      <c r="D702" s="12">
        <v>45139</v>
      </c>
      <c r="E702" s="8">
        <v>52750</v>
      </c>
      <c r="F702" s="10">
        <f>IF(ISTEXT(Таблицаx_2[[#This Row],[Значение]]), 0, Таблицаx_2[[#This Row],[Значение]])</f>
        <v>52750</v>
      </c>
      <c r="G702" s="12">
        <v>44958</v>
      </c>
      <c r="H702" s="10" t="str">
        <f>IFERROR(VLOOKUP(Таблицаx_2[[#This Row],[id]],prolongations!A:C,2,)," ")</f>
        <v>февраль 2023</v>
      </c>
      <c r="I702" s="10">
        <f>IF(Таблицаx_2[[#This Row],[Месяц окончания]]=Таблицаx_2[[#This Row],[Месяц]],Таблицаx_2[[#This Row],[Значения числа]],0)</f>
        <v>0</v>
      </c>
      <c r="J702" s="8">
        <f>IF(AND(Таблицаx_2[[#This Row],[Месяц окончания]]=Таблицаx_2[[#This Row],[Месяц]],Таблицаx_2[[#This Row],[id]]=A703,EDATE(Таблицаx_2[[#This Row],[Месяц]],1)=D703),F703,0)</f>
        <v>0</v>
      </c>
      <c r="K702" s="8">
        <f>IF(AND(Таблицаx_2[[#This Row],[Месяц окончания]]=Таблицаx_2[[#This Row],[Месяц]],Таблицаx_2[[#This Row],[id]]=A703,EDATE(Таблицаx_2[[#This Row],[Месяц]],2)=D703),F703,0)</f>
        <v>0</v>
      </c>
    </row>
    <row r="703" spans="1:11" ht="12.75" hidden="1" customHeight="1" x14ac:dyDescent="0.2">
      <c r="A703" s="8">
        <v>854</v>
      </c>
      <c r="B703" s="8"/>
      <c r="C703" s="8" t="s">
        <v>6</v>
      </c>
      <c r="D703" s="12">
        <v>45078</v>
      </c>
      <c r="E703" s="8">
        <v>38120</v>
      </c>
      <c r="F703" s="10">
        <f>IF(ISTEXT(Таблицаx_2[[#This Row],[Значение]]), 0, Таблицаx_2[[#This Row],[Значение]])</f>
        <v>38120</v>
      </c>
      <c r="G703" s="12">
        <v>45139</v>
      </c>
      <c r="H703" s="10" t="str">
        <f>IFERROR(VLOOKUP(Таблицаx_2[[#This Row],[id]],prolongations!A:C,2,)," ")</f>
        <v>август 2023</v>
      </c>
      <c r="I703" s="10">
        <f>IF(Таблицаx_2[[#This Row],[Месяц окончания]]=Таблицаx_2[[#This Row],[Месяц]],Таблицаx_2[[#This Row],[Значения числа]],0)</f>
        <v>0</v>
      </c>
      <c r="J703" s="8">
        <f>IF(AND(Таблицаx_2[[#This Row],[Месяц окончания]]=Таблицаx_2[[#This Row],[Месяц]],Таблицаx_2[[#This Row],[id]]=A704,EDATE(Таблицаx_2[[#This Row],[Месяц]],1)=D704),F704,0)</f>
        <v>0</v>
      </c>
      <c r="K703" s="8">
        <f>IF(AND(Таблицаx_2[[#This Row],[Месяц окончания]]=Таблицаx_2[[#This Row],[Месяц]],Таблицаx_2[[#This Row],[id]]=A704,EDATE(Таблицаx_2[[#This Row],[Месяц]],2)=D704),F704,0)</f>
        <v>0</v>
      </c>
    </row>
    <row r="704" spans="1:11" ht="12.75" hidden="1" customHeight="1" x14ac:dyDescent="0.2">
      <c r="A704" s="8">
        <v>854</v>
      </c>
      <c r="B704" s="8"/>
      <c r="C704" s="8" t="s">
        <v>6</v>
      </c>
      <c r="D704" s="12">
        <v>45108</v>
      </c>
      <c r="E704" s="8">
        <v>57318.46</v>
      </c>
      <c r="F704" s="10">
        <f>IF(ISTEXT(Таблицаx_2[[#This Row],[Значение]]), 0, Таблицаx_2[[#This Row],[Значение]])</f>
        <v>57318.46</v>
      </c>
      <c r="G704" s="12">
        <v>45139</v>
      </c>
      <c r="H704" s="10" t="str">
        <f>IFERROR(VLOOKUP(Таблицаx_2[[#This Row],[id]],prolongations!A:C,2,)," ")</f>
        <v>август 2023</v>
      </c>
      <c r="I704" s="10">
        <f>IF(Таблицаx_2[[#This Row],[Месяц окончания]]=Таблицаx_2[[#This Row],[Месяц]],Таблицаx_2[[#This Row],[Значения числа]],0)</f>
        <v>0</v>
      </c>
      <c r="J704" s="8">
        <f>IF(AND(Таблицаx_2[[#This Row],[Месяц окончания]]=Таблицаx_2[[#This Row],[Месяц]],Таблицаx_2[[#This Row],[id]]=A705,EDATE(Таблицаx_2[[#This Row],[Месяц]],1)=D705),F705,0)</f>
        <v>0</v>
      </c>
      <c r="K704" s="8">
        <f>IF(AND(Таблицаx_2[[#This Row],[Месяц окончания]]=Таблицаx_2[[#This Row],[Месяц]],Таблицаx_2[[#This Row],[id]]=A705,EDATE(Таблицаx_2[[#This Row],[Месяц]],2)=D705),F705,0)</f>
        <v>0</v>
      </c>
    </row>
    <row r="705" spans="1:11" ht="12.75" hidden="1" customHeight="1" x14ac:dyDescent="0.2">
      <c r="A705" s="8">
        <v>854</v>
      </c>
      <c r="B705" s="8"/>
      <c r="C705" s="8" t="s">
        <v>6</v>
      </c>
      <c r="D705" s="12">
        <v>45139</v>
      </c>
      <c r="E705" s="8">
        <v>67331.37</v>
      </c>
      <c r="F705" s="10">
        <f>IF(ISTEXT(Таблицаx_2[[#This Row],[Значение]]), 0, Таблицаx_2[[#This Row],[Значение]])</f>
        <v>67331.37</v>
      </c>
      <c r="G705" s="12">
        <v>45139</v>
      </c>
      <c r="H705" s="10" t="str">
        <f>IFERROR(VLOOKUP(Таблицаx_2[[#This Row],[id]],prolongations!A:C,2,)," ")</f>
        <v>август 2023</v>
      </c>
      <c r="I705" s="10">
        <f>IF(Таблицаx_2[[#This Row],[Месяц окончания]]=Таблицаx_2[[#This Row],[Месяц]],Таблицаx_2[[#This Row],[Значения числа]],0)</f>
        <v>67331.37</v>
      </c>
      <c r="J705" s="8">
        <f>IF(AND(Таблицаx_2[[#This Row],[Месяц окончания]]=Таблицаx_2[[#This Row],[Месяц]],Таблицаx_2[[#This Row],[id]]=A706,EDATE(Таблицаx_2[[#This Row],[Месяц]],1)=D706),F706,0)</f>
        <v>0</v>
      </c>
      <c r="K705" s="8">
        <f>IF(AND(Таблицаx_2[[#This Row],[Месяц окончания]]=Таблицаx_2[[#This Row],[Месяц]],Таблицаx_2[[#This Row],[id]]=A706,EDATE(Таблицаx_2[[#This Row],[Месяц]],2)=D706),F706,0)</f>
        <v>0</v>
      </c>
    </row>
    <row r="706" spans="1:11" ht="12.75" hidden="1" customHeight="1" x14ac:dyDescent="0.2">
      <c r="A706" s="8">
        <v>803</v>
      </c>
      <c r="B706" s="8" t="s">
        <v>45</v>
      </c>
      <c r="C706" s="8" t="s">
        <v>10</v>
      </c>
      <c r="D706" s="12">
        <v>45047</v>
      </c>
      <c r="E706" s="8">
        <v>86401</v>
      </c>
      <c r="F706" s="10">
        <f>IF(ISTEXT(Таблицаx_2[[#This Row],[Значение]]), 0, Таблицаx_2[[#This Row],[Значение]])</f>
        <v>86401</v>
      </c>
      <c r="G706" s="12">
        <v>45139</v>
      </c>
      <c r="H706" s="10" t="str">
        <f>IFERROR(VLOOKUP(Таблицаx_2[[#This Row],[id]],prolongations!A:C,2,)," ")</f>
        <v>август 2023</v>
      </c>
      <c r="I706" s="10">
        <f>IF(Таблицаx_2[[#This Row],[Месяц окончания]]=Таблицаx_2[[#This Row],[Месяц]],Таблицаx_2[[#This Row],[Значения числа]],0)</f>
        <v>0</v>
      </c>
      <c r="J706" s="8">
        <f>IF(AND(Таблицаx_2[[#This Row],[Месяц окончания]]=Таблицаx_2[[#This Row],[Месяц]],Таблицаx_2[[#This Row],[id]]=A707,EDATE(Таблицаx_2[[#This Row],[Месяц]],1)=D707),F707,0)</f>
        <v>0</v>
      </c>
      <c r="K706" s="8">
        <f>IF(AND(Таблицаx_2[[#This Row],[Месяц окончания]]=Таблицаx_2[[#This Row],[Месяц]],Таблицаx_2[[#This Row],[id]]=A707,EDATE(Таблицаx_2[[#This Row],[Месяц]],2)=D707),F707,0)</f>
        <v>0</v>
      </c>
    </row>
    <row r="707" spans="1:11" ht="12.75" hidden="1" customHeight="1" x14ac:dyDescent="0.2">
      <c r="A707" s="8">
        <v>803</v>
      </c>
      <c r="B707" s="8" t="s">
        <v>45</v>
      </c>
      <c r="C707" s="8" t="s">
        <v>10</v>
      </c>
      <c r="D707" s="12">
        <v>45078</v>
      </c>
      <c r="E707" s="8">
        <v>85351</v>
      </c>
      <c r="F707" s="10">
        <f>IF(ISTEXT(Таблицаx_2[[#This Row],[Значение]]), 0, Таблицаx_2[[#This Row],[Значение]])</f>
        <v>85351</v>
      </c>
      <c r="G707" s="12">
        <v>45139</v>
      </c>
      <c r="H707" s="10" t="str">
        <f>IFERROR(VLOOKUP(Таблицаx_2[[#This Row],[id]],prolongations!A:C,2,)," ")</f>
        <v>август 2023</v>
      </c>
      <c r="I707" s="10">
        <f>IF(Таблицаx_2[[#This Row],[Месяц окончания]]=Таблицаx_2[[#This Row],[Месяц]],Таблицаx_2[[#This Row],[Значения числа]],0)</f>
        <v>0</v>
      </c>
      <c r="J707" s="8">
        <f>IF(AND(Таблицаx_2[[#This Row],[Месяц окончания]]=Таблицаx_2[[#This Row],[Месяц]],Таблицаx_2[[#This Row],[id]]=A708,EDATE(Таблицаx_2[[#This Row],[Месяц]],1)=D708),F708,0)</f>
        <v>0</v>
      </c>
      <c r="K707" s="8">
        <f>IF(AND(Таблицаx_2[[#This Row],[Месяц окончания]]=Таблицаx_2[[#This Row],[Месяц]],Таблицаx_2[[#This Row],[id]]=A708,EDATE(Таблицаx_2[[#This Row],[Месяц]],2)=D708),F708,0)</f>
        <v>0</v>
      </c>
    </row>
    <row r="708" spans="1:11" ht="12.75" hidden="1" customHeight="1" x14ac:dyDescent="0.2">
      <c r="A708" s="8">
        <v>803</v>
      </c>
      <c r="B708" s="8" t="s">
        <v>45</v>
      </c>
      <c r="C708" s="8" t="s">
        <v>10</v>
      </c>
      <c r="D708" s="12">
        <v>45108</v>
      </c>
      <c r="E708" s="8">
        <v>85351</v>
      </c>
      <c r="F708" s="10">
        <f>IF(ISTEXT(Таблицаx_2[[#This Row],[Значение]]), 0, Таблицаx_2[[#This Row],[Значение]])</f>
        <v>85351</v>
      </c>
      <c r="G708" s="12">
        <v>45139</v>
      </c>
      <c r="H708" s="10" t="str">
        <f>IFERROR(VLOOKUP(Таблицаx_2[[#This Row],[id]],prolongations!A:C,2,)," ")</f>
        <v>август 2023</v>
      </c>
      <c r="I708" s="10">
        <f>IF(Таблицаx_2[[#This Row],[Месяц окончания]]=Таблицаx_2[[#This Row],[Месяц]],Таблицаx_2[[#This Row],[Значения числа]],0)</f>
        <v>0</v>
      </c>
      <c r="J708" s="8">
        <f>IF(AND(Таблицаx_2[[#This Row],[Месяц окончания]]=Таблицаx_2[[#This Row],[Месяц]],Таблицаx_2[[#This Row],[id]]=A709,EDATE(Таблицаx_2[[#This Row],[Месяц]],1)=D709),F709,0)</f>
        <v>0</v>
      </c>
      <c r="K708" s="8">
        <f>IF(AND(Таблицаx_2[[#This Row],[Месяц окончания]]=Таблицаx_2[[#This Row],[Месяц]],Таблицаx_2[[#This Row],[id]]=A709,EDATE(Таблицаx_2[[#This Row],[Месяц]],2)=D709),F709,0)</f>
        <v>0</v>
      </c>
    </row>
    <row r="709" spans="1:11" ht="12.75" hidden="1" customHeight="1" x14ac:dyDescent="0.2">
      <c r="A709" s="8">
        <v>803</v>
      </c>
      <c r="B709" s="8" t="s">
        <v>45</v>
      </c>
      <c r="C709" s="8" t="s">
        <v>10</v>
      </c>
      <c r="D709" s="12">
        <v>45139</v>
      </c>
      <c r="E709" s="8">
        <v>85351</v>
      </c>
      <c r="F709" s="10">
        <f>IF(ISTEXT(Таблицаx_2[[#This Row],[Значение]]), 0, Таблицаx_2[[#This Row],[Значение]])</f>
        <v>85351</v>
      </c>
      <c r="G709" s="12">
        <v>45139</v>
      </c>
      <c r="H709" s="10" t="str">
        <f>IFERROR(VLOOKUP(Таблицаx_2[[#This Row],[id]],prolongations!A:C,2,)," ")</f>
        <v>август 2023</v>
      </c>
      <c r="I709" s="10">
        <f>IF(Таблицаx_2[[#This Row],[Месяц окончания]]=Таблицаx_2[[#This Row],[Месяц]],Таблицаx_2[[#This Row],[Значения числа]],0)</f>
        <v>85351</v>
      </c>
      <c r="J709" s="8">
        <f>IF(AND(Таблицаx_2[[#This Row],[Месяц окончания]]=Таблицаx_2[[#This Row],[Месяц]],Таблицаx_2[[#This Row],[id]]=A710,EDATE(Таблицаx_2[[#This Row],[Месяц]],1)=D710),F710,0)</f>
        <v>0</v>
      </c>
      <c r="K709" s="8">
        <f>IF(AND(Таблицаx_2[[#This Row],[Месяц окончания]]=Таблицаx_2[[#This Row],[Месяц]],Таблицаx_2[[#This Row],[id]]=A710,EDATE(Таблицаx_2[[#This Row],[Месяц]],2)=D710),F710,0)</f>
        <v>0</v>
      </c>
    </row>
    <row r="710" spans="1:11" ht="12.75" hidden="1" customHeight="1" x14ac:dyDescent="0.2">
      <c r="A710" s="8">
        <v>803</v>
      </c>
      <c r="B710" s="8" t="s">
        <v>47</v>
      </c>
      <c r="C710" s="8" t="s">
        <v>10</v>
      </c>
      <c r="D710" s="12">
        <v>45047</v>
      </c>
      <c r="E710" s="8">
        <v>37029</v>
      </c>
      <c r="F710" s="10">
        <f>IF(ISTEXT(Таблицаx_2[[#This Row],[Значение]]), 0, Таблицаx_2[[#This Row],[Значение]])</f>
        <v>37029</v>
      </c>
      <c r="G710" s="12">
        <v>45139</v>
      </c>
      <c r="H710" s="10" t="str">
        <f>IFERROR(VLOOKUP(Таблицаx_2[[#This Row],[id]],prolongations!A:C,2,)," ")</f>
        <v>август 2023</v>
      </c>
      <c r="I710" s="10">
        <f>IF(Таблицаx_2[[#This Row],[Месяц окончания]]=Таблицаx_2[[#This Row],[Месяц]],Таблицаx_2[[#This Row],[Значения числа]],0)</f>
        <v>0</v>
      </c>
      <c r="J710" s="8">
        <f>IF(AND(Таблицаx_2[[#This Row],[Месяц окончания]]=Таблицаx_2[[#This Row],[Месяц]],Таблицаx_2[[#This Row],[id]]=A711,EDATE(Таблицаx_2[[#This Row],[Месяц]],1)=D711),F711,0)</f>
        <v>0</v>
      </c>
      <c r="K710" s="8">
        <f>IF(AND(Таблицаx_2[[#This Row],[Месяц окончания]]=Таблицаx_2[[#This Row],[Месяц]],Таблицаx_2[[#This Row],[id]]=A711,EDATE(Таблицаx_2[[#This Row],[Месяц]],2)=D711),F711,0)</f>
        <v>0</v>
      </c>
    </row>
    <row r="711" spans="1:11" ht="12.75" hidden="1" customHeight="1" x14ac:dyDescent="0.2">
      <c r="A711" s="8">
        <v>803</v>
      </c>
      <c r="B711" s="8" t="s">
        <v>47</v>
      </c>
      <c r="C711" s="8" t="s">
        <v>10</v>
      </c>
      <c r="D711" s="12">
        <v>45078</v>
      </c>
      <c r="E711" s="8">
        <v>36579</v>
      </c>
      <c r="F711" s="10">
        <f>IF(ISTEXT(Таблицаx_2[[#This Row],[Значение]]), 0, Таблицаx_2[[#This Row],[Значение]])</f>
        <v>36579</v>
      </c>
      <c r="G711" s="12">
        <v>45139</v>
      </c>
      <c r="H711" s="10" t="str">
        <f>IFERROR(VLOOKUP(Таблицаx_2[[#This Row],[id]],prolongations!A:C,2,)," ")</f>
        <v>август 2023</v>
      </c>
      <c r="I711" s="10">
        <f>IF(Таблицаx_2[[#This Row],[Месяц окончания]]=Таблицаx_2[[#This Row],[Месяц]],Таблицаx_2[[#This Row],[Значения числа]],0)</f>
        <v>0</v>
      </c>
      <c r="J711" s="8">
        <f>IF(AND(Таблицаx_2[[#This Row],[Месяц окончания]]=Таблицаx_2[[#This Row],[Месяц]],Таблицаx_2[[#This Row],[id]]=A712,EDATE(Таблицаx_2[[#This Row],[Месяц]],1)=D712),F712,0)</f>
        <v>0</v>
      </c>
      <c r="K711" s="8">
        <f>IF(AND(Таблицаx_2[[#This Row],[Месяц окончания]]=Таблицаx_2[[#This Row],[Месяц]],Таблицаx_2[[#This Row],[id]]=A712,EDATE(Таблицаx_2[[#This Row],[Месяц]],2)=D712),F712,0)</f>
        <v>0</v>
      </c>
    </row>
    <row r="712" spans="1:11" ht="12.75" hidden="1" customHeight="1" x14ac:dyDescent="0.2">
      <c r="A712" s="8">
        <v>803</v>
      </c>
      <c r="B712" s="8" t="s">
        <v>47</v>
      </c>
      <c r="C712" s="8" t="s">
        <v>10</v>
      </c>
      <c r="D712" s="12">
        <v>45108</v>
      </c>
      <c r="E712" s="8">
        <v>36579</v>
      </c>
      <c r="F712" s="10">
        <f>IF(ISTEXT(Таблицаx_2[[#This Row],[Значение]]), 0, Таблицаx_2[[#This Row],[Значение]])</f>
        <v>36579</v>
      </c>
      <c r="G712" s="12">
        <v>45139</v>
      </c>
      <c r="H712" s="10" t="str">
        <f>IFERROR(VLOOKUP(Таблицаx_2[[#This Row],[id]],prolongations!A:C,2,)," ")</f>
        <v>август 2023</v>
      </c>
      <c r="I712" s="10">
        <f>IF(Таблицаx_2[[#This Row],[Месяц окончания]]=Таблицаx_2[[#This Row],[Месяц]],Таблицаx_2[[#This Row],[Значения числа]],0)</f>
        <v>0</v>
      </c>
      <c r="J712" s="8">
        <f>IF(AND(Таблицаx_2[[#This Row],[Месяц окончания]]=Таблицаx_2[[#This Row],[Месяц]],Таблицаx_2[[#This Row],[id]]=A713,EDATE(Таблицаx_2[[#This Row],[Месяц]],1)=D713),F713,0)</f>
        <v>0</v>
      </c>
      <c r="K712" s="8">
        <f>IF(AND(Таблицаx_2[[#This Row],[Месяц окончания]]=Таблицаx_2[[#This Row],[Месяц]],Таблицаx_2[[#This Row],[id]]=A713,EDATE(Таблицаx_2[[#This Row],[Месяц]],2)=D713),F713,0)</f>
        <v>0</v>
      </c>
    </row>
    <row r="713" spans="1:11" ht="12.75" hidden="1" customHeight="1" x14ac:dyDescent="0.2">
      <c r="A713" s="8">
        <v>803</v>
      </c>
      <c r="B713" s="8" t="s">
        <v>47</v>
      </c>
      <c r="C713" s="8" t="s">
        <v>10</v>
      </c>
      <c r="D713" s="12">
        <v>45139</v>
      </c>
      <c r="E713" s="8">
        <v>36579</v>
      </c>
      <c r="F713" s="10">
        <f>IF(ISTEXT(Таблицаx_2[[#This Row],[Значение]]), 0, Таблицаx_2[[#This Row],[Значение]])</f>
        <v>36579</v>
      </c>
      <c r="G713" s="12">
        <v>45139</v>
      </c>
      <c r="H713" s="10" t="str">
        <f>IFERROR(VLOOKUP(Таблицаx_2[[#This Row],[id]],prolongations!A:C,2,)," ")</f>
        <v>август 2023</v>
      </c>
      <c r="I713" s="10">
        <f>IF(Таблицаx_2[[#This Row],[Месяц окончания]]=Таблицаx_2[[#This Row],[Месяц]],Таблицаx_2[[#This Row],[Значения числа]],0)</f>
        <v>36579</v>
      </c>
      <c r="J713" s="8">
        <f>IF(AND(Таблицаx_2[[#This Row],[Месяц окончания]]=Таблицаx_2[[#This Row],[Месяц]],Таблицаx_2[[#This Row],[id]]=A714,EDATE(Таблицаx_2[[#This Row],[Месяц]],1)=D714),F714,0)</f>
        <v>0</v>
      </c>
      <c r="K713" s="8">
        <f>IF(AND(Таблицаx_2[[#This Row],[Месяц окончания]]=Таблицаx_2[[#This Row],[Месяц]],Таблицаx_2[[#This Row],[id]]=A714,EDATE(Таблицаx_2[[#This Row],[Месяц]],2)=D714),F714,0)</f>
        <v>0</v>
      </c>
    </row>
    <row r="714" spans="1:11" ht="12.75" hidden="1" customHeight="1" x14ac:dyDescent="0.2">
      <c r="A714" s="8">
        <v>648</v>
      </c>
      <c r="B714" s="8" t="s">
        <v>45</v>
      </c>
      <c r="C714" s="8" t="s">
        <v>6</v>
      </c>
      <c r="D714" s="12">
        <v>44866</v>
      </c>
      <c r="E714" s="8">
        <v>22887.5</v>
      </c>
      <c r="F714" s="10">
        <f>IF(ISTEXT(Таблицаx_2[[#This Row],[Значение]]), 0, Таблицаx_2[[#This Row],[Значение]])</f>
        <v>22887.5</v>
      </c>
      <c r="G714" s="12">
        <v>45139</v>
      </c>
      <c r="H714" s="10" t="str">
        <f>IFERROR(VLOOKUP(Таблицаx_2[[#This Row],[id]],prolongations!A:C,2,)," ")</f>
        <v>август 2023</v>
      </c>
      <c r="I714" s="10">
        <f>IF(Таблицаx_2[[#This Row],[Месяц окончания]]=Таблицаx_2[[#This Row],[Месяц]],Таблицаx_2[[#This Row],[Значения числа]],0)</f>
        <v>0</v>
      </c>
      <c r="J714" s="8">
        <f>IF(AND(Таблицаx_2[[#This Row],[Месяц окончания]]=Таблицаx_2[[#This Row],[Месяц]],Таблицаx_2[[#This Row],[id]]=A715,EDATE(Таблицаx_2[[#This Row],[Месяц]],1)=D715),F715,0)</f>
        <v>0</v>
      </c>
      <c r="K714" s="8">
        <f>IF(AND(Таблицаx_2[[#This Row],[Месяц окончания]]=Таблицаx_2[[#This Row],[Месяц]],Таблицаx_2[[#This Row],[id]]=A715,EDATE(Таблицаx_2[[#This Row],[Месяц]],2)=D715),F715,0)</f>
        <v>0</v>
      </c>
    </row>
    <row r="715" spans="1:11" ht="12.75" hidden="1" customHeight="1" x14ac:dyDescent="0.2">
      <c r="A715" s="8">
        <v>648</v>
      </c>
      <c r="B715" s="8" t="s">
        <v>45</v>
      </c>
      <c r="C715" s="8" t="s">
        <v>6</v>
      </c>
      <c r="D715" s="12">
        <v>44896</v>
      </c>
      <c r="E715" s="8">
        <v>22887.5</v>
      </c>
      <c r="F715" s="10">
        <f>IF(ISTEXT(Таблицаx_2[[#This Row],[Значение]]), 0, Таблицаx_2[[#This Row],[Значение]])</f>
        <v>22887.5</v>
      </c>
      <c r="G715" s="12">
        <v>45139</v>
      </c>
      <c r="H715" s="10" t="str">
        <f>IFERROR(VLOOKUP(Таблицаx_2[[#This Row],[id]],prolongations!A:C,2,)," ")</f>
        <v>август 2023</v>
      </c>
      <c r="I715" s="10">
        <f>IF(Таблицаx_2[[#This Row],[Месяц окончания]]=Таблицаx_2[[#This Row],[Месяц]],Таблицаx_2[[#This Row],[Значения числа]],0)</f>
        <v>0</v>
      </c>
      <c r="J715" s="8">
        <f>IF(AND(Таблицаx_2[[#This Row],[Месяц окончания]]=Таблицаx_2[[#This Row],[Месяц]],Таблицаx_2[[#This Row],[id]]=A716,EDATE(Таблицаx_2[[#This Row],[Месяц]],1)=D716),F716,0)</f>
        <v>0</v>
      </c>
      <c r="K715" s="8">
        <f>IF(AND(Таблицаx_2[[#This Row],[Месяц окончания]]=Таблицаx_2[[#This Row],[Месяц]],Таблицаx_2[[#This Row],[id]]=A716,EDATE(Таблицаx_2[[#This Row],[Месяц]],2)=D716),F716,0)</f>
        <v>0</v>
      </c>
    </row>
    <row r="716" spans="1:11" ht="12.75" hidden="1" customHeight="1" x14ac:dyDescent="0.2">
      <c r="A716" s="8">
        <v>648</v>
      </c>
      <c r="B716" s="8" t="s">
        <v>45</v>
      </c>
      <c r="C716" s="8" t="s">
        <v>6</v>
      </c>
      <c r="D716" s="12">
        <v>44927</v>
      </c>
      <c r="E716" s="8">
        <v>22887.5</v>
      </c>
      <c r="F716" s="10">
        <f>IF(ISTEXT(Таблицаx_2[[#This Row],[Значение]]), 0, Таблицаx_2[[#This Row],[Значение]])</f>
        <v>22887.5</v>
      </c>
      <c r="G716" s="12">
        <v>45139</v>
      </c>
      <c r="H716" s="10" t="str">
        <f>IFERROR(VLOOKUP(Таблицаx_2[[#This Row],[id]],prolongations!A:C,2,)," ")</f>
        <v>август 2023</v>
      </c>
      <c r="I716" s="10">
        <f>IF(Таблицаx_2[[#This Row],[Месяц окончания]]=Таблицаx_2[[#This Row],[Месяц]],Таблицаx_2[[#This Row],[Значения числа]],0)</f>
        <v>0</v>
      </c>
      <c r="J716" s="8">
        <f>IF(AND(Таблицаx_2[[#This Row],[Месяц окончания]]=Таблицаx_2[[#This Row],[Месяц]],Таблицаx_2[[#This Row],[id]]=A717,EDATE(Таблицаx_2[[#This Row],[Месяц]],1)=D717),F717,0)</f>
        <v>0</v>
      </c>
      <c r="K716" s="8">
        <f>IF(AND(Таблицаx_2[[#This Row],[Месяц окончания]]=Таблицаx_2[[#This Row],[Месяц]],Таблицаx_2[[#This Row],[id]]=A717,EDATE(Таблицаx_2[[#This Row],[Месяц]],2)=D717),F717,0)</f>
        <v>0</v>
      </c>
    </row>
    <row r="717" spans="1:11" ht="12.75" hidden="1" customHeight="1" x14ac:dyDescent="0.2">
      <c r="A717" s="8">
        <v>648</v>
      </c>
      <c r="B717" s="8" t="s">
        <v>45</v>
      </c>
      <c r="C717" s="8" t="s">
        <v>6</v>
      </c>
      <c r="D717" s="12">
        <v>44986</v>
      </c>
      <c r="E717" s="8">
        <v>22887.5</v>
      </c>
      <c r="F717" s="10">
        <f>IF(ISTEXT(Таблицаx_2[[#This Row],[Значение]]), 0, Таблицаx_2[[#This Row],[Значение]])</f>
        <v>22887.5</v>
      </c>
      <c r="G717" s="12">
        <v>45139</v>
      </c>
      <c r="H717" s="10" t="str">
        <f>IFERROR(VLOOKUP(Таблицаx_2[[#This Row],[id]],prolongations!A:C,2,)," ")</f>
        <v>август 2023</v>
      </c>
      <c r="I717" s="10">
        <f>IF(Таблицаx_2[[#This Row],[Месяц окончания]]=Таблицаx_2[[#This Row],[Месяц]],Таблицаx_2[[#This Row],[Значения числа]],0)</f>
        <v>0</v>
      </c>
      <c r="J717" s="8">
        <f>IF(AND(Таблицаx_2[[#This Row],[Месяц окончания]]=Таблицаx_2[[#This Row],[Месяц]],Таблицаx_2[[#This Row],[id]]=A718,EDATE(Таблицаx_2[[#This Row],[Месяц]],1)=D718),F718,0)</f>
        <v>0</v>
      </c>
      <c r="K717" s="8">
        <f>IF(AND(Таблицаx_2[[#This Row],[Месяц окончания]]=Таблицаx_2[[#This Row],[Месяц]],Таблицаx_2[[#This Row],[id]]=A718,EDATE(Таблицаx_2[[#This Row],[Месяц]],2)=D718),F718,0)</f>
        <v>0</v>
      </c>
    </row>
    <row r="718" spans="1:11" ht="12.75" hidden="1" customHeight="1" x14ac:dyDescent="0.2">
      <c r="A718" s="8">
        <v>648</v>
      </c>
      <c r="B718" s="8" t="s">
        <v>45</v>
      </c>
      <c r="C718" s="8" t="s">
        <v>6</v>
      </c>
      <c r="D718" s="12">
        <v>45017</v>
      </c>
      <c r="E718" s="8">
        <v>22887.5</v>
      </c>
      <c r="F718" s="10">
        <f>IF(ISTEXT(Таблицаx_2[[#This Row],[Значение]]), 0, Таблицаx_2[[#This Row],[Значение]])</f>
        <v>22887.5</v>
      </c>
      <c r="G718" s="12">
        <v>45139</v>
      </c>
      <c r="H718" s="10" t="str">
        <f>IFERROR(VLOOKUP(Таблицаx_2[[#This Row],[id]],prolongations!A:C,2,)," ")</f>
        <v>август 2023</v>
      </c>
      <c r="I718" s="10">
        <f>IF(Таблицаx_2[[#This Row],[Месяц окончания]]=Таблицаx_2[[#This Row],[Месяц]],Таблицаx_2[[#This Row],[Значения числа]],0)</f>
        <v>0</v>
      </c>
      <c r="J718" s="8">
        <f>IF(AND(Таблицаx_2[[#This Row],[Месяц окончания]]=Таблицаx_2[[#This Row],[Месяц]],Таблицаx_2[[#This Row],[id]]=A719,EDATE(Таблицаx_2[[#This Row],[Месяц]],1)=D719),F719,0)</f>
        <v>0</v>
      </c>
      <c r="K718" s="8">
        <f>IF(AND(Таблицаx_2[[#This Row],[Месяц окончания]]=Таблицаx_2[[#This Row],[Месяц]],Таблицаx_2[[#This Row],[id]]=A719,EDATE(Таблицаx_2[[#This Row],[Месяц]],2)=D719),F719,0)</f>
        <v>0</v>
      </c>
    </row>
    <row r="719" spans="1:11" ht="12.75" hidden="1" customHeight="1" x14ac:dyDescent="0.2">
      <c r="A719" s="8">
        <v>648</v>
      </c>
      <c r="B719" s="8" t="s">
        <v>45</v>
      </c>
      <c r="C719" s="8" t="s">
        <v>6</v>
      </c>
      <c r="D719" s="12">
        <v>45078</v>
      </c>
      <c r="E719" s="8">
        <v>22887.5</v>
      </c>
      <c r="F719" s="10">
        <f>IF(ISTEXT(Таблицаx_2[[#This Row],[Значение]]), 0, Таблицаx_2[[#This Row],[Значение]])</f>
        <v>22887.5</v>
      </c>
      <c r="G719" s="12">
        <v>45139</v>
      </c>
      <c r="H719" s="10" t="str">
        <f>IFERROR(VLOOKUP(Таблицаx_2[[#This Row],[id]],prolongations!A:C,2,)," ")</f>
        <v>август 2023</v>
      </c>
      <c r="I719" s="10">
        <f>IF(Таблицаx_2[[#This Row],[Месяц окончания]]=Таблицаx_2[[#This Row],[Месяц]],Таблицаx_2[[#This Row],[Значения числа]],0)</f>
        <v>0</v>
      </c>
      <c r="J719" s="8">
        <f>IF(AND(Таблицаx_2[[#This Row],[Месяц окончания]]=Таблицаx_2[[#This Row],[Месяц]],Таблицаx_2[[#This Row],[id]]=A720,EDATE(Таблицаx_2[[#This Row],[Месяц]],1)=D720),F720,0)</f>
        <v>0</v>
      </c>
      <c r="K719" s="8">
        <f>IF(AND(Таблицаx_2[[#This Row],[Месяц окончания]]=Таблицаx_2[[#This Row],[Месяц]],Таблицаx_2[[#This Row],[id]]=A720,EDATE(Таблицаx_2[[#This Row],[Месяц]],2)=D720),F720,0)</f>
        <v>0</v>
      </c>
    </row>
    <row r="720" spans="1:11" ht="12.75" hidden="1" customHeight="1" x14ac:dyDescent="0.2">
      <c r="A720" s="8">
        <v>648</v>
      </c>
      <c r="B720" s="8" t="s">
        <v>45</v>
      </c>
      <c r="C720" s="8" t="s">
        <v>6</v>
      </c>
      <c r="D720" s="12">
        <v>45108</v>
      </c>
      <c r="E720" s="8">
        <v>22887.5</v>
      </c>
      <c r="F720" s="10">
        <f>IF(ISTEXT(Таблицаx_2[[#This Row],[Значение]]), 0, Таблицаx_2[[#This Row],[Значение]])</f>
        <v>22887.5</v>
      </c>
      <c r="G720" s="12">
        <v>45139</v>
      </c>
      <c r="H720" s="10" t="str">
        <f>IFERROR(VLOOKUP(Таблицаx_2[[#This Row],[id]],prolongations!A:C,2,)," ")</f>
        <v>август 2023</v>
      </c>
      <c r="I720" s="10">
        <f>IF(Таблицаx_2[[#This Row],[Месяц окончания]]=Таблицаx_2[[#This Row],[Месяц]],Таблицаx_2[[#This Row],[Значения числа]],0)</f>
        <v>0</v>
      </c>
      <c r="J720" s="8">
        <f>IF(AND(Таблицаx_2[[#This Row],[Месяц окончания]]=Таблицаx_2[[#This Row],[Месяц]],Таблицаx_2[[#This Row],[id]]=A721,EDATE(Таблицаx_2[[#This Row],[Месяц]],1)=D721),F721,0)</f>
        <v>0</v>
      </c>
      <c r="K720" s="8">
        <f>IF(AND(Таблицаx_2[[#This Row],[Месяц окончания]]=Таблицаx_2[[#This Row],[Месяц]],Таблицаx_2[[#This Row],[id]]=A721,EDATE(Таблицаx_2[[#This Row],[Месяц]],2)=D721),F721,0)</f>
        <v>0</v>
      </c>
    </row>
    <row r="721" spans="1:11" ht="12.75" hidden="1" customHeight="1" x14ac:dyDescent="0.2">
      <c r="A721" s="8">
        <v>648</v>
      </c>
      <c r="B721" s="8" t="s">
        <v>45</v>
      </c>
      <c r="C721" s="8" t="s">
        <v>6</v>
      </c>
      <c r="D721" s="12">
        <v>45139</v>
      </c>
      <c r="E721" s="8">
        <v>22887.5</v>
      </c>
      <c r="F721" s="10">
        <f>IF(ISTEXT(Таблицаx_2[[#This Row],[Значение]]), 0, Таблицаx_2[[#This Row],[Значение]])</f>
        <v>22887.5</v>
      </c>
      <c r="G721" s="12">
        <v>45139</v>
      </c>
      <c r="H721" s="10" t="str">
        <f>IFERROR(VLOOKUP(Таблицаx_2[[#This Row],[id]],prolongations!A:C,2,)," ")</f>
        <v>август 2023</v>
      </c>
      <c r="I721" s="10">
        <f>IF(Таблицаx_2[[#This Row],[Месяц окончания]]=Таблицаx_2[[#This Row],[Месяц]],Таблицаx_2[[#This Row],[Значения числа]],0)</f>
        <v>22887.5</v>
      </c>
      <c r="J721" s="8">
        <f>IF(AND(Таблицаx_2[[#This Row],[Месяц окончания]]=Таблицаx_2[[#This Row],[Месяц]],Таблицаx_2[[#This Row],[id]]=A722,EDATE(Таблицаx_2[[#This Row],[Месяц]],1)=D722),F722,0)</f>
        <v>0</v>
      </c>
      <c r="K721" s="8">
        <f>IF(AND(Таблицаx_2[[#This Row],[Месяц окончания]]=Таблицаx_2[[#This Row],[Месяц]],Таблицаx_2[[#This Row],[id]]=A722,EDATE(Таблицаx_2[[#This Row],[Месяц]],2)=D722),F722,0)</f>
        <v>0</v>
      </c>
    </row>
    <row r="722" spans="1:11" ht="12.75" hidden="1" customHeight="1" x14ac:dyDescent="0.2">
      <c r="A722" s="8">
        <v>648</v>
      </c>
      <c r="B722" s="8" t="s">
        <v>47</v>
      </c>
      <c r="C722" s="8" t="s">
        <v>6</v>
      </c>
      <c r="D722" s="12">
        <v>44866</v>
      </c>
      <c r="E722" s="8">
        <v>22887.5</v>
      </c>
      <c r="F722" s="10">
        <f>IF(ISTEXT(Таблицаx_2[[#This Row],[Значение]]), 0, Таблицаx_2[[#This Row],[Значение]])</f>
        <v>22887.5</v>
      </c>
      <c r="G722" s="12">
        <v>45139</v>
      </c>
      <c r="H722" s="10" t="str">
        <f>IFERROR(VLOOKUP(Таблицаx_2[[#This Row],[id]],prolongations!A:C,2,)," ")</f>
        <v>август 2023</v>
      </c>
      <c r="I722" s="10">
        <f>IF(Таблицаx_2[[#This Row],[Месяц окончания]]=Таблицаx_2[[#This Row],[Месяц]],Таблицаx_2[[#This Row],[Значения числа]],0)</f>
        <v>0</v>
      </c>
      <c r="J722" s="8">
        <f>IF(AND(Таблицаx_2[[#This Row],[Месяц окончания]]=Таблицаx_2[[#This Row],[Месяц]],Таблицаx_2[[#This Row],[id]]=A723,EDATE(Таблицаx_2[[#This Row],[Месяц]],1)=D723),F723,0)</f>
        <v>0</v>
      </c>
      <c r="K722" s="8">
        <f>IF(AND(Таблицаx_2[[#This Row],[Месяц окончания]]=Таблицаx_2[[#This Row],[Месяц]],Таблицаx_2[[#This Row],[id]]=A723,EDATE(Таблицаx_2[[#This Row],[Месяц]],2)=D723),F723,0)</f>
        <v>0</v>
      </c>
    </row>
    <row r="723" spans="1:11" ht="12.75" hidden="1" customHeight="1" x14ac:dyDescent="0.2">
      <c r="A723" s="8">
        <v>648</v>
      </c>
      <c r="B723" s="8" t="s">
        <v>47</v>
      </c>
      <c r="C723" s="8" t="s">
        <v>6</v>
      </c>
      <c r="D723" s="12">
        <v>44896</v>
      </c>
      <c r="E723" s="8">
        <v>22887.5</v>
      </c>
      <c r="F723" s="10">
        <f>IF(ISTEXT(Таблицаx_2[[#This Row],[Значение]]), 0, Таблицаx_2[[#This Row],[Значение]])</f>
        <v>22887.5</v>
      </c>
      <c r="G723" s="12">
        <v>45139</v>
      </c>
      <c r="H723" s="10" t="str">
        <f>IFERROR(VLOOKUP(Таблицаx_2[[#This Row],[id]],prolongations!A:C,2,)," ")</f>
        <v>август 2023</v>
      </c>
      <c r="I723" s="10">
        <f>IF(Таблицаx_2[[#This Row],[Месяц окончания]]=Таблицаx_2[[#This Row],[Месяц]],Таблицаx_2[[#This Row],[Значения числа]],0)</f>
        <v>0</v>
      </c>
      <c r="J723" s="8">
        <f>IF(AND(Таблицаx_2[[#This Row],[Месяц окончания]]=Таблицаx_2[[#This Row],[Месяц]],Таблицаx_2[[#This Row],[id]]=A724,EDATE(Таблицаx_2[[#This Row],[Месяц]],1)=D724),F724,0)</f>
        <v>0</v>
      </c>
      <c r="K723" s="8">
        <f>IF(AND(Таблицаx_2[[#This Row],[Месяц окончания]]=Таблицаx_2[[#This Row],[Месяц]],Таблицаx_2[[#This Row],[id]]=A724,EDATE(Таблицаx_2[[#This Row],[Месяц]],2)=D724),F724,0)</f>
        <v>0</v>
      </c>
    </row>
    <row r="724" spans="1:11" ht="12.75" hidden="1" customHeight="1" x14ac:dyDescent="0.2">
      <c r="A724" s="8">
        <v>648</v>
      </c>
      <c r="B724" s="8" t="s">
        <v>47</v>
      </c>
      <c r="C724" s="8" t="s">
        <v>6</v>
      </c>
      <c r="D724" s="12">
        <v>44927</v>
      </c>
      <c r="E724" s="8">
        <v>22887.5</v>
      </c>
      <c r="F724" s="10">
        <f>IF(ISTEXT(Таблицаx_2[[#This Row],[Значение]]), 0, Таблицаx_2[[#This Row],[Значение]])</f>
        <v>22887.5</v>
      </c>
      <c r="G724" s="12">
        <v>45139</v>
      </c>
      <c r="H724" s="10" t="str">
        <f>IFERROR(VLOOKUP(Таблицаx_2[[#This Row],[id]],prolongations!A:C,2,)," ")</f>
        <v>август 2023</v>
      </c>
      <c r="I724" s="10">
        <f>IF(Таблицаx_2[[#This Row],[Месяц окончания]]=Таблицаx_2[[#This Row],[Месяц]],Таблицаx_2[[#This Row],[Значения числа]],0)</f>
        <v>0</v>
      </c>
      <c r="J724" s="8">
        <f>IF(AND(Таблицаx_2[[#This Row],[Месяц окончания]]=Таблицаx_2[[#This Row],[Месяц]],Таблицаx_2[[#This Row],[id]]=A725,EDATE(Таблицаx_2[[#This Row],[Месяц]],1)=D725),F725,0)</f>
        <v>0</v>
      </c>
      <c r="K724" s="8">
        <f>IF(AND(Таблицаx_2[[#This Row],[Месяц окончания]]=Таблицаx_2[[#This Row],[Месяц]],Таблицаx_2[[#This Row],[id]]=A725,EDATE(Таблицаx_2[[#This Row],[Месяц]],2)=D725),F725,0)</f>
        <v>0</v>
      </c>
    </row>
    <row r="725" spans="1:11" ht="12.75" hidden="1" customHeight="1" x14ac:dyDescent="0.2">
      <c r="A725" s="8">
        <v>648</v>
      </c>
      <c r="B725" s="8" t="s">
        <v>47</v>
      </c>
      <c r="C725" s="8" t="s">
        <v>6</v>
      </c>
      <c r="D725" s="12">
        <v>44986</v>
      </c>
      <c r="E725" s="8">
        <v>22887.5</v>
      </c>
      <c r="F725" s="10">
        <f>IF(ISTEXT(Таблицаx_2[[#This Row],[Значение]]), 0, Таблицаx_2[[#This Row],[Значение]])</f>
        <v>22887.5</v>
      </c>
      <c r="G725" s="12">
        <v>45139</v>
      </c>
      <c r="H725" s="10" t="str">
        <f>IFERROR(VLOOKUP(Таблицаx_2[[#This Row],[id]],prolongations!A:C,2,)," ")</f>
        <v>август 2023</v>
      </c>
      <c r="I725" s="10">
        <f>IF(Таблицаx_2[[#This Row],[Месяц окончания]]=Таблицаx_2[[#This Row],[Месяц]],Таблицаx_2[[#This Row],[Значения числа]],0)</f>
        <v>0</v>
      </c>
      <c r="J725" s="8">
        <f>IF(AND(Таблицаx_2[[#This Row],[Месяц окончания]]=Таблицаx_2[[#This Row],[Месяц]],Таблицаx_2[[#This Row],[id]]=A726,EDATE(Таблицаx_2[[#This Row],[Месяц]],1)=D726),F726,0)</f>
        <v>0</v>
      </c>
      <c r="K725" s="8">
        <f>IF(AND(Таблицаx_2[[#This Row],[Месяц окончания]]=Таблицаx_2[[#This Row],[Месяц]],Таблицаx_2[[#This Row],[id]]=A726,EDATE(Таблицаx_2[[#This Row],[Месяц]],2)=D726),F726,0)</f>
        <v>0</v>
      </c>
    </row>
    <row r="726" spans="1:11" ht="12.75" hidden="1" customHeight="1" x14ac:dyDescent="0.2">
      <c r="A726" s="8">
        <v>648</v>
      </c>
      <c r="B726" s="8" t="s">
        <v>47</v>
      </c>
      <c r="C726" s="8" t="s">
        <v>6</v>
      </c>
      <c r="D726" s="12">
        <v>45017</v>
      </c>
      <c r="E726" s="8">
        <v>22887.5</v>
      </c>
      <c r="F726" s="10">
        <f>IF(ISTEXT(Таблицаx_2[[#This Row],[Значение]]), 0, Таблицаx_2[[#This Row],[Значение]])</f>
        <v>22887.5</v>
      </c>
      <c r="G726" s="12">
        <v>45139</v>
      </c>
      <c r="H726" s="10" t="str">
        <f>IFERROR(VLOOKUP(Таблицаx_2[[#This Row],[id]],prolongations!A:C,2,)," ")</f>
        <v>август 2023</v>
      </c>
      <c r="I726" s="10">
        <f>IF(Таблицаx_2[[#This Row],[Месяц окончания]]=Таблицаx_2[[#This Row],[Месяц]],Таблицаx_2[[#This Row],[Значения числа]],0)</f>
        <v>0</v>
      </c>
      <c r="J726" s="8">
        <f>IF(AND(Таблицаx_2[[#This Row],[Месяц окончания]]=Таблицаx_2[[#This Row],[Месяц]],Таблицаx_2[[#This Row],[id]]=A727,EDATE(Таблицаx_2[[#This Row],[Месяц]],1)=D727),F727,0)</f>
        <v>0</v>
      </c>
      <c r="K726" s="8">
        <f>IF(AND(Таблицаx_2[[#This Row],[Месяц окончания]]=Таблицаx_2[[#This Row],[Месяц]],Таблицаx_2[[#This Row],[id]]=A727,EDATE(Таблицаx_2[[#This Row],[Месяц]],2)=D727),F727,0)</f>
        <v>0</v>
      </c>
    </row>
    <row r="727" spans="1:11" ht="12.75" hidden="1" customHeight="1" x14ac:dyDescent="0.2">
      <c r="A727" s="8">
        <v>648</v>
      </c>
      <c r="B727" s="8" t="s">
        <v>47</v>
      </c>
      <c r="C727" s="8" t="s">
        <v>6</v>
      </c>
      <c r="D727" s="12">
        <v>45078</v>
      </c>
      <c r="E727" s="8">
        <v>22887.5</v>
      </c>
      <c r="F727" s="10">
        <f>IF(ISTEXT(Таблицаx_2[[#This Row],[Значение]]), 0, Таблицаx_2[[#This Row],[Значение]])</f>
        <v>22887.5</v>
      </c>
      <c r="G727" s="12">
        <v>45139</v>
      </c>
      <c r="H727" s="10" t="str">
        <f>IFERROR(VLOOKUP(Таблицаx_2[[#This Row],[id]],prolongations!A:C,2,)," ")</f>
        <v>август 2023</v>
      </c>
      <c r="I727" s="10">
        <f>IF(Таблицаx_2[[#This Row],[Месяц окончания]]=Таблицаx_2[[#This Row],[Месяц]],Таблицаx_2[[#This Row],[Значения числа]],0)</f>
        <v>0</v>
      </c>
      <c r="J727" s="8">
        <f>IF(AND(Таблицаx_2[[#This Row],[Месяц окончания]]=Таблицаx_2[[#This Row],[Месяц]],Таблицаx_2[[#This Row],[id]]=A728,EDATE(Таблицаx_2[[#This Row],[Месяц]],1)=D728),F728,0)</f>
        <v>0</v>
      </c>
      <c r="K727" s="8">
        <f>IF(AND(Таблицаx_2[[#This Row],[Месяц окончания]]=Таблицаx_2[[#This Row],[Месяц]],Таблицаx_2[[#This Row],[id]]=A728,EDATE(Таблицаx_2[[#This Row],[Месяц]],2)=D728),F728,0)</f>
        <v>0</v>
      </c>
    </row>
    <row r="728" spans="1:11" ht="12.75" hidden="1" customHeight="1" x14ac:dyDescent="0.2">
      <c r="A728" s="8">
        <v>648</v>
      </c>
      <c r="B728" s="8" t="s">
        <v>47</v>
      </c>
      <c r="C728" s="8" t="s">
        <v>6</v>
      </c>
      <c r="D728" s="12">
        <v>45108</v>
      </c>
      <c r="E728" s="8">
        <v>22887.5</v>
      </c>
      <c r="F728" s="10">
        <f>IF(ISTEXT(Таблицаx_2[[#This Row],[Значение]]), 0, Таблицаx_2[[#This Row],[Значение]])</f>
        <v>22887.5</v>
      </c>
      <c r="G728" s="12">
        <v>45139</v>
      </c>
      <c r="H728" s="10" t="str">
        <f>IFERROR(VLOOKUP(Таблицаx_2[[#This Row],[id]],prolongations!A:C,2,)," ")</f>
        <v>август 2023</v>
      </c>
      <c r="I728" s="10">
        <f>IF(Таблицаx_2[[#This Row],[Месяц окончания]]=Таблицаx_2[[#This Row],[Месяц]],Таблицаx_2[[#This Row],[Значения числа]],0)</f>
        <v>0</v>
      </c>
      <c r="J728" s="8">
        <f>IF(AND(Таблицаx_2[[#This Row],[Месяц окончания]]=Таблицаx_2[[#This Row],[Месяц]],Таблицаx_2[[#This Row],[id]]=A729,EDATE(Таблицаx_2[[#This Row],[Месяц]],1)=D729),F729,0)</f>
        <v>0</v>
      </c>
      <c r="K728" s="8">
        <f>IF(AND(Таблицаx_2[[#This Row],[Месяц окончания]]=Таблицаx_2[[#This Row],[Месяц]],Таблицаx_2[[#This Row],[id]]=A729,EDATE(Таблицаx_2[[#This Row],[Месяц]],2)=D729),F729,0)</f>
        <v>0</v>
      </c>
    </row>
    <row r="729" spans="1:11" ht="12.75" hidden="1" customHeight="1" x14ac:dyDescent="0.2">
      <c r="A729" s="8">
        <v>648</v>
      </c>
      <c r="B729" s="8" t="s">
        <v>47</v>
      </c>
      <c r="C729" s="8" t="s">
        <v>6</v>
      </c>
      <c r="D729" s="12">
        <v>45139</v>
      </c>
      <c r="E729" s="8">
        <v>22887.5</v>
      </c>
      <c r="F729" s="10">
        <f>IF(ISTEXT(Таблицаx_2[[#This Row],[Значение]]), 0, Таблицаx_2[[#This Row],[Значение]])</f>
        <v>22887.5</v>
      </c>
      <c r="G729" s="12">
        <v>45139</v>
      </c>
      <c r="H729" s="10" t="str">
        <f>IFERROR(VLOOKUP(Таблицаx_2[[#This Row],[id]],prolongations!A:C,2,)," ")</f>
        <v>август 2023</v>
      </c>
      <c r="I729" s="10">
        <f>IF(Таблицаx_2[[#This Row],[Месяц окончания]]=Таблицаx_2[[#This Row],[Месяц]],Таблицаx_2[[#This Row],[Значения числа]],0)</f>
        <v>22887.5</v>
      </c>
      <c r="J729" s="8">
        <f>IF(AND(Таблицаx_2[[#This Row],[Месяц окончания]]=Таблицаx_2[[#This Row],[Месяц]],Таблицаx_2[[#This Row],[id]]=A730,EDATE(Таблицаx_2[[#This Row],[Месяц]],1)=D730),F730,0)</f>
        <v>0</v>
      </c>
      <c r="K729" s="8">
        <f>IF(AND(Таблицаx_2[[#This Row],[Месяц окончания]]=Таблицаx_2[[#This Row],[Месяц]],Таблицаx_2[[#This Row],[id]]=A730,EDATE(Таблицаx_2[[#This Row],[Месяц]],2)=D730),F730,0)</f>
        <v>0</v>
      </c>
    </row>
    <row r="730" spans="1:11" ht="12.75" hidden="1" customHeight="1" x14ac:dyDescent="0.2">
      <c r="A730" s="8">
        <v>268</v>
      </c>
      <c r="B730" s="8"/>
      <c r="C730" s="8" t="s">
        <v>10</v>
      </c>
      <c r="D730" s="12">
        <v>44866</v>
      </c>
      <c r="E730" s="8">
        <v>79235</v>
      </c>
      <c r="F730" s="10">
        <f>IF(ISTEXT(Таблицаx_2[[#This Row],[Значение]]), 0, Таблицаx_2[[#This Row],[Значение]])</f>
        <v>79235</v>
      </c>
      <c r="G730" s="12">
        <v>45139</v>
      </c>
      <c r="H730" s="10" t="str">
        <f>IFERROR(VLOOKUP(Таблицаx_2[[#This Row],[id]],prolongations!A:C,2,)," ")</f>
        <v>август 2023</v>
      </c>
      <c r="I730" s="10">
        <f>IF(Таблицаx_2[[#This Row],[Месяц окончания]]=Таблицаx_2[[#This Row],[Месяц]],Таблицаx_2[[#This Row],[Значения числа]],0)</f>
        <v>0</v>
      </c>
      <c r="J730" s="8">
        <f>IF(AND(Таблицаx_2[[#This Row],[Месяц окончания]]=Таблицаx_2[[#This Row],[Месяц]],Таблицаx_2[[#This Row],[id]]=A731,EDATE(Таблицаx_2[[#This Row],[Месяц]],1)=D731),F731,0)</f>
        <v>0</v>
      </c>
      <c r="K730" s="8">
        <f>IF(AND(Таблицаx_2[[#This Row],[Месяц окончания]]=Таблицаx_2[[#This Row],[Месяц]],Таблицаx_2[[#This Row],[id]]=A731,EDATE(Таблицаx_2[[#This Row],[Месяц]],2)=D731),F731,0)</f>
        <v>0</v>
      </c>
    </row>
    <row r="731" spans="1:11" ht="12.75" hidden="1" customHeight="1" x14ac:dyDescent="0.2">
      <c r="A731" s="8">
        <v>268</v>
      </c>
      <c r="B731" s="8"/>
      <c r="C731" s="8" t="s">
        <v>10</v>
      </c>
      <c r="D731" s="12">
        <v>44896</v>
      </c>
      <c r="E731" s="8">
        <v>79235</v>
      </c>
      <c r="F731" s="10">
        <f>IF(ISTEXT(Таблицаx_2[[#This Row],[Значение]]), 0, Таблицаx_2[[#This Row],[Значение]])</f>
        <v>79235</v>
      </c>
      <c r="G731" s="12">
        <v>45139</v>
      </c>
      <c r="H731" s="10" t="str">
        <f>IFERROR(VLOOKUP(Таблицаx_2[[#This Row],[id]],prolongations!A:C,2,)," ")</f>
        <v>август 2023</v>
      </c>
      <c r="I731" s="10">
        <f>IF(Таблицаx_2[[#This Row],[Месяц окончания]]=Таблицаx_2[[#This Row],[Месяц]],Таблицаx_2[[#This Row],[Значения числа]],0)</f>
        <v>0</v>
      </c>
      <c r="J731" s="8">
        <f>IF(AND(Таблицаx_2[[#This Row],[Месяц окончания]]=Таблицаx_2[[#This Row],[Месяц]],Таблицаx_2[[#This Row],[id]]=A732,EDATE(Таблицаx_2[[#This Row],[Месяц]],1)=D732),F732,0)</f>
        <v>0</v>
      </c>
      <c r="K731" s="8">
        <f>IF(AND(Таблицаx_2[[#This Row],[Месяц окончания]]=Таблицаx_2[[#This Row],[Месяц]],Таблицаx_2[[#This Row],[id]]=A732,EDATE(Таблицаx_2[[#This Row],[Месяц]],2)=D732),F732,0)</f>
        <v>0</v>
      </c>
    </row>
    <row r="732" spans="1:11" ht="12.75" hidden="1" customHeight="1" x14ac:dyDescent="0.2">
      <c r="A732" s="8">
        <v>268</v>
      </c>
      <c r="B732" s="8"/>
      <c r="C732" s="8" t="s">
        <v>10</v>
      </c>
      <c r="D732" s="12">
        <v>44927</v>
      </c>
      <c r="E732" s="8">
        <v>83810</v>
      </c>
      <c r="F732" s="10">
        <f>IF(ISTEXT(Таблицаx_2[[#This Row],[Значение]]), 0, Таблицаx_2[[#This Row],[Значение]])</f>
        <v>83810</v>
      </c>
      <c r="G732" s="12">
        <v>45139</v>
      </c>
      <c r="H732" s="10" t="str">
        <f>IFERROR(VLOOKUP(Таблицаx_2[[#This Row],[id]],prolongations!A:C,2,)," ")</f>
        <v>август 2023</v>
      </c>
      <c r="I732" s="10">
        <f>IF(Таблицаx_2[[#This Row],[Месяц окончания]]=Таблицаx_2[[#This Row],[Месяц]],Таблицаx_2[[#This Row],[Значения числа]],0)</f>
        <v>0</v>
      </c>
      <c r="J732" s="8">
        <f>IF(AND(Таблицаx_2[[#This Row],[Месяц окончания]]=Таблицаx_2[[#This Row],[Месяц]],Таблицаx_2[[#This Row],[id]]=A733,EDATE(Таблицаx_2[[#This Row],[Месяц]],1)=D733),F733,0)</f>
        <v>0</v>
      </c>
      <c r="K732" s="8">
        <f>IF(AND(Таблицаx_2[[#This Row],[Месяц окончания]]=Таблицаx_2[[#This Row],[Месяц]],Таблицаx_2[[#This Row],[id]]=A733,EDATE(Таблицаx_2[[#This Row],[Месяц]],2)=D733),F733,0)</f>
        <v>0</v>
      </c>
    </row>
    <row r="733" spans="1:11" ht="12.75" hidden="1" customHeight="1" x14ac:dyDescent="0.2">
      <c r="A733" s="8">
        <v>268</v>
      </c>
      <c r="B733" s="8"/>
      <c r="C733" s="8" t="s">
        <v>10</v>
      </c>
      <c r="D733" s="12">
        <v>44958</v>
      </c>
      <c r="E733" s="8">
        <v>122845</v>
      </c>
      <c r="F733" s="10">
        <f>IF(ISTEXT(Таблицаx_2[[#This Row],[Значение]]), 0, Таблицаx_2[[#This Row],[Значение]])</f>
        <v>122845</v>
      </c>
      <c r="G733" s="12">
        <v>45139</v>
      </c>
      <c r="H733" s="10" t="str">
        <f>IFERROR(VLOOKUP(Таблицаx_2[[#This Row],[id]],prolongations!A:C,2,)," ")</f>
        <v>август 2023</v>
      </c>
      <c r="I733" s="10">
        <f>IF(Таблицаx_2[[#This Row],[Месяц окончания]]=Таблицаx_2[[#This Row],[Месяц]],Таблицаx_2[[#This Row],[Значения числа]],0)</f>
        <v>0</v>
      </c>
      <c r="J733" s="8">
        <f>IF(AND(Таблицаx_2[[#This Row],[Месяц окончания]]=Таблицаx_2[[#This Row],[Месяц]],Таблицаx_2[[#This Row],[id]]=A734,EDATE(Таблицаx_2[[#This Row],[Месяц]],1)=D734),F734,0)</f>
        <v>0</v>
      </c>
      <c r="K733" s="8">
        <f>IF(AND(Таблицаx_2[[#This Row],[Месяц окончания]]=Таблицаx_2[[#This Row],[Месяц]],Таблицаx_2[[#This Row],[id]]=A734,EDATE(Таблицаx_2[[#This Row],[Месяц]],2)=D734),F734,0)</f>
        <v>0</v>
      </c>
    </row>
    <row r="734" spans="1:11" ht="12.75" hidden="1" customHeight="1" x14ac:dyDescent="0.2">
      <c r="A734" s="8">
        <v>268</v>
      </c>
      <c r="B734" s="8"/>
      <c r="C734" s="8" t="s">
        <v>10</v>
      </c>
      <c r="D734" s="12">
        <v>44986</v>
      </c>
      <c r="E734" s="8">
        <v>128145</v>
      </c>
      <c r="F734" s="10">
        <f>IF(ISTEXT(Таблицаx_2[[#This Row],[Значение]]), 0, Таблицаx_2[[#This Row],[Значение]])</f>
        <v>128145</v>
      </c>
      <c r="G734" s="12">
        <v>45139</v>
      </c>
      <c r="H734" s="10" t="str">
        <f>IFERROR(VLOOKUP(Таблицаx_2[[#This Row],[id]],prolongations!A:C,2,)," ")</f>
        <v>август 2023</v>
      </c>
      <c r="I734" s="10">
        <f>IF(Таблицаx_2[[#This Row],[Месяц окончания]]=Таблицаx_2[[#This Row],[Месяц]],Таблицаx_2[[#This Row],[Значения числа]],0)</f>
        <v>0</v>
      </c>
      <c r="J734" s="8">
        <f>IF(AND(Таблицаx_2[[#This Row],[Месяц окончания]]=Таблицаx_2[[#This Row],[Месяц]],Таблицаx_2[[#This Row],[id]]=A735,EDATE(Таблицаx_2[[#This Row],[Месяц]],1)=D735),F735,0)</f>
        <v>0</v>
      </c>
      <c r="K734" s="8">
        <f>IF(AND(Таблицаx_2[[#This Row],[Месяц окончания]]=Таблицаx_2[[#This Row],[Месяц]],Таблицаx_2[[#This Row],[id]]=A735,EDATE(Таблицаx_2[[#This Row],[Месяц]],2)=D735),F735,0)</f>
        <v>0</v>
      </c>
    </row>
    <row r="735" spans="1:11" ht="12.75" hidden="1" customHeight="1" x14ac:dyDescent="0.2">
      <c r="A735" s="8">
        <v>268</v>
      </c>
      <c r="B735" s="8"/>
      <c r="C735" s="8" t="s">
        <v>10</v>
      </c>
      <c r="D735" s="12">
        <v>45017</v>
      </c>
      <c r="E735" s="8">
        <v>135530</v>
      </c>
      <c r="F735" s="10">
        <f>IF(ISTEXT(Таблицаx_2[[#This Row],[Значение]]), 0, Таблицаx_2[[#This Row],[Значение]])</f>
        <v>135530</v>
      </c>
      <c r="G735" s="12">
        <v>45139</v>
      </c>
      <c r="H735" s="10" t="str">
        <f>IFERROR(VLOOKUP(Таблицаx_2[[#This Row],[id]],prolongations!A:C,2,)," ")</f>
        <v>август 2023</v>
      </c>
      <c r="I735" s="10">
        <f>IF(Таблицаx_2[[#This Row],[Месяц окончания]]=Таблицаx_2[[#This Row],[Месяц]],Таблицаx_2[[#This Row],[Значения числа]],0)</f>
        <v>0</v>
      </c>
      <c r="J735" s="8">
        <f>IF(AND(Таблицаx_2[[#This Row],[Месяц окончания]]=Таблицаx_2[[#This Row],[Месяц]],Таблицаx_2[[#This Row],[id]]=A736,EDATE(Таблицаx_2[[#This Row],[Месяц]],1)=D736),F736,0)</f>
        <v>0</v>
      </c>
      <c r="K735" s="8">
        <f>IF(AND(Таблицаx_2[[#This Row],[Месяц окончания]]=Таблицаx_2[[#This Row],[Месяц]],Таблицаx_2[[#This Row],[id]]=A736,EDATE(Таблицаx_2[[#This Row],[Месяц]],2)=D736),F736,0)</f>
        <v>0</v>
      </c>
    </row>
    <row r="736" spans="1:11" ht="12.75" hidden="1" customHeight="1" x14ac:dyDescent="0.2">
      <c r="A736" s="8">
        <v>268</v>
      </c>
      <c r="B736" s="8"/>
      <c r="C736" s="8" t="s">
        <v>10</v>
      </c>
      <c r="D736" s="12">
        <v>45047</v>
      </c>
      <c r="E736" s="8">
        <v>133420</v>
      </c>
      <c r="F736" s="10">
        <f>IF(ISTEXT(Таблицаx_2[[#This Row],[Значение]]), 0, Таблицаx_2[[#This Row],[Значение]])</f>
        <v>133420</v>
      </c>
      <c r="G736" s="12">
        <v>45139</v>
      </c>
      <c r="H736" s="10" t="str">
        <f>IFERROR(VLOOKUP(Таблицаx_2[[#This Row],[id]],prolongations!A:C,2,)," ")</f>
        <v>август 2023</v>
      </c>
      <c r="I736" s="10">
        <f>IF(Таблицаx_2[[#This Row],[Месяц окончания]]=Таблицаx_2[[#This Row],[Месяц]],Таблицаx_2[[#This Row],[Значения числа]],0)</f>
        <v>0</v>
      </c>
      <c r="J736" s="8">
        <f>IF(AND(Таблицаx_2[[#This Row],[Месяц окончания]]=Таблицаx_2[[#This Row],[Месяц]],Таблицаx_2[[#This Row],[id]]=A737,EDATE(Таблицаx_2[[#This Row],[Месяц]],1)=D737),F737,0)</f>
        <v>0</v>
      </c>
      <c r="K736" s="8">
        <f>IF(AND(Таблицаx_2[[#This Row],[Месяц окончания]]=Таблицаx_2[[#This Row],[Месяц]],Таблицаx_2[[#This Row],[id]]=A737,EDATE(Таблицаx_2[[#This Row],[Месяц]],2)=D737),F737,0)</f>
        <v>0</v>
      </c>
    </row>
    <row r="737" spans="1:11" ht="12.75" hidden="1" customHeight="1" x14ac:dyDescent="0.2">
      <c r="A737" s="8">
        <v>268</v>
      </c>
      <c r="B737" s="8"/>
      <c r="C737" s="8" t="s">
        <v>10</v>
      </c>
      <c r="D737" s="12">
        <v>45078</v>
      </c>
      <c r="E737" s="8">
        <v>140005</v>
      </c>
      <c r="F737" s="10">
        <f>IF(ISTEXT(Таблицаx_2[[#This Row],[Значение]]), 0, Таблицаx_2[[#This Row],[Значение]])</f>
        <v>140005</v>
      </c>
      <c r="G737" s="12">
        <v>45139</v>
      </c>
      <c r="H737" s="10" t="str">
        <f>IFERROR(VLOOKUP(Таблицаx_2[[#This Row],[id]],prolongations!A:C,2,)," ")</f>
        <v>август 2023</v>
      </c>
      <c r="I737" s="10">
        <f>IF(Таблицаx_2[[#This Row],[Месяц окончания]]=Таблицаx_2[[#This Row],[Месяц]],Таблицаx_2[[#This Row],[Значения числа]],0)</f>
        <v>0</v>
      </c>
      <c r="J737" s="8">
        <f>IF(AND(Таблицаx_2[[#This Row],[Месяц окончания]]=Таблицаx_2[[#This Row],[Месяц]],Таблицаx_2[[#This Row],[id]]=A738,EDATE(Таблицаx_2[[#This Row],[Месяц]],1)=D738),F738,0)</f>
        <v>0</v>
      </c>
      <c r="K737" s="8">
        <f>IF(AND(Таблицаx_2[[#This Row],[Месяц окончания]]=Таблицаx_2[[#This Row],[Месяц]],Таблицаx_2[[#This Row],[id]]=A738,EDATE(Таблицаx_2[[#This Row],[Месяц]],2)=D738),F738,0)</f>
        <v>0</v>
      </c>
    </row>
    <row r="738" spans="1:11" ht="12.75" hidden="1" customHeight="1" x14ac:dyDescent="0.2">
      <c r="A738" s="8">
        <v>268</v>
      </c>
      <c r="B738" s="8"/>
      <c r="C738" s="8" t="s">
        <v>10</v>
      </c>
      <c r="D738" s="12">
        <v>45108</v>
      </c>
      <c r="E738" s="8">
        <v>150160</v>
      </c>
      <c r="F738" s="10">
        <f>IF(ISTEXT(Таблицаx_2[[#This Row],[Значение]]), 0, Таблицаx_2[[#This Row],[Значение]])</f>
        <v>150160</v>
      </c>
      <c r="G738" s="12">
        <v>45139</v>
      </c>
      <c r="H738" s="10" t="str">
        <f>IFERROR(VLOOKUP(Таблицаx_2[[#This Row],[id]],prolongations!A:C,2,)," ")</f>
        <v>август 2023</v>
      </c>
      <c r="I738" s="10">
        <f>IF(Таблицаx_2[[#This Row],[Месяц окончания]]=Таблицаx_2[[#This Row],[Месяц]],Таблицаx_2[[#This Row],[Значения числа]],0)</f>
        <v>0</v>
      </c>
      <c r="J738" s="8">
        <f>IF(AND(Таблицаx_2[[#This Row],[Месяц окончания]]=Таблицаx_2[[#This Row],[Месяц]],Таблицаx_2[[#This Row],[id]]=A739,EDATE(Таблицаx_2[[#This Row],[Месяц]],1)=D739),F739,0)</f>
        <v>0</v>
      </c>
      <c r="K738" s="8">
        <f>IF(AND(Таблицаx_2[[#This Row],[Месяц окончания]]=Таблицаx_2[[#This Row],[Месяц]],Таблицаx_2[[#This Row],[id]]=A739,EDATE(Таблицаx_2[[#This Row],[Месяц]],2)=D739),F739,0)</f>
        <v>0</v>
      </c>
    </row>
    <row r="739" spans="1:11" ht="12.75" hidden="1" customHeight="1" x14ac:dyDescent="0.2">
      <c r="A739" s="8">
        <v>268</v>
      </c>
      <c r="B739" s="8"/>
      <c r="C739" s="8" t="s">
        <v>10</v>
      </c>
      <c r="D739" s="12">
        <v>45139</v>
      </c>
      <c r="E739" s="8">
        <v>137500</v>
      </c>
      <c r="F739" s="10">
        <f>IF(ISTEXT(Таблицаx_2[[#This Row],[Значение]]), 0, Таблицаx_2[[#This Row],[Значение]])</f>
        <v>137500</v>
      </c>
      <c r="G739" s="12">
        <v>45139</v>
      </c>
      <c r="H739" s="10" t="str">
        <f>IFERROR(VLOOKUP(Таблицаx_2[[#This Row],[id]],prolongations!A:C,2,)," ")</f>
        <v>август 2023</v>
      </c>
      <c r="I739" s="10">
        <f>IF(Таблицаx_2[[#This Row],[Месяц окончания]]=Таблицаx_2[[#This Row],[Месяц]],Таблицаx_2[[#This Row],[Значения числа]],0)</f>
        <v>137500</v>
      </c>
      <c r="J739" s="8">
        <f>IF(AND(Таблицаx_2[[#This Row],[Месяц окончания]]=Таблицаx_2[[#This Row],[Месяц]],Таблицаx_2[[#This Row],[id]]=A740,EDATE(Таблицаx_2[[#This Row],[Месяц]],1)=D740),F740,0)</f>
        <v>141435</v>
      </c>
      <c r="K739" s="8">
        <f>IF(AND(Таблицаx_2[[#This Row],[Месяц окончания]]=Таблицаx_2[[#This Row],[Месяц]],Таблицаx_2[[#This Row],[id]]=A740,EDATE(Таблицаx_2[[#This Row],[Месяц]],2)=D740),F740,0)</f>
        <v>0</v>
      </c>
    </row>
    <row r="740" spans="1:11" ht="12.75" hidden="1" customHeight="1" x14ac:dyDescent="0.2">
      <c r="A740" s="8">
        <v>268</v>
      </c>
      <c r="B740" s="8"/>
      <c r="C740" s="8" t="s">
        <v>10</v>
      </c>
      <c r="D740" s="12">
        <v>45170</v>
      </c>
      <c r="E740" s="8">
        <v>141435</v>
      </c>
      <c r="F740" s="10">
        <f>IF(ISTEXT(Таблицаx_2[[#This Row],[Значение]]), 0, Таблицаx_2[[#This Row],[Значение]])</f>
        <v>141435</v>
      </c>
      <c r="G740" s="12">
        <v>45139</v>
      </c>
      <c r="H740" s="10" t="str">
        <f>IFERROR(VLOOKUP(Таблицаx_2[[#This Row],[id]],prolongations!A:C,2,)," ")</f>
        <v>август 2023</v>
      </c>
      <c r="I740" s="10">
        <f>IF(Таблицаx_2[[#This Row],[Месяц окончания]]=Таблицаx_2[[#This Row],[Месяц]],Таблицаx_2[[#This Row],[Значения числа]],0)</f>
        <v>0</v>
      </c>
      <c r="J740" s="8">
        <f>IF(AND(Таблицаx_2[[#This Row],[Месяц окончания]]=Таблицаx_2[[#This Row],[Месяц]],Таблицаx_2[[#This Row],[id]]=A741,EDATE(Таблицаx_2[[#This Row],[Месяц]],1)=D741),F741,0)</f>
        <v>0</v>
      </c>
      <c r="K740" s="8">
        <f>IF(AND(Таблицаx_2[[#This Row],[Месяц окончания]]=Таблицаx_2[[#This Row],[Месяц]],Таблицаx_2[[#This Row],[id]]=A741,EDATE(Таблицаx_2[[#This Row],[Месяц]],2)=D741),F741,0)</f>
        <v>0</v>
      </c>
    </row>
    <row r="741" spans="1:11" ht="12.75" hidden="1" customHeight="1" x14ac:dyDescent="0.2">
      <c r="A741" s="8">
        <v>268</v>
      </c>
      <c r="B741" s="8"/>
      <c r="C741" s="8" t="s">
        <v>10</v>
      </c>
      <c r="D741" s="12">
        <v>45200</v>
      </c>
      <c r="E741" s="8">
        <v>125645</v>
      </c>
      <c r="F741" s="10">
        <f>IF(ISTEXT(Таблицаx_2[[#This Row],[Значение]]), 0, Таблицаx_2[[#This Row],[Значение]])</f>
        <v>125645</v>
      </c>
      <c r="G741" s="12">
        <v>45139</v>
      </c>
      <c r="H741" s="10" t="str">
        <f>IFERROR(VLOOKUP(Таблицаx_2[[#This Row],[id]],prolongations!A:C,2,)," ")</f>
        <v>август 2023</v>
      </c>
      <c r="I741" s="10">
        <f>IF(Таблицаx_2[[#This Row],[Месяц окончания]]=Таблицаx_2[[#This Row],[Месяц]],Таблицаx_2[[#This Row],[Значения числа]],0)</f>
        <v>0</v>
      </c>
      <c r="J741" s="8">
        <f>IF(AND(Таблицаx_2[[#This Row],[Месяц окончания]]=Таблицаx_2[[#This Row],[Месяц]],Таблицаx_2[[#This Row],[id]]=A742,EDATE(Таблицаx_2[[#This Row],[Месяц]],1)=D742),F742,0)</f>
        <v>0</v>
      </c>
      <c r="K741" s="8">
        <f>IF(AND(Таблицаx_2[[#This Row],[Месяц окончания]]=Таблицаx_2[[#This Row],[Месяц]],Таблицаx_2[[#This Row],[id]]=A742,EDATE(Таблицаx_2[[#This Row],[Месяц]],2)=D742),F742,0)</f>
        <v>0</v>
      </c>
    </row>
    <row r="742" spans="1:11" ht="12.75" hidden="1" customHeight="1" x14ac:dyDescent="0.2">
      <c r="A742" s="8">
        <v>268</v>
      </c>
      <c r="B742" s="8"/>
      <c r="C742" s="8" t="s">
        <v>10</v>
      </c>
      <c r="D742" s="12">
        <v>45231</v>
      </c>
      <c r="E742" s="8">
        <v>128810</v>
      </c>
      <c r="F742" s="10">
        <f>IF(ISTEXT(Таблицаx_2[[#This Row],[Значение]]), 0, Таблицаx_2[[#This Row],[Значение]])</f>
        <v>128810</v>
      </c>
      <c r="G742" s="12">
        <v>45139</v>
      </c>
      <c r="H742" s="10" t="str">
        <f>IFERROR(VLOOKUP(Таблицаx_2[[#This Row],[id]],prolongations!A:C,2,)," ")</f>
        <v>август 2023</v>
      </c>
      <c r="I742" s="10">
        <f>IF(Таблицаx_2[[#This Row],[Месяц окончания]]=Таблицаx_2[[#This Row],[Месяц]],Таблицаx_2[[#This Row],[Значения числа]],0)</f>
        <v>0</v>
      </c>
      <c r="J742" s="8">
        <f>IF(AND(Таблицаx_2[[#This Row],[Месяц окончания]]=Таблицаx_2[[#This Row],[Месяц]],Таблицаx_2[[#This Row],[id]]=A743,EDATE(Таблицаx_2[[#This Row],[Месяц]],1)=D743),F743,0)</f>
        <v>0</v>
      </c>
      <c r="K742" s="8">
        <f>IF(AND(Таблицаx_2[[#This Row],[Месяц окончания]]=Таблицаx_2[[#This Row],[Месяц]],Таблицаx_2[[#This Row],[id]]=A743,EDATE(Таблицаx_2[[#This Row],[Месяц]],2)=D743),F743,0)</f>
        <v>0</v>
      </c>
    </row>
    <row r="743" spans="1:11" ht="12.75" hidden="1" customHeight="1" x14ac:dyDescent="0.2">
      <c r="A743" s="8">
        <v>268</v>
      </c>
      <c r="B743" s="8"/>
      <c r="C743" s="8" t="s">
        <v>10</v>
      </c>
      <c r="D743" s="12">
        <v>45261</v>
      </c>
      <c r="E743" s="8">
        <v>130920</v>
      </c>
      <c r="F743" s="10">
        <f>IF(ISTEXT(Таблицаx_2[[#This Row],[Значение]]), 0, Таблицаx_2[[#This Row],[Значение]])</f>
        <v>130920</v>
      </c>
      <c r="G743" s="12">
        <v>45139</v>
      </c>
      <c r="H743" s="10" t="str">
        <f>IFERROR(VLOOKUP(Таблицаx_2[[#This Row],[id]],prolongations!A:C,2,)," ")</f>
        <v>август 2023</v>
      </c>
      <c r="I743" s="10">
        <f>IF(Таблицаx_2[[#This Row],[Месяц окончания]]=Таблицаx_2[[#This Row],[Месяц]],Таблицаx_2[[#This Row],[Значения числа]],0)</f>
        <v>0</v>
      </c>
      <c r="J743" s="8">
        <f>IF(AND(Таблицаx_2[[#This Row],[Месяц окончания]]=Таблицаx_2[[#This Row],[Месяц]],Таблицаx_2[[#This Row],[id]]=A744,EDATE(Таблицаx_2[[#This Row],[Месяц]],1)=D744),F744,0)</f>
        <v>0</v>
      </c>
      <c r="K743" s="8">
        <f>IF(AND(Таблицаx_2[[#This Row],[Месяц окончания]]=Таблицаx_2[[#This Row],[Месяц]],Таблицаx_2[[#This Row],[id]]=A744,EDATE(Таблицаx_2[[#This Row],[Месяц]],2)=D744),F744,0)</f>
        <v>0</v>
      </c>
    </row>
    <row r="744" spans="1:11" ht="12.75" hidden="1" customHeight="1" x14ac:dyDescent="0.2">
      <c r="A744" s="8">
        <v>268</v>
      </c>
      <c r="B744" s="8"/>
      <c r="C744" s="8" t="s">
        <v>10</v>
      </c>
      <c r="D744" s="12">
        <v>45292</v>
      </c>
      <c r="E744" s="8">
        <v>125645</v>
      </c>
      <c r="F744" s="10">
        <f>IF(ISTEXT(Таблицаx_2[[#This Row],[Значение]]), 0, Таблицаx_2[[#This Row],[Значение]])</f>
        <v>125645</v>
      </c>
      <c r="G744" s="12">
        <v>45139</v>
      </c>
      <c r="H744" s="10" t="str">
        <f>IFERROR(VLOOKUP(Таблицаx_2[[#This Row],[id]],prolongations!A:C,2,)," ")</f>
        <v>август 2023</v>
      </c>
      <c r="I744" s="10">
        <f>IF(Таблицаx_2[[#This Row],[Месяц окончания]]=Таблицаx_2[[#This Row],[Месяц]],Таблицаx_2[[#This Row],[Значения числа]],0)</f>
        <v>0</v>
      </c>
      <c r="J744" s="8">
        <f>IF(AND(Таблицаx_2[[#This Row],[Месяц окончания]]=Таблицаx_2[[#This Row],[Месяц]],Таблицаx_2[[#This Row],[id]]=A745,EDATE(Таблицаx_2[[#This Row],[Месяц]],1)=D745),F745,0)</f>
        <v>0</v>
      </c>
      <c r="K744" s="8">
        <f>IF(AND(Таблицаx_2[[#This Row],[Месяц окончания]]=Таблицаx_2[[#This Row],[Месяц]],Таблицаx_2[[#This Row],[id]]=A745,EDATE(Таблицаx_2[[#This Row],[Месяц]],2)=D745),F745,0)</f>
        <v>0</v>
      </c>
    </row>
    <row r="745" spans="1:11" ht="12.75" hidden="1" customHeight="1" x14ac:dyDescent="0.2">
      <c r="A745" s="8">
        <v>268</v>
      </c>
      <c r="B745" s="8"/>
      <c r="C745" s="8" t="s">
        <v>10</v>
      </c>
      <c r="D745" s="12">
        <v>45323</v>
      </c>
      <c r="E745" s="8">
        <v>125645</v>
      </c>
      <c r="F745" s="10">
        <f>IF(ISTEXT(Таблицаx_2[[#This Row],[Значение]]), 0, Таблицаx_2[[#This Row],[Значение]])</f>
        <v>125645</v>
      </c>
      <c r="G745" s="12">
        <v>45139</v>
      </c>
      <c r="H745" s="10" t="str">
        <f>IFERROR(VLOOKUP(Таблицаx_2[[#This Row],[id]],prolongations!A:C,2,)," ")</f>
        <v>август 2023</v>
      </c>
      <c r="I745" s="10">
        <f>IF(Таблицаx_2[[#This Row],[Месяц окончания]]=Таблицаx_2[[#This Row],[Месяц]],Таблицаx_2[[#This Row],[Значения числа]],0)</f>
        <v>0</v>
      </c>
      <c r="J745" s="8">
        <f>IF(AND(Таблицаx_2[[#This Row],[Месяц окончания]]=Таблицаx_2[[#This Row],[Месяц]],Таблицаx_2[[#This Row],[id]]=A746,EDATE(Таблицаx_2[[#This Row],[Месяц]],1)=D746),F746,0)</f>
        <v>0</v>
      </c>
      <c r="K745" s="8">
        <f>IF(AND(Таблицаx_2[[#This Row],[Месяц окончания]]=Таблицаx_2[[#This Row],[Месяц]],Таблицаx_2[[#This Row],[id]]=A746,EDATE(Таблицаx_2[[#This Row],[Месяц]],2)=D746),F746,0)</f>
        <v>0</v>
      </c>
    </row>
    <row r="746" spans="1:11" ht="12.75" hidden="1" customHeight="1" x14ac:dyDescent="0.2">
      <c r="A746" s="8">
        <v>274</v>
      </c>
      <c r="B746" s="8" t="s">
        <v>52</v>
      </c>
      <c r="C746" s="8" t="s">
        <v>6</v>
      </c>
      <c r="D746" s="12">
        <v>44866</v>
      </c>
      <c r="E746" s="8">
        <v>170268</v>
      </c>
      <c r="F746" s="10">
        <f>IF(ISTEXT(Таблицаx_2[[#This Row],[Значение]]), 0, Таблицаx_2[[#This Row],[Значение]])</f>
        <v>170268</v>
      </c>
      <c r="G746" s="12">
        <v>44896</v>
      </c>
      <c r="H746" s="10" t="str">
        <f>IFERROR(VLOOKUP(Таблицаx_2[[#This Row],[id]],prolongations!A:C,2,)," ")</f>
        <v>декабрь 2022</v>
      </c>
      <c r="I746" s="10">
        <f>IF(Таблицаx_2[[#This Row],[Месяц окончания]]=Таблицаx_2[[#This Row],[Месяц]],Таблицаx_2[[#This Row],[Значения числа]],0)</f>
        <v>0</v>
      </c>
      <c r="J746" s="8">
        <f>IF(AND(Таблицаx_2[[#This Row],[Месяц окончания]]=Таблицаx_2[[#This Row],[Месяц]],Таблицаx_2[[#This Row],[id]]=A747,EDATE(Таблицаx_2[[#This Row],[Месяц]],1)=D747),F747,0)</f>
        <v>0</v>
      </c>
      <c r="K746" s="8">
        <f>IF(AND(Таблицаx_2[[#This Row],[Месяц окончания]]=Таблицаx_2[[#This Row],[Месяц]],Таблицаx_2[[#This Row],[id]]=A747,EDATE(Таблицаx_2[[#This Row],[Месяц]],2)=D747),F747,0)</f>
        <v>0</v>
      </c>
    </row>
    <row r="747" spans="1:11" hidden="1" x14ac:dyDescent="0.2">
      <c r="A747" s="8">
        <v>274</v>
      </c>
      <c r="B747" s="8" t="s">
        <v>52</v>
      </c>
      <c r="C747" s="8" t="s">
        <v>6</v>
      </c>
      <c r="D747" s="12">
        <v>44896</v>
      </c>
      <c r="E747" s="8">
        <v>170268</v>
      </c>
      <c r="F747" s="10">
        <f>IF(ISTEXT(Таблицаx_2[[#This Row],[Значение]]), 0, Таблицаx_2[[#This Row],[Значение]])</f>
        <v>170268</v>
      </c>
      <c r="G747" s="12">
        <v>44896</v>
      </c>
      <c r="H747" s="10" t="str">
        <f>IFERROR(VLOOKUP(Таблицаx_2[[#This Row],[id]],prolongations!A:C,2,)," ")</f>
        <v>декабрь 2022</v>
      </c>
      <c r="I747" s="10">
        <f>IF(Таблицаx_2[[#This Row],[Месяц окончания]]=Таблицаx_2[[#This Row],[Месяц]],Таблицаx_2[[#This Row],[Значения числа]],0)</f>
        <v>170268</v>
      </c>
      <c r="J747" s="8">
        <f>IF(AND(Таблицаx_2[[#This Row],[Месяц окончания]]=Таблицаx_2[[#This Row],[Месяц]],Таблицаx_2[[#This Row],[id]]=A748,EDATE(Таблицаx_2[[#This Row],[Месяц]],1)=D748),F748,0)</f>
        <v>170268</v>
      </c>
      <c r="K747" s="8">
        <f>IF(AND(Таблицаx_2[[#This Row],[Месяц окончания]]=Таблицаx_2[[#This Row],[Месяц]],Таблицаx_2[[#This Row],[id]]=A748,EDATE(Таблицаx_2[[#This Row],[Месяц]],2)=D748),F748,0)</f>
        <v>0</v>
      </c>
    </row>
    <row r="748" spans="1:11" ht="12.75" hidden="1" customHeight="1" x14ac:dyDescent="0.2">
      <c r="A748" s="8">
        <v>274</v>
      </c>
      <c r="B748" s="8" t="s">
        <v>52</v>
      </c>
      <c r="C748" s="8" t="s">
        <v>6</v>
      </c>
      <c r="D748" s="12">
        <v>44927</v>
      </c>
      <c r="E748" s="8">
        <v>170268</v>
      </c>
      <c r="F748" s="10">
        <f>IF(ISTEXT(Таблицаx_2[[#This Row],[Значение]]), 0, Таблицаx_2[[#This Row],[Значение]])</f>
        <v>170268</v>
      </c>
      <c r="G748" s="12">
        <v>44896</v>
      </c>
      <c r="H748" s="10" t="str">
        <f>IFERROR(VLOOKUP(Таблицаx_2[[#This Row],[id]],prolongations!A:C,2,)," ")</f>
        <v>декабрь 2022</v>
      </c>
      <c r="I748" s="10">
        <f>IF(Таблицаx_2[[#This Row],[Месяц окончания]]=Таблицаx_2[[#This Row],[Месяц]],Таблицаx_2[[#This Row],[Значения числа]],0)</f>
        <v>0</v>
      </c>
      <c r="J748" s="8">
        <f>IF(AND(Таблицаx_2[[#This Row],[Месяц окончания]]=Таблицаx_2[[#This Row],[Месяц]],Таблицаx_2[[#This Row],[id]]=A749,EDATE(Таблицаx_2[[#This Row],[Месяц]],1)=D749),F749,0)</f>
        <v>0</v>
      </c>
      <c r="K748" s="8">
        <f>IF(AND(Таблицаx_2[[#This Row],[Месяц окончания]]=Таблицаx_2[[#This Row],[Месяц]],Таблицаx_2[[#This Row],[id]]=A749,EDATE(Таблицаx_2[[#This Row],[Месяц]],2)=D749),F749,0)</f>
        <v>0</v>
      </c>
    </row>
    <row r="749" spans="1:11" ht="12.75" hidden="1" customHeight="1" x14ac:dyDescent="0.2">
      <c r="A749" s="8">
        <v>274</v>
      </c>
      <c r="B749" s="8" t="s">
        <v>52</v>
      </c>
      <c r="C749" s="8" t="s">
        <v>6</v>
      </c>
      <c r="D749" s="12">
        <v>44958</v>
      </c>
      <c r="E749" s="8">
        <v>170268</v>
      </c>
      <c r="F749" s="10">
        <f>IF(ISTEXT(Таблицаx_2[[#This Row],[Значение]]), 0, Таблицаx_2[[#This Row],[Значение]])</f>
        <v>170268</v>
      </c>
      <c r="G749" s="12">
        <v>44896</v>
      </c>
      <c r="H749" s="10" t="str">
        <f>IFERROR(VLOOKUP(Таблицаx_2[[#This Row],[id]],prolongations!A:C,2,)," ")</f>
        <v>декабрь 2022</v>
      </c>
      <c r="I749" s="10">
        <f>IF(Таблицаx_2[[#This Row],[Месяц окончания]]=Таблицаx_2[[#This Row],[Месяц]],Таблицаx_2[[#This Row],[Значения числа]],0)</f>
        <v>0</v>
      </c>
      <c r="J749" s="8">
        <f>IF(AND(Таблицаx_2[[#This Row],[Месяц окончания]]=Таблицаx_2[[#This Row],[Месяц]],Таблицаx_2[[#This Row],[id]]=A750,EDATE(Таблицаx_2[[#This Row],[Месяц]],1)=D750),F750,0)</f>
        <v>0</v>
      </c>
      <c r="K749" s="8">
        <f>IF(AND(Таблицаx_2[[#This Row],[Месяц окончания]]=Таблицаx_2[[#This Row],[Месяц]],Таблицаx_2[[#This Row],[id]]=A750,EDATE(Таблицаx_2[[#This Row],[Месяц]],2)=D750),F750,0)</f>
        <v>0</v>
      </c>
    </row>
    <row r="750" spans="1:11" ht="12.75" hidden="1" customHeight="1" x14ac:dyDescent="0.2">
      <c r="A750" s="8">
        <v>274</v>
      </c>
      <c r="B750" s="8" t="s">
        <v>52</v>
      </c>
      <c r="C750" s="8" t="s">
        <v>6</v>
      </c>
      <c r="D750" s="12">
        <v>44986</v>
      </c>
      <c r="E750" s="8">
        <v>170268</v>
      </c>
      <c r="F750" s="10">
        <f>IF(ISTEXT(Таблицаx_2[[#This Row],[Значение]]), 0, Таблицаx_2[[#This Row],[Значение]])</f>
        <v>170268</v>
      </c>
      <c r="G750" s="12">
        <v>44896</v>
      </c>
      <c r="H750" s="10" t="str">
        <f>IFERROR(VLOOKUP(Таблицаx_2[[#This Row],[id]],prolongations!A:C,2,)," ")</f>
        <v>декабрь 2022</v>
      </c>
      <c r="I750" s="10">
        <f>IF(Таблицаx_2[[#This Row],[Месяц окончания]]=Таблицаx_2[[#This Row],[Месяц]],Таблицаx_2[[#This Row],[Значения числа]],0)</f>
        <v>0</v>
      </c>
      <c r="J750" s="8">
        <f>IF(AND(Таблицаx_2[[#This Row],[Месяц окончания]]=Таблицаx_2[[#This Row],[Месяц]],Таблицаx_2[[#This Row],[id]]=A751,EDATE(Таблицаx_2[[#This Row],[Месяц]],1)=D751),F751,0)</f>
        <v>0</v>
      </c>
      <c r="K750" s="8">
        <f>IF(AND(Таблицаx_2[[#This Row],[Месяц окончания]]=Таблицаx_2[[#This Row],[Месяц]],Таблицаx_2[[#This Row],[id]]=A751,EDATE(Таблицаx_2[[#This Row],[Месяц]],2)=D751),F751,0)</f>
        <v>0</v>
      </c>
    </row>
    <row r="751" spans="1:11" ht="12.75" hidden="1" customHeight="1" x14ac:dyDescent="0.2">
      <c r="A751" s="8">
        <v>274</v>
      </c>
      <c r="B751" s="8" t="s">
        <v>52</v>
      </c>
      <c r="C751" s="8" t="s">
        <v>6</v>
      </c>
      <c r="D751" s="12">
        <v>45017</v>
      </c>
      <c r="E751" s="8">
        <v>201870</v>
      </c>
      <c r="F751" s="10">
        <f>IF(ISTEXT(Таблицаx_2[[#This Row],[Значение]]), 0, Таблицаx_2[[#This Row],[Значение]])</f>
        <v>201870</v>
      </c>
      <c r="G751" s="12">
        <v>44896</v>
      </c>
      <c r="H751" s="10" t="str">
        <f>IFERROR(VLOOKUP(Таблицаx_2[[#This Row],[id]],prolongations!A:C,2,)," ")</f>
        <v>декабрь 2022</v>
      </c>
      <c r="I751" s="10">
        <f>IF(Таблицаx_2[[#This Row],[Месяц окончания]]=Таблицаx_2[[#This Row],[Месяц]],Таблицаx_2[[#This Row],[Значения числа]],0)</f>
        <v>0</v>
      </c>
      <c r="J751" s="8">
        <f>IF(AND(Таблицаx_2[[#This Row],[Месяц окончания]]=Таблицаx_2[[#This Row],[Месяц]],Таблицаx_2[[#This Row],[id]]=A752,EDATE(Таблицаx_2[[#This Row],[Месяц]],1)=D752),F752,0)</f>
        <v>0</v>
      </c>
      <c r="K751" s="8">
        <f>IF(AND(Таблицаx_2[[#This Row],[Месяц окончания]]=Таблицаx_2[[#This Row],[Месяц]],Таблицаx_2[[#This Row],[id]]=A752,EDATE(Таблицаx_2[[#This Row],[Месяц]],2)=D752),F752,0)</f>
        <v>0</v>
      </c>
    </row>
    <row r="752" spans="1:11" ht="12.75" hidden="1" customHeight="1" x14ac:dyDescent="0.2">
      <c r="A752" s="8">
        <v>274</v>
      </c>
      <c r="B752" s="8" t="s">
        <v>52</v>
      </c>
      <c r="C752" s="8" t="s">
        <v>6</v>
      </c>
      <c r="D752" s="12">
        <v>45047</v>
      </c>
      <c r="E752" s="8">
        <v>201870</v>
      </c>
      <c r="F752" s="10">
        <f>IF(ISTEXT(Таблицаx_2[[#This Row],[Значение]]), 0, Таблицаx_2[[#This Row],[Значение]])</f>
        <v>201870</v>
      </c>
      <c r="G752" s="12">
        <v>44896</v>
      </c>
      <c r="H752" s="10" t="str">
        <f>IFERROR(VLOOKUP(Таблицаx_2[[#This Row],[id]],prolongations!A:C,2,)," ")</f>
        <v>декабрь 2022</v>
      </c>
      <c r="I752" s="10">
        <f>IF(Таблицаx_2[[#This Row],[Месяц окончания]]=Таблицаx_2[[#This Row],[Месяц]],Таблицаx_2[[#This Row],[Значения числа]],0)</f>
        <v>0</v>
      </c>
      <c r="J752" s="8">
        <f>IF(AND(Таблицаx_2[[#This Row],[Месяц окончания]]=Таблицаx_2[[#This Row],[Месяц]],Таблицаx_2[[#This Row],[id]]=A753,EDATE(Таблицаx_2[[#This Row],[Месяц]],1)=D753),F753,0)</f>
        <v>0</v>
      </c>
      <c r="K752" s="8">
        <f>IF(AND(Таблицаx_2[[#This Row],[Месяц окончания]]=Таблицаx_2[[#This Row],[Месяц]],Таблицаx_2[[#This Row],[id]]=A753,EDATE(Таблицаx_2[[#This Row],[Месяц]],2)=D753),F753,0)</f>
        <v>0</v>
      </c>
    </row>
    <row r="753" spans="1:11" ht="12.75" hidden="1" customHeight="1" x14ac:dyDescent="0.2">
      <c r="A753" s="8">
        <v>274</v>
      </c>
      <c r="B753" s="8" t="s">
        <v>52</v>
      </c>
      <c r="C753" s="8" t="s">
        <v>6</v>
      </c>
      <c r="D753" s="12">
        <v>45078</v>
      </c>
      <c r="E753" s="8">
        <v>201870</v>
      </c>
      <c r="F753" s="10">
        <f>IF(ISTEXT(Таблицаx_2[[#This Row],[Значение]]), 0, Таблицаx_2[[#This Row],[Значение]])</f>
        <v>201870</v>
      </c>
      <c r="G753" s="12">
        <v>44896</v>
      </c>
      <c r="H753" s="10" t="str">
        <f>IFERROR(VLOOKUP(Таблицаx_2[[#This Row],[id]],prolongations!A:C,2,)," ")</f>
        <v>декабрь 2022</v>
      </c>
      <c r="I753" s="10">
        <f>IF(Таблицаx_2[[#This Row],[Месяц окончания]]=Таблицаx_2[[#This Row],[Месяц]],Таблицаx_2[[#This Row],[Значения числа]],0)</f>
        <v>0</v>
      </c>
      <c r="J753" s="8">
        <f>IF(AND(Таблицаx_2[[#This Row],[Месяц окончания]]=Таблицаx_2[[#This Row],[Месяц]],Таблицаx_2[[#This Row],[id]]=A754,EDATE(Таблицаx_2[[#This Row],[Месяц]],1)=D754),F754,0)</f>
        <v>0</v>
      </c>
      <c r="K753" s="8">
        <f>IF(AND(Таблицаx_2[[#This Row],[Месяц окончания]]=Таблицаx_2[[#This Row],[Месяц]],Таблицаx_2[[#This Row],[id]]=A754,EDATE(Таблицаx_2[[#This Row],[Месяц]],2)=D754),F754,0)</f>
        <v>0</v>
      </c>
    </row>
    <row r="754" spans="1:11" ht="12.75" hidden="1" customHeight="1" x14ac:dyDescent="0.2">
      <c r="A754" s="8">
        <v>274</v>
      </c>
      <c r="B754" s="8" t="s">
        <v>52</v>
      </c>
      <c r="C754" s="8" t="s">
        <v>6</v>
      </c>
      <c r="D754" s="12">
        <v>45108</v>
      </c>
      <c r="E754" s="8">
        <v>183630</v>
      </c>
      <c r="F754" s="10">
        <f>IF(ISTEXT(Таблицаx_2[[#This Row],[Значение]]), 0, Таблицаx_2[[#This Row],[Значение]])</f>
        <v>183630</v>
      </c>
      <c r="G754" s="12">
        <v>44896</v>
      </c>
      <c r="H754" s="10" t="str">
        <f>IFERROR(VLOOKUP(Таблицаx_2[[#This Row],[id]],prolongations!A:C,2,)," ")</f>
        <v>декабрь 2022</v>
      </c>
      <c r="I754" s="10">
        <f>IF(Таблицаx_2[[#This Row],[Месяц окончания]]=Таблицаx_2[[#This Row],[Месяц]],Таблицаx_2[[#This Row],[Значения числа]],0)</f>
        <v>0</v>
      </c>
      <c r="J754" s="8">
        <f>IF(AND(Таблицаx_2[[#This Row],[Месяц окончания]]=Таблицаx_2[[#This Row],[Месяц]],Таблицаx_2[[#This Row],[id]]=A755,EDATE(Таблицаx_2[[#This Row],[Месяц]],1)=D755),F755,0)</f>
        <v>0</v>
      </c>
      <c r="K754" s="8">
        <f>IF(AND(Таблицаx_2[[#This Row],[Месяц окончания]]=Таблицаx_2[[#This Row],[Месяц]],Таблицаx_2[[#This Row],[id]]=A755,EDATE(Таблицаx_2[[#This Row],[Месяц]],2)=D755),F755,0)</f>
        <v>0</v>
      </c>
    </row>
    <row r="755" spans="1:11" ht="12.75" hidden="1" customHeight="1" x14ac:dyDescent="0.2">
      <c r="A755" s="8">
        <v>274</v>
      </c>
      <c r="B755" s="8" t="s">
        <v>52</v>
      </c>
      <c r="C755" s="8" t="s">
        <v>6</v>
      </c>
      <c r="D755" s="12">
        <v>45139</v>
      </c>
      <c r="E755" s="8">
        <v>183630</v>
      </c>
      <c r="F755" s="10">
        <f>IF(ISTEXT(Таблицаx_2[[#This Row],[Значение]]), 0, Таблицаx_2[[#This Row],[Значение]])</f>
        <v>183630</v>
      </c>
      <c r="G755" s="12">
        <v>44896</v>
      </c>
      <c r="H755" s="10" t="str">
        <f>IFERROR(VLOOKUP(Таблицаx_2[[#This Row],[id]],prolongations!A:C,2,)," ")</f>
        <v>декабрь 2022</v>
      </c>
      <c r="I755" s="10">
        <f>IF(Таблицаx_2[[#This Row],[Месяц окончания]]=Таблицаx_2[[#This Row],[Месяц]],Таблицаx_2[[#This Row],[Значения числа]],0)</f>
        <v>0</v>
      </c>
      <c r="J755" s="8">
        <f>IF(AND(Таблицаx_2[[#This Row],[Месяц окончания]]=Таблицаx_2[[#This Row],[Месяц]],Таблицаx_2[[#This Row],[id]]=A756,EDATE(Таблицаx_2[[#This Row],[Месяц]],1)=D756),F756,0)</f>
        <v>0</v>
      </c>
      <c r="K755" s="8">
        <f>IF(AND(Таблицаx_2[[#This Row],[Месяц окончания]]=Таблицаx_2[[#This Row],[Месяц]],Таблицаx_2[[#This Row],[id]]=A756,EDATE(Таблицаx_2[[#This Row],[Месяц]],2)=D756),F756,0)</f>
        <v>0</v>
      </c>
    </row>
    <row r="756" spans="1:11" ht="12.75" hidden="1" customHeight="1" x14ac:dyDescent="0.2">
      <c r="A756" s="8">
        <v>274</v>
      </c>
      <c r="B756" s="8" t="s">
        <v>50</v>
      </c>
      <c r="C756" s="8" t="s">
        <v>6</v>
      </c>
      <c r="D756" s="12">
        <v>45108</v>
      </c>
      <c r="E756" s="8">
        <v>79200</v>
      </c>
      <c r="F756" s="10">
        <f>IF(ISTEXT(Таблицаx_2[[#This Row],[Значение]]), 0, Таблицаx_2[[#This Row],[Значение]])</f>
        <v>79200</v>
      </c>
      <c r="G756" s="12">
        <v>44896</v>
      </c>
      <c r="H756" s="10" t="str">
        <f>IFERROR(VLOOKUP(Таблицаx_2[[#This Row],[id]],prolongations!A:C,2,)," ")</f>
        <v>декабрь 2022</v>
      </c>
      <c r="I756" s="10">
        <f>IF(Таблицаx_2[[#This Row],[Месяц окончания]]=Таблицаx_2[[#This Row],[Месяц]],Таблицаx_2[[#This Row],[Значения числа]],0)</f>
        <v>0</v>
      </c>
      <c r="J756" s="8">
        <f>IF(AND(Таблицаx_2[[#This Row],[Месяц окончания]]=Таблицаx_2[[#This Row],[Месяц]],Таблицаx_2[[#This Row],[id]]=A757,EDATE(Таблицаx_2[[#This Row],[Месяц]],1)=D757),F757,0)</f>
        <v>0</v>
      </c>
      <c r="K756" s="8">
        <f>IF(AND(Таблицаx_2[[#This Row],[Месяц окончания]]=Таблицаx_2[[#This Row],[Месяц]],Таблицаx_2[[#This Row],[id]]=A757,EDATE(Таблицаx_2[[#This Row],[Месяц]],2)=D757),F757,0)</f>
        <v>0</v>
      </c>
    </row>
    <row r="757" spans="1:11" ht="12.75" hidden="1" customHeight="1" x14ac:dyDescent="0.2">
      <c r="A757" s="8">
        <v>781</v>
      </c>
      <c r="B757" s="8" t="s">
        <v>49</v>
      </c>
      <c r="C757" s="8" t="s">
        <v>5</v>
      </c>
      <c r="D757" s="12">
        <v>44927</v>
      </c>
      <c r="E757" s="8">
        <v>104319</v>
      </c>
      <c r="F757" s="10">
        <f>IF(ISTEXT(Таблицаx_2[[#This Row],[Значение]]), 0, Таблицаx_2[[#This Row],[Значение]])</f>
        <v>104319</v>
      </c>
      <c r="G757" s="12">
        <v>45017</v>
      </c>
      <c r="H757" s="10" t="str">
        <f>IFERROR(VLOOKUP(Таблицаx_2[[#This Row],[id]],prolongations!A:C,2,)," ")</f>
        <v>апрель 2023</v>
      </c>
      <c r="I757" s="10">
        <f>IF(Таблицаx_2[[#This Row],[Месяц окончания]]=Таблицаx_2[[#This Row],[Месяц]],Таблицаx_2[[#This Row],[Значения числа]],0)</f>
        <v>0</v>
      </c>
      <c r="J757" s="8">
        <f>IF(AND(Таблицаx_2[[#This Row],[Месяц окончания]]=Таблицаx_2[[#This Row],[Месяц]],Таблицаx_2[[#This Row],[id]]=A758,EDATE(Таблицаx_2[[#This Row],[Месяц]],1)=D758),F758,0)</f>
        <v>0</v>
      </c>
      <c r="K757" s="8">
        <f>IF(AND(Таблицаx_2[[#This Row],[Месяц окончания]]=Таблицаx_2[[#This Row],[Месяц]],Таблицаx_2[[#This Row],[id]]=A758,EDATE(Таблицаx_2[[#This Row],[Месяц]],2)=D758),F758,0)</f>
        <v>0</v>
      </c>
    </row>
    <row r="758" spans="1:11" ht="12.75" hidden="1" customHeight="1" x14ac:dyDescent="0.2">
      <c r="A758" s="8">
        <v>781</v>
      </c>
      <c r="B758" s="8" t="s">
        <v>49</v>
      </c>
      <c r="C758" s="8" t="s">
        <v>5</v>
      </c>
      <c r="D758" s="12">
        <v>44958</v>
      </c>
      <c r="E758" s="8">
        <v>60660</v>
      </c>
      <c r="F758" s="10">
        <f>IF(ISTEXT(Таблицаx_2[[#This Row],[Значение]]), 0, Таблицаx_2[[#This Row],[Значение]])</f>
        <v>60660</v>
      </c>
      <c r="G758" s="12">
        <v>45017</v>
      </c>
      <c r="H758" s="10" t="str">
        <f>IFERROR(VLOOKUP(Таблицаx_2[[#This Row],[id]],prolongations!A:C,2,)," ")</f>
        <v>апрель 2023</v>
      </c>
      <c r="I758" s="10">
        <f>IF(Таблицаx_2[[#This Row],[Месяц окончания]]=Таблицаx_2[[#This Row],[Месяц]],Таблицаx_2[[#This Row],[Значения числа]],0)</f>
        <v>0</v>
      </c>
      <c r="J758" s="8">
        <f>IF(AND(Таблицаx_2[[#This Row],[Месяц окончания]]=Таблицаx_2[[#This Row],[Месяц]],Таблицаx_2[[#This Row],[id]]=A759,EDATE(Таблицаx_2[[#This Row],[Месяц]],1)=D759),F759,0)</f>
        <v>0</v>
      </c>
      <c r="K758" s="8">
        <f>IF(AND(Таблицаx_2[[#This Row],[Месяц окончания]]=Таблицаx_2[[#This Row],[Месяц]],Таблицаx_2[[#This Row],[id]]=A759,EDATE(Таблицаx_2[[#This Row],[Месяц]],2)=D759),F759,0)</f>
        <v>0</v>
      </c>
    </row>
    <row r="759" spans="1:11" ht="12.75" hidden="1" customHeight="1" x14ac:dyDescent="0.2">
      <c r="A759" s="8">
        <v>781</v>
      </c>
      <c r="B759" s="8" t="s">
        <v>49</v>
      </c>
      <c r="C759" s="8" t="s">
        <v>5</v>
      </c>
      <c r="D759" s="12">
        <v>44986</v>
      </c>
      <c r="E759" s="8">
        <v>359157</v>
      </c>
      <c r="F759" s="10">
        <f>IF(ISTEXT(Таблицаx_2[[#This Row],[Значение]]), 0, Таблицаx_2[[#This Row],[Значение]])</f>
        <v>359157</v>
      </c>
      <c r="G759" s="12">
        <v>45017</v>
      </c>
      <c r="H759" s="10" t="str">
        <f>IFERROR(VLOOKUP(Таблицаx_2[[#This Row],[id]],prolongations!A:C,2,)," ")</f>
        <v>апрель 2023</v>
      </c>
      <c r="I759" s="10">
        <f>IF(Таблицаx_2[[#This Row],[Месяц окончания]]=Таблицаx_2[[#This Row],[Месяц]],Таблицаx_2[[#This Row],[Значения числа]],0)</f>
        <v>0</v>
      </c>
      <c r="J759" s="8">
        <f>IF(AND(Таблицаx_2[[#This Row],[Месяц окончания]]=Таблицаx_2[[#This Row],[Месяц]],Таблицаx_2[[#This Row],[id]]=A760,EDATE(Таблицаx_2[[#This Row],[Месяц]],1)=D760),F760,0)</f>
        <v>0</v>
      </c>
      <c r="K759" s="8">
        <f>IF(AND(Таблицаx_2[[#This Row],[Месяц окончания]]=Таблицаx_2[[#This Row],[Месяц]],Таблицаx_2[[#This Row],[id]]=A760,EDATE(Таблицаx_2[[#This Row],[Месяц]],2)=D760),F760,0)</f>
        <v>0</v>
      </c>
    </row>
    <row r="760" spans="1:11" ht="12.75" hidden="1" customHeight="1" x14ac:dyDescent="0.2">
      <c r="A760" s="8">
        <v>781</v>
      </c>
      <c r="B760" s="8" t="s">
        <v>49</v>
      </c>
      <c r="C760" s="8" t="s">
        <v>5</v>
      </c>
      <c r="D760" s="12">
        <v>45017</v>
      </c>
      <c r="E760" s="8">
        <v>241780</v>
      </c>
      <c r="F760" s="10">
        <f>IF(ISTEXT(Таблицаx_2[[#This Row],[Значение]]), 0, Таблицаx_2[[#This Row],[Значение]])</f>
        <v>241780</v>
      </c>
      <c r="G760" s="12">
        <v>45017</v>
      </c>
      <c r="H760" s="10" t="str">
        <f>IFERROR(VLOOKUP(Таблицаx_2[[#This Row],[id]],prolongations!A:C,2,)," ")</f>
        <v>апрель 2023</v>
      </c>
      <c r="I760" s="10">
        <f>IF(Таблицаx_2[[#This Row],[Месяц окончания]]=Таблицаx_2[[#This Row],[Месяц]],Таблицаx_2[[#This Row],[Значения числа]],0)</f>
        <v>241780</v>
      </c>
      <c r="J760" s="8">
        <f>IF(AND(Таблицаx_2[[#This Row],[Месяц окончания]]=Таблицаx_2[[#This Row],[Месяц]],Таблицаx_2[[#This Row],[id]]=A761,EDATE(Таблицаx_2[[#This Row],[Месяц]],1)=D761),F761,0)</f>
        <v>321769.75</v>
      </c>
      <c r="K760" s="8">
        <f>IF(AND(Таблицаx_2[[#This Row],[Месяц окончания]]=Таблицаx_2[[#This Row],[Месяц]],Таблицаx_2[[#This Row],[id]]=A761,EDATE(Таблицаx_2[[#This Row],[Месяц]],2)=D761),F761,0)</f>
        <v>0</v>
      </c>
    </row>
    <row r="761" spans="1:11" ht="12.75" hidden="1" customHeight="1" x14ac:dyDescent="0.2">
      <c r="A761" s="8">
        <v>781</v>
      </c>
      <c r="B761" s="8" t="s">
        <v>49</v>
      </c>
      <c r="C761" s="8" t="s">
        <v>5</v>
      </c>
      <c r="D761" s="12">
        <v>45047</v>
      </c>
      <c r="E761" s="8">
        <v>321769.75</v>
      </c>
      <c r="F761" s="10">
        <f>IF(ISTEXT(Таблицаx_2[[#This Row],[Значение]]), 0, Таблицаx_2[[#This Row],[Значение]])</f>
        <v>321769.75</v>
      </c>
      <c r="G761" s="12">
        <v>45017</v>
      </c>
      <c r="H761" s="10" t="str">
        <f>IFERROR(VLOOKUP(Таблицаx_2[[#This Row],[id]],prolongations!A:C,2,)," ")</f>
        <v>апрель 2023</v>
      </c>
      <c r="I761" s="10">
        <f>IF(Таблицаx_2[[#This Row],[Месяц окончания]]=Таблицаx_2[[#This Row],[Месяц]],Таблицаx_2[[#This Row],[Значения числа]],0)</f>
        <v>0</v>
      </c>
      <c r="J761" s="8">
        <f>IF(AND(Таблицаx_2[[#This Row],[Месяц окончания]]=Таблицаx_2[[#This Row],[Месяц]],Таблицаx_2[[#This Row],[id]]=A762,EDATE(Таблицаx_2[[#This Row],[Месяц]],1)=D762),F762,0)</f>
        <v>0</v>
      </c>
      <c r="K761" s="8">
        <f>IF(AND(Таблицаx_2[[#This Row],[Месяц окончания]]=Таблицаx_2[[#This Row],[Месяц]],Таблицаx_2[[#This Row],[id]]=A762,EDATE(Таблицаx_2[[#This Row],[Месяц]],2)=D762),F762,0)</f>
        <v>0</v>
      </c>
    </row>
    <row r="762" spans="1:11" ht="12.75" hidden="1" customHeight="1" x14ac:dyDescent="0.2">
      <c r="A762" s="8">
        <v>781</v>
      </c>
      <c r="B762" s="8" t="s">
        <v>49</v>
      </c>
      <c r="C762" s="8" t="s">
        <v>5</v>
      </c>
      <c r="D762" s="12">
        <v>45078</v>
      </c>
      <c r="E762" s="8">
        <v>337482.75</v>
      </c>
      <c r="F762" s="10">
        <f>IF(ISTEXT(Таблицаx_2[[#This Row],[Значение]]), 0, Таблицаx_2[[#This Row],[Значение]])</f>
        <v>337482.75</v>
      </c>
      <c r="G762" s="12">
        <v>45017</v>
      </c>
      <c r="H762" s="10" t="str">
        <f>IFERROR(VLOOKUP(Таблицаx_2[[#This Row],[id]],prolongations!A:C,2,)," ")</f>
        <v>апрель 2023</v>
      </c>
      <c r="I762" s="10">
        <f>IF(Таблицаx_2[[#This Row],[Месяц окончания]]=Таблицаx_2[[#This Row],[Месяц]],Таблицаx_2[[#This Row],[Значения числа]],0)</f>
        <v>0</v>
      </c>
      <c r="J762" s="8">
        <f>IF(AND(Таблицаx_2[[#This Row],[Месяц окончания]]=Таблицаx_2[[#This Row],[Месяц]],Таблицаx_2[[#This Row],[id]]=A763,EDATE(Таблицаx_2[[#This Row],[Месяц]],1)=D763),F763,0)</f>
        <v>0</v>
      </c>
      <c r="K762" s="8">
        <f>IF(AND(Таблицаx_2[[#This Row],[Месяц окончания]]=Таблицаx_2[[#This Row],[Месяц]],Таблицаx_2[[#This Row],[id]]=A763,EDATE(Таблицаx_2[[#This Row],[Месяц]],2)=D763),F763,0)</f>
        <v>0</v>
      </c>
    </row>
    <row r="763" spans="1:11" ht="12.75" hidden="1" customHeight="1" x14ac:dyDescent="0.2">
      <c r="A763" s="8">
        <v>781</v>
      </c>
      <c r="B763" s="8" t="s">
        <v>49</v>
      </c>
      <c r="C763" s="8" t="s">
        <v>5</v>
      </c>
      <c r="D763" s="12">
        <v>45108</v>
      </c>
      <c r="E763" s="8">
        <v>288638.5</v>
      </c>
      <c r="F763" s="10">
        <f>IF(ISTEXT(Таблицаx_2[[#This Row],[Значение]]), 0, Таблицаx_2[[#This Row],[Значение]])</f>
        <v>288638.5</v>
      </c>
      <c r="G763" s="12">
        <v>45017</v>
      </c>
      <c r="H763" s="10" t="str">
        <f>IFERROR(VLOOKUP(Таблицаx_2[[#This Row],[id]],prolongations!A:C,2,)," ")</f>
        <v>апрель 2023</v>
      </c>
      <c r="I763" s="10">
        <f>IF(Таблицаx_2[[#This Row],[Месяц окончания]]=Таблицаx_2[[#This Row],[Месяц]],Таблицаx_2[[#This Row],[Значения числа]],0)</f>
        <v>0</v>
      </c>
      <c r="J763" s="8">
        <f>IF(AND(Таблицаx_2[[#This Row],[Месяц окончания]]=Таблицаx_2[[#This Row],[Месяц]],Таблицаx_2[[#This Row],[id]]=A764,EDATE(Таблицаx_2[[#This Row],[Месяц]],1)=D764),F764,0)</f>
        <v>0</v>
      </c>
      <c r="K763" s="8">
        <f>IF(AND(Таблицаx_2[[#This Row],[Месяц окончания]]=Таблицаx_2[[#This Row],[Месяц]],Таблицаx_2[[#This Row],[id]]=A764,EDATE(Таблицаx_2[[#This Row],[Месяц]],2)=D764),F764,0)</f>
        <v>0</v>
      </c>
    </row>
    <row r="764" spans="1:11" ht="12.75" hidden="1" customHeight="1" x14ac:dyDescent="0.2">
      <c r="A764" s="8">
        <v>781</v>
      </c>
      <c r="B764" s="8" t="s">
        <v>49</v>
      </c>
      <c r="C764" s="8" t="s">
        <v>5</v>
      </c>
      <c r="D764" s="12">
        <v>45139</v>
      </c>
      <c r="E764" s="8">
        <v>333853.75</v>
      </c>
      <c r="F764" s="10">
        <f>IF(ISTEXT(Таблицаx_2[[#This Row],[Значение]]), 0, Таблицаx_2[[#This Row],[Значение]])</f>
        <v>333853.75</v>
      </c>
      <c r="G764" s="12">
        <v>45017</v>
      </c>
      <c r="H764" s="10" t="str">
        <f>IFERROR(VLOOKUP(Таблицаx_2[[#This Row],[id]],prolongations!A:C,2,)," ")</f>
        <v>апрель 2023</v>
      </c>
      <c r="I764" s="10">
        <f>IF(Таблицаx_2[[#This Row],[Месяц окончания]]=Таблицаx_2[[#This Row],[Месяц]],Таблицаx_2[[#This Row],[Значения числа]],0)</f>
        <v>0</v>
      </c>
      <c r="J764" s="8">
        <f>IF(AND(Таблицаx_2[[#This Row],[Месяц окончания]]=Таблицаx_2[[#This Row],[Месяц]],Таблицаx_2[[#This Row],[id]]=A765,EDATE(Таблицаx_2[[#This Row],[Месяц]],1)=D765),F765,0)</f>
        <v>0</v>
      </c>
      <c r="K764" s="8">
        <f>IF(AND(Таблицаx_2[[#This Row],[Месяц окончания]]=Таблицаx_2[[#This Row],[Месяц]],Таблицаx_2[[#This Row],[id]]=A765,EDATE(Таблицаx_2[[#This Row],[Месяц]],2)=D765),F765,0)</f>
        <v>0</v>
      </c>
    </row>
    <row r="765" spans="1:11" ht="12.75" hidden="1" customHeight="1" x14ac:dyDescent="0.2">
      <c r="A765" s="8">
        <v>916</v>
      </c>
      <c r="B765" s="8" t="s">
        <v>45</v>
      </c>
      <c r="C765" s="8" t="s">
        <v>4</v>
      </c>
      <c r="D765" s="12">
        <v>45139</v>
      </c>
      <c r="E765" s="8">
        <v>763110</v>
      </c>
      <c r="F765" s="10">
        <f>IF(ISTEXT(Таблицаx_2[[#This Row],[Значение]]), 0, Таблицаx_2[[#This Row],[Значение]])</f>
        <v>763110</v>
      </c>
      <c r="G765" s="12">
        <v>45139</v>
      </c>
      <c r="H765" s="10" t="str">
        <f>IFERROR(VLOOKUP(Таблицаx_2[[#This Row],[id]],prolongations!A:C,2,)," ")</f>
        <v>август 2023</v>
      </c>
      <c r="I765" s="10">
        <f>IF(Таблицаx_2[[#This Row],[Месяц окончания]]=Таблицаx_2[[#This Row],[Месяц]],Таблицаx_2[[#This Row],[Значения числа]],0)</f>
        <v>763110</v>
      </c>
      <c r="J765" s="8">
        <f>IF(AND(Таблицаx_2[[#This Row],[Месяц окончания]]=Таблицаx_2[[#This Row],[Месяц]],Таблицаx_2[[#This Row],[id]]=A766,EDATE(Таблицаx_2[[#This Row],[Месяц]],1)=D766),F766,0)</f>
        <v>0</v>
      </c>
      <c r="K765" s="8">
        <f>IF(AND(Таблицаx_2[[#This Row],[Месяц окончания]]=Таблицаx_2[[#This Row],[Месяц]],Таблицаx_2[[#This Row],[id]]=A766,EDATE(Таблицаx_2[[#This Row],[Месяц]],2)=D766),F766,0)</f>
        <v>0</v>
      </c>
    </row>
    <row r="766" spans="1:11" ht="12.75" hidden="1" customHeight="1" x14ac:dyDescent="0.2">
      <c r="A766" s="8">
        <v>923</v>
      </c>
      <c r="B766" s="8"/>
      <c r="C766" s="8" t="s">
        <v>6</v>
      </c>
      <c r="D766" s="12">
        <v>45108</v>
      </c>
      <c r="E766" s="8">
        <v>36640</v>
      </c>
      <c r="F766" s="10">
        <f>IF(ISTEXT(Таблицаx_2[[#This Row],[Значение]]), 0, Таблицаx_2[[#This Row],[Значение]])</f>
        <v>36640</v>
      </c>
      <c r="G766" s="12">
        <v>45139</v>
      </c>
      <c r="H766" s="10" t="str">
        <f>IFERROR(VLOOKUP(Таблицаx_2[[#This Row],[id]],prolongations!A:C,2,)," ")</f>
        <v>август 2023</v>
      </c>
      <c r="I766" s="10">
        <f>IF(Таблицаx_2[[#This Row],[Месяц окончания]]=Таблицаx_2[[#This Row],[Месяц]],Таблицаx_2[[#This Row],[Значения числа]],0)</f>
        <v>0</v>
      </c>
      <c r="J766" s="8">
        <f>IF(AND(Таблицаx_2[[#This Row],[Месяц окончания]]=Таблицаx_2[[#This Row],[Месяц]],Таблицаx_2[[#This Row],[id]]=A767,EDATE(Таблицаx_2[[#This Row],[Месяц]],1)=D767),F767,0)</f>
        <v>0</v>
      </c>
      <c r="K766" s="8">
        <f>IF(AND(Таблицаx_2[[#This Row],[Месяц окончания]]=Таблицаx_2[[#This Row],[Месяц]],Таблицаx_2[[#This Row],[id]]=A767,EDATE(Таблицаx_2[[#This Row],[Месяц]],2)=D767),F767,0)</f>
        <v>0</v>
      </c>
    </row>
    <row r="767" spans="1:11" ht="12.75" hidden="1" customHeight="1" x14ac:dyDescent="0.2">
      <c r="A767" s="8">
        <v>923</v>
      </c>
      <c r="B767" s="8"/>
      <c r="C767" s="8" t="s">
        <v>6</v>
      </c>
      <c r="D767" s="12">
        <v>45139</v>
      </c>
      <c r="E767" s="8">
        <v>32750</v>
      </c>
      <c r="F767" s="10">
        <f>IF(ISTEXT(Таблицаx_2[[#This Row],[Значение]]), 0, Таблицаx_2[[#This Row],[Значение]])</f>
        <v>32750</v>
      </c>
      <c r="G767" s="12">
        <v>45139</v>
      </c>
      <c r="H767" s="10" t="str">
        <f>IFERROR(VLOOKUP(Таблицаx_2[[#This Row],[id]],prolongations!A:C,2,)," ")</f>
        <v>август 2023</v>
      </c>
      <c r="I767" s="10">
        <f>IF(Таблицаx_2[[#This Row],[Месяц окончания]]=Таблицаx_2[[#This Row],[Месяц]],Таблицаx_2[[#This Row],[Значения числа]],0)</f>
        <v>32750</v>
      </c>
      <c r="J767" s="8">
        <f>IF(AND(Таблицаx_2[[#This Row],[Месяц окончания]]=Таблицаx_2[[#This Row],[Месяц]],Таблицаx_2[[#This Row],[id]]=A768,EDATE(Таблицаx_2[[#This Row],[Месяц]],1)=D768),F768,0)</f>
        <v>0</v>
      </c>
      <c r="K767" s="8">
        <f>IF(AND(Таблицаx_2[[#This Row],[Месяц окончания]]=Таблицаx_2[[#This Row],[Месяц]],Таблицаx_2[[#This Row],[id]]=A768,EDATE(Таблицаx_2[[#This Row],[Месяц]],2)=D768),F768,0)</f>
        <v>0</v>
      </c>
    </row>
    <row r="768" spans="1:11" ht="12.75" hidden="1" customHeight="1" x14ac:dyDescent="0.2">
      <c r="A768" s="8">
        <v>633</v>
      </c>
      <c r="B768" s="8"/>
      <c r="C768" s="8" t="s">
        <v>4</v>
      </c>
      <c r="D768" s="12">
        <v>44866</v>
      </c>
      <c r="E768" s="8">
        <v>40200</v>
      </c>
      <c r="F768" s="10">
        <f>IF(ISTEXT(Таблицаx_2[[#This Row],[Значение]]), 0, Таблицаx_2[[#This Row],[Значение]])</f>
        <v>40200</v>
      </c>
      <c r="G768" s="12">
        <v>44866</v>
      </c>
      <c r="H768" s="10" t="str">
        <f>IFERROR(VLOOKUP(Таблицаx_2[[#This Row],[id]],prolongations!A:C,2,)," ")</f>
        <v>ноябрь 2022</v>
      </c>
      <c r="I768" s="10">
        <f>IF(Таблицаx_2[[#This Row],[Месяц окончания]]=Таблицаx_2[[#This Row],[Месяц]],Таблицаx_2[[#This Row],[Значения числа]],0)</f>
        <v>40200</v>
      </c>
      <c r="J768" s="8">
        <f>IF(AND(Таблицаx_2[[#This Row],[Месяц окончания]]=Таблицаx_2[[#This Row],[Месяц]],Таблицаx_2[[#This Row],[id]]=A769,EDATE(Таблицаx_2[[#This Row],[Месяц]],1)=D769),F769,0)</f>
        <v>40200</v>
      </c>
      <c r="K768" s="8">
        <f>IF(AND(Таблицаx_2[[#This Row],[Месяц окончания]]=Таблицаx_2[[#This Row],[Месяц]],Таблицаx_2[[#This Row],[id]]=A769,EDATE(Таблицаx_2[[#This Row],[Месяц]],2)=D769),F769,0)</f>
        <v>0</v>
      </c>
    </row>
    <row r="769" spans="1:11" ht="12.75" hidden="1" customHeight="1" x14ac:dyDescent="0.2">
      <c r="A769" s="8">
        <v>633</v>
      </c>
      <c r="B769" s="8"/>
      <c r="C769" s="8" t="s">
        <v>4</v>
      </c>
      <c r="D769" s="12">
        <v>44896</v>
      </c>
      <c r="E769" s="8">
        <v>40200</v>
      </c>
      <c r="F769" s="10">
        <f>IF(ISTEXT(Таблицаx_2[[#This Row],[Значение]]), 0, Таблицаx_2[[#This Row],[Значение]])</f>
        <v>40200</v>
      </c>
      <c r="G769" s="12">
        <v>44866</v>
      </c>
      <c r="H769" s="10" t="str">
        <f>IFERROR(VLOOKUP(Таблицаx_2[[#This Row],[id]],prolongations!A:C,2,)," ")</f>
        <v>ноябрь 2022</v>
      </c>
      <c r="I769" s="10">
        <f>IF(Таблицаx_2[[#This Row],[Месяц окончания]]=Таблицаx_2[[#This Row],[Месяц]],Таблицаx_2[[#This Row],[Значения числа]],0)</f>
        <v>0</v>
      </c>
      <c r="J769" s="8">
        <f>IF(AND(Таблицаx_2[[#This Row],[Месяц окончания]]=Таблицаx_2[[#This Row],[Месяц]],Таблицаx_2[[#This Row],[id]]=A770,EDATE(Таблицаx_2[[#This Row],[Месяц]],1)=D770),F770,0)</f>
        <v>0</v>
      </c>
      <c r="K769" s="8">
        <f>IF(AND(Таблицаx_2[[#This Row],[Месяц окончания]]=Таблицаx_2[[#This Row],[Месяц]],Таблицаx_2[[#This Row],[id]]=A770,EDATE(Таблицаx_2[[#This Row],[Месяц]],2)=D770),F770,0)</f>
        <v>0</v>
      </c>
    </row>
    <row r="770" spans="1:11" ht="12.75" hidden="1" customHeight="1" x14ac:dyDescent="0.2">
      <c r="A770" s="8">
        <v>633</v>
      </c>
      <c r="B770" s="8"/>
      <c r="C770" s="8" t="s">
        <v>4</v>
      </c>
      <c r="D770" s="12">
        <v>44927</v>
      </c>
      <c r="E770" s="8">
        <v>40200</v>
      </c>
      <c r="F770" s="10">
        <f>IF(ISTEXT(Таблицаx_2[[#This Row],[Значение]]), 0, Таблицаx_2[[#This Row],[Значение]])</f>
        <v>40200</v>
      </c>
      <c r="G770" s="12">
        <v>44866</v>
      </c>
      <c r="H770" s="10" t="str">
        <f>IFERROR(VLOOKUP(Таблицаx_2[[#This Row],[id]],prolongations!A:C,2,)," ")</f>
        <v>ноябрь 2022</v>
      </c>
      <c r="I770" s="10">
        <f>IF(Таблицаx_2[[#This Row],[Месяц окончания]]=Таблицаx_2[[#This Row],[Месяц]],Таблицаx_2[[#This Row],[Значения числа]],0)</f>
        <v>0</v>
      </c>
      <c r="J770" s="8">
        <f>IF(AND(Таблицаx_2[[#This Row],[Месяц окончания]]=Таблицаx_2[[#This Row],[Месяц]],Таблицаx_2[[#This Row],[id]]=A771,EDATE(Таблицаx_2[[#This Row],[Месяц]],1)=D771),F771,0)</f>
        <v>0</v>
      </c>
      <c r="K770" s="8">
        <f>IF(AND(Таблицаx_2[[#This Row],[Месяц окончания]]=Таблицаx_2[[#This Row],[Месяц]],Таблицаx_2[[#This Row],[id]]=A771,EDATE(Таблицаx_2[[#This Row],[Месяц]],2)=D771),F771,0)</f>
        <v>0</v>
      </c>
    </row>
    <row r="771" spans="1:11" ht="12.75" hidden="1" customHeight="1" x14ac:dyDescent="0.2">
      <c r="A771" s="8">
        <v>633</v>
      </c>
      <c r="B771" s="8"/>
      <c r="C771" s="8" t="s">
        <v>4</v>
      </c>
      <c r="D771" s="12">
        <v>44958</v>
      </c>
      <c r="E771" s="8">
        <v>40200</v>
      </c>
      <c r="F771" s="10">
        <f>IF(ISTEXT(Таблицаx_2[[#This Row],[Значение]]), 0, Таблицаx_2[[#This Row],[Значение]])</f>
        <v>40200</v>
      </c>
      <c r="G771" s="12">
        <v>44866</v>
      </c>
      <c r="H771" s="10" t="str">
        <f>IFERROR(VLOOKUP(Таблицаx_2[[#This Row],[id]],prolongations!A:C,2,)," ")</f>
        <v>ноябрь 2022</v>
      </c>
      <c r="I771" s="10">
        <f>IF(Таблицаx_2[[#This Row],[Месяц окончания]]=Таблицаx_2[[#This Row],[Месяц]],Таблицаx_2[[#This Row],[Значения числа]],0)</f>
        <v>0</v>
      </c>
      <c r="J771" s="8">
        <f>IF(AND(Таблицаx_2[[#This Row],[Месяц окончания]]=Таблицаx_2[[#This Row],[Месяц]],Таблицаx_2[[#This Row],[id]]=A772,EDATE(Таблицаx_2[[#This Row],[Месяц]],1)=D772),F772,0)</f>
        <v>0</v>
      </c>
      <c r="K771" s="8">
        <f>IF(AND(Таблицаx_2[[#This Row],[Месяц окончания]]=Таблицаx_2[[#This Row],[Месяц]],Таблицаx_2[[#This Row],[id]]=A772,EDATE(Таблицаx_2[[#This Row],[Месяц]],2)=D772),F772,0)</f>
        <v>0</v>
      </c>
    </row>
    <row r="772" spans="1:11" ht="12.75" hidden="1" customHeight="1" x14ac:dyDescent="0.2">
      <c r="A772" s="8">
        <v>633</v>
      </c>
      <c r="B772" s="8"/>
      <c r="C772" s="8" t="s">
        <v>4</v>
      </c>
      <c r="D772" s="12">
        <v>45017</v>
      </c>
      <c r="E772" s="8">
        <v>40200</v>
      </c>
      <c r="F772" s="10">
        <f>IF(ISTEXT(Таблицаx_2[[#This Row],[Значение]]), 0, Таблицаx_2[[#This Row],[Значение]])</f>
        <v>40200</v>
      </c>
      <c r="G772" s="12">
        <v>44866</v>
      </c>
      <c r="H772" s="10" t="str">
        <f>IFERROR(VLOOKUP(Таблицаx_2[[#This Row],[id]],prolongations!A:C,2,)," ")</f>
        <v>ноябрь 2022</v>
      </c>
      <c r="I772" s="10">
        <f>IF(Таблицаx_2[[#This Row],[Месяц окончания]]=Таблицаx_2[[#This Row],[Месяц]],Таблицаx_2[[#This Row],[Значения числа]],0)</f>
        <v>0</v>
      </c>
      <c r="J772" s="8">
        <f>IF(AND(Таблицаx_2[[#This Row],[Месяц окончания]]=Таблицаx_2[[#This Row],[Месяц]],Таблицаx_2[[#This Row],[id]]=A773,EDATE(Таблицаx_2[[#This Row],[Месяц]],1)=D773),F773,0)</f>
        <v>0</v>
      </c>
      <c r="K772" s="8">
        <f>IF(AND(Таблицаx_2[[#This Row],[Месяц окончания]]=Таблицаx_2[[#This Row],[Месяц]],Таблицаx_2[[#This Row],[id]]=A773,EDATE(Таблицаx_2[[#This Row],[Месяц]],2)=D773),F773,0)</f>
        <v>0</v>
      </c>
    </row>
    <row r="773" spans="1:11" ht="12.75" hidden="1" customHeight="1" x14ac:dyDescent="0.2">
      <c r="A773" s="8">
        <v>633</v>
      </c>
      <c r="B773" s="8"/>
      <c r="C773" s="8" t="s">
        <v>4</v>
      </c>
      <c r="D773" s="12">
        <v>45047</v>
      </c>
      <c r="E773" s="8">
        <v>40200</v>
      </c>
      <c r="F773" s="10">
        <f>IF(ISTEXT(Таблицаx_2[[#This Row],[Значение]]), 0, Таблицаx_2[[#This Row],[Значение]])</f>
        <v>40200</v>
      </c>
      <c r="G773" s="12">
        <v>44866</v>
      </c>
      <c r="H773" s="10" t="str">
        <f>IFERROR(VLOOKUP(Таблицаx_2[[#This Row],[id]],prolongations!A:C,2,)," ")</f>
        <v>ноябрь 2022</v>
      </c>
      <c r="I773" s="10">
        <f>IF(Таблицаx_2[[#This Row],[Месяц окончания]]=Таблицаx_2[[#This Row],[Месяц]],Таблицаx_2[[#This Row],[Значения числа]],0)</f>
        <v>0</v>
      </c>
      <c r="J773" s="8">
        <f>IF(AND(Таблицаx_2[[#This Row],[Месяц окончания]]=Таблицаx_2[[#This Row],[Месяц]],Таблицаx_2[[#This Row],[id]]=A774,EDATE(Таблицаx_2[[#This Row],[Месяц]],1)=D774),F774,0)</f>
        <v>0</v>
      </c>
      <c r="K773" s="8">
        <f>IF(AND(Таблицаx_2[[#This Row],[Месяц окончания]]=Таблицаx_2[[#This Row],[Месяц]],Таблицаx_2[[#This Row],[id]]=A774,EDATE(Таблицаx_2[[#This Row],[Месяц]],2)=D774),F774,0)</f>
        <v>0</v>
      </c>
    </row>
    <row r="774" spans="1:11" ht="12.75" hidden="1" customHeight="1" x14ac:dyDescent="0.2">
      <c r="A774" s="8">
        <v>633</v>
      </c>
      <c r="B774" s="8"/>
      <c r="C774" s="8" t="s">
        <v>4</v>
      </c>
      <c r="D774" s="12">
        <v>45078</v>
      </c>
      <c r="E774" s="8">
        <v>166465</v>
      </c>
      <c r="F774" s="10">
        <f>IF(ISTEXT(Таблицаx_2[[#This Row],[Значение]]), 0, Таблицаx_2[[#This Row],[Значение]])</f>
        <v>166465</v>
      </c>
      <c r="G774" s="12">
        <v>44866</v>
      </c>
      <c r="H774" s="10" t="str">
        <f>IFERROR(VLOOKUP(Таблицаx_2[[#This Row],[id]],prolongations!A:C,2,)," ")</f>
        <v>ноябрь 2022</v>
      </c>
      <c r="I774" s="10">
        <f>IF(Таблицаx_2[[#This Row],[Месяц окончания]]=Таблицаx_2[[#This Row],[Месяц]],Таблицаx_2[[#This Row],[Значения числа]],0)</f>
        <v>0</v>
      </c>
      <c r="J774" s="8">
        <f>IF(AND(Таблицаx_2[[#This Row],[Месяц окончания]]=Таблицаx_2[[#This Row],[Месяц]],Таблицаx_2[[#This Row],[id]]=A775,EDATE(Таблицаx_2[[#This Row],[Месяц]],1)=D775),F775,0)</f>
        <v>0</v>
      </c>
      <c r="K774" s="8">
        <f>IF(AND(Таблицаx_2[[#This Row],[Месяц окончания]]=Таблицаx_2[[#This Row],[Месяц]],Таблицаx_2[[#This Row],[id]]=A775,EDATE(Таблицаx_2[[#This Row],[Месяц]],2)=D775),F775,0)</f>
        <v>0</v>
      </c>
    </row>
    <row r="775" spans="1:11" ht="12.75" hidden="1" customHeight="1" x14ac:dyDescent="0.2">
      <c r="A775" s="8">
        <v>633</v>
      </c>
      <c r="B775" s="8"/>
      <c r="C775" s="8" t="s">
        <v>4</v>
      </c>
      <c r="D775" s="12">
        <v>45108</v>
      </c>
      <c r="E775" s="8">
        <v>166500</v>
      </c>
      <c r="F775" s="10">
        <f>IF(ISTEXT(Таблицаx_2[[#This Row],[Значение]]), 0, Таблицаx_2[[#This Row],[Значение]])</f>
        <v>166500</v>
      </c>
      <c r="G775" s="12">
        <v>44866</v>
      </c>
      <c r="H775" s="10" t="str">
        <f>IFERROR(VLOOKUP(Таблицаx_2[[#This Row],[id]],prolongations!A:C,2,)," ")</f>
        <v>ноябрь 2022</v>
      </c>
      <c r="I775" s="10">
        <f>IF(Таблицаx_2[[#This Row],[Месяц окончания]]=Таблицаx_2[[#This Row],[Месяц]],Таблицаx_2[[#This Row],[Значения числа]],0)</f>
        <v>0</v>
      </c>
      <c r="J775" s="8">
        <f>IF(AND(Таблицаx_2[[#This Row],[Месяц окончания]]=Таблицаx_2[[#This Row],[Месяц]],Таблицаx_2[[#This Row],[id]]=A776,EDATE(Таблицаx_2[[#This Row],[Месяц]],1)=D776),F776,0)</f>
        <v>0</v>
      </c>
      <c r="K775" s="8">
        <f>IF(AND(Таблицаx_2[[#This Row],[Месяц окончания]]=Таблицаx_2[[#This Row],[Месяц]],Таблицаx_2[[#This Row],[id]]=A776,EDATE(Таблицаx_2[[#This Row],[Месяц]],2)=D776),F776,0)</f>
        <v>0</v>
      </c>
    </row>
    <row r="776" spans="1:11" ht="12.75" hidden="1" customHeight="1" x14ac:dyDescent="0.2">
      <c r="A776" s="8">
        <v>633</v>
      </c>
      <c r="B776" s="8"/>
      <c r="C776" s="8" t="s">
        <v>4</v>
      </c>
      <c r="D776" s="12">
        <v>45139</v>
      </c>
      <c r="E776" s="8">
        <v>166500</v>
      </c>
      <c r="F776" s="10">
        <f>IF(ISTEXT(Таблицаx_2[[#This Row],[Значение]]), 0, Таблицаx_2[[#This Row],[Значение]])</f>
        <v>166500</v>
      </c>
      <c r="G776" s="12">
        <v>44866</v>
      </c>
      <c r="H776" s="10" t="str">
        <f>IFERROR(VLOOKUP(Таблицаx_2[[#This Row],[id]],prolongations!A:C,2,)," ")</f>
        <v>ноябрь 2022</v>
      </c>
      <c r="I776" s="10">
        <f>IF(Таблицаx_2[[#This Row],[Месяц окончания]]=Таблицаx_2[[#This Row],[Месяц]],Таблицаx_2[[#This Row],[Значения числа]],0)</f>
        <v>0</v>
      </c>
      <c r="J776" s="8">
        <f>IF(AND(Таблицаx_2[[#This Row],[Месяц окончания]]=Таблицаx_2[[#This Row],[Месяц]],Таблицаx_2[[#This Row],[id]]=A777,EDATE(Таблицаx_2[[#This Row],[Месяц]],1)=D777),F777,0)</f>
        <v>0</v>
      </c>
      <c r="K776" s="8">
        <f>IF(AND(Таблицаx_2[[#This Row],[Месяц окончания]]=Таблицаx_2[[#This Row],[Месяц]],Таблицаx_2[[#This Row],[id]]=A777,EDATE(Таблицаx_2[[#This Row],[Месяц]],2)=D777),F777,0)</f>
        <v>0</v>
      </c>
    </row>
    <row r="777" spans="1:11" ht="12.75" hidden="1" customHeight="1" x14ac:dyDescent="0.2">
      <c r="A777" s="8">
        <v>713</v>
      </c>
      <c r="B777" s="8" t="s">
        <v>45</v>
      </c>
      <c r="C777" s="8" t="s">
        <v>7</v>
      </c>
      <c r="D777" s="12">
        <v>44927</v>
      </c>
      <c r="E777" s="8">
        <v>73610</v>
      </c>
      <c r="F777" s="10">
        <f>IF(ISTEXT(Таблицаx_2[[#This Row],[Значение]]), 0, Таблицаx_2[[#This Row],[Значение]])</f>
        <v>73610</v>
      </c>
      <c r="G777" s="12">
        <v>44986</v>
      </c>
      <c r="H777" s="10" t="str">
        <f>IFERROR(VLOOKUP(Таблицаx_2[[#This Row],[id]],prolongations!A:C,2,)," ")</f>
        <v>март 2023</v>
      </c>
      <c r="I777" s="10">
        <f>IF(Таблицаx_2[[#This Row],[Месяц окончания]]=Таблицаx_2[[#This Row],[Месяц]],Таблицаx_2[[#This Row],[Значения числа]],0)</f>
        <v>0</v>
      </c>
      <c r="J777" s="8">
        <f>IF(AND(Таблицаx_2[[#This Row],[Месяц окончания]]=Таблицаx_2[[#This Row],[Месяц]],Таблицаx_2[[#This Row],[id]]=A778,EDATE(Таблицаx_2[[#This Row],[Месяц]],1)=D778),F778,0)</f>
        <v>0</v>
      </c>
      <c r="K777" s="8">
        <f>IF(AND(Таблицаx_2[[#This Row],[Месяц окончания]]=Таблицаx_2[[#This Row],[Месяц]],Таблицаx_2[[#This Row],[id]]=A778,EDATE(Таблицаx_2[[#This Row],[Месяц]],2)=D778),F778,0)</f>
        <v>0</v>
      </c>
    </row>
    <row r="778" spans="1:11" ht="12.75" hidden="1" customHeight="1" x14ac:dyDescent="0.2">
      <c r="A778" s="8">
        <v>713</v>
      </c>
      <c r="B778" s="8" t="s">
        <v>45</v>
      </c>
      <c r="C778" s="8" t="s">
        <v>7</v>
      </c>
      <c r="D778" s="12">
        <v>44958</v>
      </c>
      <c r="E778" s="8">
        <v>64625</v>
      </c>
      <c r="F778" s="10">
        <f>IF(ISTEXT(Таблицаx_2[[#This Row],[Значение]]), 0, Таблицаx_2[[#This Row],[Значение]])</f>
        <v>64625</v>
      </c>
      <c r="G778" s="12">
        <v>44986</v>
      </c>
      <c r="H778" s="10" t="str">
        <f>IFERROR(VLOOKUP(Таблицаx_2[[#This Row],[id]],prolongations!A:C,2,)," ")</f>
        <v>март 2023</v>
      </c>
      <c r="I778" s="10">
        <f>IF(Таблицаx_2[[#This Row],[Месяц окончания]]=Таблицаx_2[[#This Row],[Месяц]],Таблицаx_2[[#This Row],[Значения числа]],0)</f>
        <v>0</v>
      </c>
      <c r="J778" s="8">
        <f>IF(AND(Таблицаx_2[[#This Row],[Месяц окончания]]=Таблицаx_2[[#This Row],[Месяц]],Таблицаx_2[[#This Row],[id]]=A779,EDATE(Таблицаx_2[[#This Row],[Месяц]],1)=D779),F779,0)</f>
        <v>0</v>
      </c>
      <c r="K778" s="8">
        <f>IF(AND(Таблицаx_2[[#This Row],[Месяц окончания]]=Таблицаx_2[[#This Row],[Месяц]],Таблицаx_2[[#This Row],[id]]=A779,EDATE(Таблицаx_2[[#This Row],[Месяц]],2)=D779),F779,0)</f>
        <v>0</v>
      </c>
    </row>
    <row r="779" spans="1:11" ht="12.75" hidden="1" customHeight="1" x14ac:dyDescent="0.2">
      <c r="A779" s="8">
        <v>713</v>
      </c>
      <c r="B779" s="8" t="s">
        <v>45</v>
      </c>
      <c r="C779" s="8" t="s">
        <v>7</v>
      </c>
      <c r="D779" s="12">
        <v>44986</v>
      </c>
      <c r="E779" s="8">
        <v>51805</v>
      </c>
      <c r="F779" s="10">
        <f>IF(ISTEXT(Таблицаx_2[[#This Row],[Значение]]), 0, Таблицаx_2[[#This Row],[Значение]])</f>
        <v>51805</v>
      </c>
      <c r="G779" s="12">
        <v>44986</v>
      </c>
      <c r="H779" s="10" t="str">
        <f>IFERROR(VLOOKUP(Таблицаx_2[[#This Row],[id]],prolongations!A:C,2,)," ")</f>
        <v>март 2023</v>
      </c>
      <c r="I779" s="10">
        <f>IF(Таблицаx_2[[#This Row],[Месяц окончания]]=Таблицаx_2[[#This Row],[Месяц]],Таблицаx_2[[#This Row],[Значения числа]],0)</f>
        <v>51805</v>
      </c>
      <c r="J779" s="8">
        <f>IF(AND(Таблицаx_2[[#This Row],[Месяц окончания]]=Таблицаx_2[[#This Row],[Месяц]],Таблицаx_2[[#This Row],[id]]=A780,EDATE(Таблицаx_2[[#This Row],[Месяц]],1)=D780),F780,0)</f>
        <v>65520</v>
      </c>
      <c r="K779" s="8">
        <f>IF(AND(Таблицаx_2[[#This Row],[Месяц окончания]]=Таблицаx_2[[#This Row],[Месяц]],Таблицаx_2[[#This Row],[id]]=A780,EDATE(Таблицаx_2[[#This Row],[Месяц]],2)=D780),F780,0)</f>
        <v>0</v>
      </c>
    </row>
    <row r="780" spans="1:11" ht="12.75" hidden="1" customHeight="1" x14ac:dyDescent="0.2">
      <c r="A780" s="8">
        <v>713</v>
      </c>
      <c r="B780" s="8" t="s">
        <v>45</v>
      </c>
      <c r="C780" s="8" t="s">
        <v>7</v>
      </c>
      <c r="D780" s="12">
        <v>45017</v>
      </c>
      <c r="E780" s="8">
        <v>65520</v>
      </c>
      <c r="F780" s="10">
        <f>IF(ISTEXT(Таблицаx_2[[#This Row],[Значение]]), 0, Таблицаx_2[[#This Row],[Значение]])</f>
        <v>65520</v>
      </c>
      <c r="G780" s="12">
        <v>44986</v>
      </c>
      <c r="H780" s="10" t="str">
        <f>IFERROR(VLOOKUP(Таблицаx_2[[#This Row],[id]],prolongations!A:C,2,)," ")</f>
        <v>март 2023</v>
      </c>
      <c r="I780" s="10">
        <f>IF(Таблицаx_2[[#This Row],[Месяц окончания]]=Таблицаx_2[[#This Row],[Месяц]],Таблицаx_2[[#This Row],[Значения числа]],0)</f>
        <v>0</v>
      </c>
      <c r="J780" s="8">
        <f>IF(AND(Таблицаx_2[[#This Row],[Месяц окончания]]=Таблицаx_2[[#This Row],[Месяц]],Таблицаx_2[[#This Row],[id]]=A781,EDATE(Таблицаx_2[[#This Row],[Месяц]],1)=D781),F781,0)</f>
        <v>0</v>
      </c>
      <c r="K780" s="8">
        <f>IF(AND(Таблицаx_2[[#This Row],[Месяц окончания]]=Таблицаx_2[[#This Row],[Месяц]],Таблицаx_2[[#This Row],[id]]=A781,EDATE(Таблицаx_2[[#This Row],[Месяц]],2)=D781),F781,0)</f>
        <v>0</v>
      </c>
    </row>
    <row r="781" spans="1:11" ht="12.75" hidden="1" customHeight="1" x14ac:dyDescent="0.2">
      <c r="A781" s="8">
        <v>713</v>
      </c>
      <c r="B781" s="8" t="s">
        <v>45</v>
      </c>
      <c r="C781" s="8" t="s">
        <v>7</v>
      </c>
      <c r="D781" s="12">
        <v>45047</v>
      </c>
      <c r="E781" s="8">
        <v>65315</v>
      </c>
      <c r="F781" s="10">
        <f>IF(ISTEXT(Таблицаx_2[[#This Row],[Значение]]), 0, Таблицаx_2[[#This Row],[Значение]])</f>
        <v>65315</v>
      </c>
      <c r="G781" s="12">
        <v>44986</v>
      </c>
      <c r="H781" s="10" t="str">
        <f>IFERROR(VLOOKUP(Таблицаx_2[[#This Row],[id]],prolongations!A:C,2,)," ")</f>
        <v>март 2023</v>
      </c>
      <c r="I781" s="10">
        <f>IF(Таблицаx_2[[#This Row],[Месяц окончания]]=Таблицаx_2[[#This Row],[Месяц]],Таблицаx_2[[#This Row],[Значения числа]],0)</f>
        <v>0</v>
      </c>
      <c r="J781" s="8">
        <f>IF(AND(Таблицаx_2[[#This Row],[Месяц окончания]]=Таблицаx_2[[#This Row],[Месяц]],Таблицаx_2[[#This Row],[id]]=A782,EDATE(Таблицаx_2[[#This Row],[Месяц]],1)=D782),F782,0)</f>
        <v>0</v>
      </c>
      <c r="K781" s="8">
        <f>IF(AND(Таблицаx_2[[#This Row],[Месяц окончания]]=Таблицаx_2[[#This Row],[Месяц]],Таблицаx_2[[#This Row],[id]]=A782,EDATE(Таблицаx_2[[#This Row],[Месяц]],2)=D782),F782,0)</f>
        <v>0</v>
      </c>
    </row>
    <row r="782" spans="1:11" ht="12.75" hidden="1" customHeight="1" x14ac:dyDescent="0.2">
      <c r="A782" s="8">
        <v>713</v>
      </c>
      <c r="B782" s="8" t="s">
        <v>45</v>
      </c>
      <c r="C782" s="8" t="s">
        <v>7</v>
      </c>
      <c r="D782" s="12">
        <v>45078</v>
      </c>
      <c r="E782" s="8">
        <v>65265</v>
      </c>
      <c r="F782" s="10">
        <f>IF(ISTEXT(Таблицаx_2[[#This Row],[Значение]]), 0, Таблицаx_2[[#This Row],[Значение]])</f>
        <v>65265</v>
      </c>
      <c r="G782" s="12">
        <v>44986</v>
      </c>
      <c r="H782" s="10" t="str">
        <f>IFERROR(VLOOKUP(Таблицаx_2[[#This Row],[id]],prolongations!A:C,2,)," ")</f>
        <v>март 2023</v>
      </c>
      <c r="I782" s="10">
        <f>IF(Таблицаx_2[[#This Row],[Месяц окончания]]=Таблицаx_2[[#This Row],[Месяц]],Таблицаx_2[[#This Row],[Значения числа]],0)</f>
        <v>0</v>
      </c>
      <c r="J782" s="8">
        <f>IF(AND(Таблицаx_2[[#This Row],[Месяц окончания]]=Таблицаx_2[[#This Row],[Месяц]],Таблицаx_2[[#This Row],[id]]=A783,EDATE(Таблицаx_2[[#This Row],[Месяц]],1)=D783),F783,0)</f>
        <v>0</v>
      </c>
      <c r="K782" s="8">
        <f>IF(AND(Таблицаx_2[[#This Row],[Месяц окончания]]=Таблицаx_2[[#This Row],[Месяц]],Таблицаx_2[[#This Row],[id]]=A783,EDATE(Таблицаx_2[[#This Row],[Месяц]],2)=D783),F783,0)</f>
        <v>0</v>
      </c>
    </row>
    <row r="783" spans="1:11" ht="12.75" hidden="1" customHeight="1" x14ac:dyDescent="0.2">
      <c r="A783" s="8">
        <v>713</v>
      </c>
      <c r="B783" s="8" t="s">
        <v>45</v>
      </c>
      <c r="C783" s="8" t="s">
        <v>7</v>
      </c>
      <c r="D783" s="12">
        <v>45108</v>
      </c>
      <c r="E783" s="8">
        <v>65265</v>
      </c>
      <c r="F783" s="10">
        <f>IF(ISTEXT(Таблицаx_2[[#This Row],[Значение]]), 0, Таблицаx_2[[#This Row],[Значение]])</f>
        <v>65265</v>
      </c>
      <c r="G783" s="12">
        <v>44986</v>
      </c>
      <c r="H783" s="10" t="str">
        <f>IFERROR(VLOOKUP(Таблицаx_2[[#This Row],[id]],prolongations!A:C,2,)," ")</f>
        <v>март 2023</v>
      </c>
      <c r="I783" s="10">
        <f>IF(Таблицаx_2[[#This Row],[Месяц окончания]]=Таблицаx_2[[#This Row],[Месяц]],Таблицаx_2[[#This Row],[Значения числа]],0)</f>
        <v>0</v>
      </c>
      <c r="J783" s="8">
        <f>IF(AND(Таблицаx_2[[#This Row],[Месяц окончания]]=Таблицаx_2[[#This Row],[Месяц]],Таблицаx_2[[#This Row],[id]]=A784,EDATE(Таблицаx_2[[#This Row],[Месяц]],1)=D784),F784,0)</f>
        <v>0</v>
      </c>
      <c r="K783" s="8">
        <f>IF(AND(Таблицаx_2[[#This Row],[Месяц окончания]]=Таблицаx_2[[#This Row],[Месяц]],Таблицаx_2[[#This Row],[id]]=A784,EDATE(Таблицаx_2[[#This Row],[Месяц]],2)=D784),F784,0)</f>
        <v>0</v>
      </c>
    </row>
    <row r="784" spans="1:11" ht="12.75" hidden="1" customHeight="1" x14ac:dyDescent="0.2">
      <c r="A784" s="8">
        <v>713</v>
      </c>
      <c r="B784" s="8" t="s">
        <v>45</v>
      </c>
      <c r="C784" s="8" t="s">
        <v>7</v>
      </c>
      <c r="D784" s="12">
        <v>45139</v>
      </c>
      <c r="E784" s="8" t="s">
        <v>46</v>
      </c>
      <c r="F784" s="10">
        <f>IF(ISTEXT(Таблицаx_2[[#This Row],[Значение]]), 0, Таблицаx_2[[#This Row],[Значение]])</f>
        <v>0</v>
      </c>
      <c r="G784" s="12">
        <v>44986</v>
      </c>
      <c r="H784" s="10" t="str">
        <f>IFERROR(VLOOKUP(Таблицаx_2[[#This Row],[id]],prolongations!A:C,2,)," ")</f>
        <v>март 2023</v>
      </c>
      <c r="I784" s="10">
        <f>IF(Таблицаx_2[[#This Row],[Месяц окончания]]=Таблицаx_2[[#This Row],[Месяц]],Таблицаx_2[[#This Row],[Значения числа]],0)</f>
        <v>0</v>
      </c>
      <c r="J784" s="8">
        <f>IF(AND(Таблицаx_2[[#This Row],[Месяц окончания]]=Таблицаx_2[[#This Row],[Месяц]],Таблицаx_2[[#This Row],[id]]=A785,EDATE(Таблицаx_2[[#This Row],[Месяц]],1)=D785),F785,0)</f>
        <v>0</v>
      </c>
      <c r="K784" s="8">
        <f>IF(AND(Таблицаx_2[[#This Row],[Месяц окончания]]=Таблицаx_2[[#This Row],[Месяц]],Таблицаx_2[[#This Row],[id]]=A785,EDATE(Таблицаx_2[[#This Row],[Месяц]],2)=D785),F785,0)</f>
        <v>0</v>
      </c>
    </row>
    <row r="785" spans="1:11" ht="12.75" hidden="1" customHeight="1" x14ac:dyDescent="0.2">
      <c r="A785" s="8">
        <v>713</v>
      </c>
      <c r="B785" s="8" t="s">
        <v>47</v>
      </c>
      <c r="C785" s="8" t="s">
        <v>7</v>
      </c>
      <c r="D785" s="12">
        <v>44986</v>
      </c>
      <c r="E785" s="8">
        <v>11765</v>
      </c>
      <c r="F785" s="10">
        <f>IF(ISTEXT(Таблицаx_2[[#This Row],[Значение]]), 0, Таблицаx_2[[#This Row],[Значение]])</f>
        <v>11765</v>
      </c>
      <c r="G785" s="12">
        <v>44986</v>
      </c>
      <c r="H785" s="10" t="str">
        <f>IFERROR(VLOOKUP(Таблицаx_2[[#This Row],[id]],prolongations!A:C,2,)," ")</f>
        <v>март 2023</v>
      </c>
      <c r="I785" s="10">
        <f>IF(Таблицаx_2[[#This Row],[Месяц окончания]]=Таблицаx_2[[#This Row],[Месяц]],Таблицаx_2[[#This Row],[Значения числа]],0)</f>
        <v>11765</v>
      </c>
      <c r="J785" s="8">
        <f>IF(AND(Таблицаx_2[[#This Row],[Месяц окончания]]=Таблицаx_2[[#This Row],[Месяц]],Таблицаx_2[[#This Row],[id]]=A786,EDATE(Таблицаx_2[[#This Row],[Месяц]],1)=D786),F786,0)</f>
        <v>0</v>
      </c>
      <c r="K785" s="8">
        <f>IF(AND(Таблицаx_2[[#This Row],[Месяц окончания]]=Таблицаx_2[[#This Row],[Месяц]],Таблицаx_2[[#This Row],[id]]=A786,EDATE(Таблицаx_2[[#This Row],[Месяц]],2)=D786),F786,0)</f>
        <v>0</v>
      </c>
    </row>
    <row r="786" spans="1:11" ht="12.75" hidden="1" customHeight="1" x14ac:dyDescent="0.2">
      <c r="A786" s="8">
        <v>829</v>
      </c>
      <c r="B786" s="8" t="s">
        <v>45</v>
      </c>
      <c r="C786" s="8" t="s">
        <v>8</v>
      </c>
      <c r="D786" s="12">
        <v>45108</v>
      </c>
      <c r="E786" s="8">
        <v>13400</v>
      </c>
      <c r="F786" s="10">
        <f>IF(ISTEXT(Таблицаx_2[[#This Row],[Значение]]), 0, Таблицаx_2[[#This Row],[Значение]])</f>
        <v>13400</v>
      </c>
      <c r="G786" s="12">
        <v>45047</v>
      </c>
      <c r="H786" s="10" t="str">
        <f>IFERROR(VLOOKUP(Таблицаx_2[[#This Row],[id]],prolongations!A:C,2,)," ")</f>
        <v>май 2023</v>
      </c>
      <c r="I786" s="10">
        <f>IF(Таблицаx_2[[#This Row],[Месяц окончания]]=Таблицаx_2[[#This Row],[Месяц]],Таблицаx_2[[#This Row],[Значения числа]],0)</f>
        <v>0</v>
      </c>
      <c r="J786" s="8">
        <f>IF(AND(Таблицаx_2[[#This Row],[Месяц окончания]]=Таблицаx_2[[#This Row],[Месяц]],Таблицаx_2[[#This Row],[id]]=A787,EDATE(Таблицаx_2[[#This Row],[Месяц]],1)=D787),F787,0)</f>
        <v>0</v>
      </c>
      <c r="K786" s="8">
        <f>IF(AND(Таблицаx_2[[#This Row],[Месяц окончания]]=Таблицаx_2[[#This Row],[Месяц]],Таблицаx_2[[#This Row],[id]]=A787,EDATE(Таблицаx_2[[#This Row],[Месяц]],2)=D787),F787,0)</f>
        <v>0</v>
      </c>
    </row>
    <row r="787" spans="1:11" ht="12.75" hidden="1" customHeight="1" x14ac:dyDescent="0.2">
      <c r="A787" s="8">
        <v>829</v>
      </c>
      <c r="B787" s="8" t="s">
        <v>45</v>
      </c>
      <c r="C787" s="8" t="s">
        <v>8</v>
      </c>
      <c r="D787" s="12">
        <v>45139</v>
      </c>
      <c r="E787" s="8">
        <v>13400</v>
      </c>
      <c r="F787" s="10">
        <f>IF(ISTEXT(Таблицаx_2[[#This Row],[Значение]]), 0, Таблицаx_2[[#This Row],[Значение]])</f>
        <v>13400</v>
      </c>
      <c r="G787" s="12">
        <v>45047</v>
      </c>
      <c r="H787" s="10" t="str">
        <f>IFERROR(VLOOKUP(Таблицаx_2[[#This Row],[id]],prolongations!A:C,2,)," ")</f>
        <v>май 2023</v>
      </c>
      <c r="I787" s="10">
        <f>IF(Таблицаx_2[[#This Row],[Месяц окончания]]=Таблицаx_2[[#This Row],[Месяц]],Таблицаx_2[[#This Row],[Значения числа]],0)</f>
        <v>0</v>
      </c>
      <c r="J787" s="8">
        <f>IF(AND(Таблицаx_2[[#This Row],[Месяц окончания]]=Таблицаx_2[[#This Row],[Месяц]],Таблицаx_2[[#This Row],[id]]=A788,EDATE(Таблицаx_2[[#This Row],[Месяц]],1)=D788),F788,0)</f>
        <v>0</v>
      </c>
      <c r="K787" s="8">
        <f>IF(AND(Таблицаx_2[[#This Row],[Месяц окончания]]=Таблицаx_2[[#This Row],[Месяц]],Таблицаx_2[[#This Row],[id]]=A788,EDATE(Таблицаx_2[[#This Row],[Месяц]],2)=D788),F788,0)</f>
        <v>0</v>
      </c>
    </row>
    <row r="788" spans="1:11" ht="12.75" hidden="1" customHeight="1" x14ac:dyDescent="0.2">
      <c r="A788" s="8">
        <v>829</v>
      </c>
      <c r="B788" s="8" t="s">
        <v>47</v>
      </c>
      <c r="C788" s="8" t="s">
        <v>8</v>
      </c>
      <c r="D788" s="12">
        <v>45017</v>
      </c>
      <c r="E788" s="8" t="s">
        <v>48</v>
      </c>
      <c r="F788" s="10">
        <f>IF(ISTEXT(Таблицаx_2[[#This Row],[Значение]]), 0, Таблицаx_2[[#This Row],[Значение]])</f>
        <v>0</v>
      </c>
      <c r="G788" s="12">
        <v>45047</v>
      </c>
      <c r="H788" s="10" t="str">
        <f>IFERROR(VLOOKUP(Таблицаx_2[[#This Row],[id]],prolongations!A:C,2,)," ")</f>
        <v>май 2023</v>
      </c>
      <c r="I788" s="10">
        <f>IF(Таблицаx_2[[#This Row],[Месяц окончания]]=Таблицаx_2[[#This Row],[Месяц]],Таблицаx_2[[#This Row],[Значения числа]],0)</f>
        <v>0</v>
      </c>
      <c r="J788" s="8">
        <f>IF(AND(Таблицаx_2[[#This Row],[Месяц окончания]]=Таблицаx_2[[#This Row],[Месяц]],Таблицаx_2[[#This Row],[id]]=A789,EDATE(Таблицаx_2[[#This Row],[Месяц]],1)=D789),F789,0)</f>
        <v>0</v>
      </c>
      <c r="K788" s="8">
        <f>IF(AND(Таблицаx_2[[#This Row],[Месяц окончания]]=Таблицаx_2[[#This Row],[Месяц]],Таблицаx_2[[#This Row],[id]]=A789,EDATE(Таблицаx_2[[#This Row],[Месяц]],2)=D789),F789,0)</f>
        <v>0</v>
      </c>
    </row>
    <row r="789" spans="1:11" ht="12.75" hidden="1" customHeight="1" x14ac:dyDescent="0.2">
      <c r="A789" s="8">
        <v>829</v>
      </c>
      <c r="B789" s="8" t="s">
        <v>47</v>
      </c>
      <c r="C789" s="8" t="s">
        <v>8</v>
      </c>
      <c r="D789" s="12">
        <v>45047</v>
      </c>
      <c r="E789" s="8" t="s">
        <v>48</v>
      </c>
      <c r="F789" s="10">
        <f>IF(ISTEXT(Таблицаx_2[[#This Row],[Значение]]), 0, Таблицаx_2[[#This Row],[Значение]])</f>
        <v>0</v>
      </c>
      <c r="G789" s="12">
        <v>45047</v>
      </c>
      <c r="H789" s="10" t="str">
        <f>IFERROR(VLOOKUP(Таблицаx_2[[#This Row],[id]],prolongations!A:C,2,)," ")</f>
        <v>май 2023</v>
      </c>
      <c r="I789" s="10">
        <f>IF(Таблицаx_2[[#This Row],[Месяц окончания]]=Таблицаx_2[[#This Row],[Месяц]],Таблицаx_2[[#This Row],[Значения числа]],0)</f>
        <v>0</v>
      </c>
      <c r="J789" s="8">
        <f>IF(AND(Таблицаx_2[[#This Row],[Месяц окончания]]=Таблицаx_2[[#This Row],[Месяц]],Таблицаx_2[[#This Row],[id]]=A790,EDATE(Таблицаx_2[[#This Row],[Месяц]],1)=D790),F790,0)</f>
        <v>0</v>
      </c>
      <c r="K789" s="8">
        <f>IF(AND(Таблицаx_2[[#This Row],[Месяц окончания]]=Таблицаx_2[[#This Row],[Месяц]],Таблицаx_2[[#This Row],[id]]=A790,EDATE(Таблицаx_2[[#This Row],[Месяц]],2)=D790),F790,0)</f>
        <v>25500</v>
      </c>
    </row>
    <row r="790" spans="1:11" ht="12.75" hidden="1" customHeight="1" x14ac:dyDescent="0.2">
      <c r="A790" s="8">
        <v>829</v>
      </c>
      <c r="B790" s="8" t="s">
        <v>47</v>
      </c>
      <c r="C790" s="8" t="s">
        <v>8</v>
      </c>
      <c r="D790" s="12">
        <v>45108</v>
      </c>
      <c r="E790" s="8">
        <v>25500</v>
      </c>
      <c r="F790" s="10">
        <f>IF(ISTEXT(Таблицаx_2[[#This Row],[Значение]]), 0, Таблицаx_2[[#This Row],[Значение]])</f>
        <v>25500</v>
      </c>
      <c r="G790" s="12">
        <v>45047</v>
      </c>
      <c r="H790" s="10" t="str">
        <f>IFERROR(VLOOKUP(Таблицаx_2[[#This Row],[id]],prolongations!A:C,2,)," ")</f>
        <v>май 2023</v>
      </c>
      <c r="I790" s="10">
        <f>IF(Таблицаx_2[[#This Row],[Месяц окончания]]=Таблицаx_2[[#This Row],[Месяц]],Таблицаx_2[[#This Row],[Значения числа]],0)</f>
        <v>0</v>
      </c>
      <c r="J790" s="8">
        <f>IF(AND(Таблицаx_2[[#This Row],[Месяц окончания]]=Таблицаx_2[[#This Row],[Месяц]],Таблицаx_2[[#This Row],[id]]=A791,EDATE(Таблицаx_2[[#This Row],[Месяц]],1)=D791),F791,0)</f>
        <v>0</v>
      </c>
      <c r="K790" s="8">
        <f>IF(AND(Таблицаx_2[[#This Row],[Месяц окончания]]=Таблицаx_2[[#This Row],[Месяц]],Таблицаx_2[[#This Row],[id]]=A791,EDATE(Таблицаx_2[[#This Row],[Месяц]],2)=D791),F791,0)</f>
        <v>0</v>
      </c>
    </row>
    <row r="791" spans="1:11" ht="12.75" hidden="1" customHeight="1" x14ac:dyDescent="0.2">
      <c r="A791" s="8">
        <v>829</v>
      </c>
      <c r="B791" s="8" t="s">
        <v>47</v>
      </c>
      <c r="C791" s="8" t="s">
        <v>8</v>
      </c>
      <c r="D791" s="12">
        <v>45139</v>
      </c>
      <c r="E791" s="8" t="s">
        <v>48</v>
      </c>
      <c r="F791" s="10">
        <f>IF(ISTEXT(Таблицаx_2[[#This Row],[Значение]]), 0, Таблицаx_2[[#This Row],[Значение]])</f>
        <v>0</v>
      </c>
      <c r="G791" s="12">
        <v>45047</v>
      </c>
      <c r="H791" s="10" t="str">
        <f>IFERROR(VLOOKUP(Таблицаx_2[[#This Row],[id]],prolongations!A:C,2,)," ")</f>
        <v>май 2023</v>
      </c>
      <c r="I791" s="10">
        <f>IF(Таблицаx_2[[#This Row],[Месяц окончания]]=Таблицаx_2[[#This Row],[Месяц]],Таблицаx_2[[#This Row],[Значения числа]],0)</f>
        <v>0</v>
      </c>
      <c r="J791" s="8">
        <f>IF(AND(Таблицаx_2[[#This Row],[Месяц окончания]]=Таблицаx_2[[#This Row],[Месяц]],Таблицаx_2[[#This Row],[id]]=A792,EDATE(Таблицаx_2[[#This Row],[Месяц]],1)=D792),F792,0)</f>
        <v>0</v>
      </c>
      <c r="K791" s="8">
        <f>IF(AND(Таблицаx_2[[#This Row],[Месяц окончания]]=Таблицаx_2[[#This Row],[Месяц]],Таблицаx_2[[#This Row],[id]]=A792,EDATE(Таблицаx_2[[#This Row],[Месяц]],2)=D792),F792,0)</f>
        <v>0</v>
      </c>
    </row>
    <row r="792" spans="1:11" ht="12.75" hidden="1" customHeight="1" x14ac:dyDescent="0.2">
      <c r="A792" s="8">
        <v>846</v>
      </c>
      <c r="B792" s="8" t="s">
        <v>52</v>
      </c>
      <c r="C792" s="8" t="s">
        <v>7</v>
      </c>
      <c r="D792" s="12">
        <v>45047</v>
      </c>
      <c r="E792" s="8">
        <v>95795</v>
      </c>
      <c r="F792" s="10">
        <f>IF(ISTEXT(Таблицаx_2[[#This Row],[Значение]]), 0, Таблицаx_2[[#This Row],[Значение]])</f>
        <v>95795</v>
      </c>
      <c r="G792" s="12">
        <v>45139</v>
      </c>
      <c r="H792" s="10" t="str">
        <f>IFERROR(VLOOKUP(Таблицаx_2[[#This Row],[id]],prolongations!A:C,2,)," ")</f>
        <v>август 2023</v>
      </c>
      <c r="I792" s="10">
        <f>IF(Таблицаx_2[[#This Row],[Месяц окончания]]=Таблицаx_2[[#This Row],[Месяц]],Таблицаx_2[[#This Row],[Значения числа]],0)</f>
        <v>0</v>
      </c>
      <c r="J792" s="8">
        <f>IF(AND(Таблицаx_2[[#This Row],[Месяц окончания]]=Таблицаx_2[[#This Row],[Месяц]],Таблицаx_2[[#This Row],[id]]=A793,EDATE(Таблицаx_2[[#This Row],[Месяц]],1)=D793),F793,0)</f>
        <v>0</v>
      </c>
      <c r="K792" s="8">
        <f>IF(AND(Таблицаx_2[[#This Row],[Месяц окончания]]=Таблицаx_2[[#This Row],[Месяц]],Таблицаx_2[[#This Row],[id]]=A793,EDATE(Таблицаx_2[[#This Row],[Месяц]],2)=D793),F793,0)</f>
        <v>0</v>
      </c>
    </row>
    <row r="793" spans="1:11" ht="12.75" hidden="1" customHeight="1" x14ac:dyDescent="0.2">
      <c r="A793" s="8">
        <v>846</v>
      </c>
      <c r="B793" s="8" t="s">
        <v>52</v>
      </c>
      <c r="C793" s="8" t="s">
        <v>7</v>
      </c>
      <c r="D793" s="12">
        <v>45078</v>
      </c>
      <c r="E793" s="8">
        <v>74795</v>
      </c>
      <c r="F793" s="10">
        <f>IF(ISTEXT(Таблицаx_2[[#This Row],[Значение]]), 0, Таблицаx_2[[#This Row],[Значение]])</f>
        <v>74795</v>
      </c>
      <c r="G793" s="12">
        <v>45139</v>
      </c>
      <c r="H793" s="10" t="str">
        <f>IFERROR(VLOOKUP(Таблицаx_2[[#This Row],[id]],prolongations!A:C,2,)," ")</f>
        <v>август 2023</v>
      </c>
      <c r="I793" s="10">
        <f>IF(Таблицаx_2[[#This Row],[Месяц окончания]]=Таблицаx_2[[#This Row],[Месяц]],Таблицаx_2[[#This Row],[Значения числа]],0)</f>
        <v>0</v>
      </c>
      <c r="J793" s="8">
        <f>IF(AND(Таблицаx_2[[#This Row],[Месяц окончания]]=Таблицаx_2[[#This Row],[Месяц]],Таблицаx_2[[#This Row],[id]]=A794,EDATE(Таблицаx_2[[#This Row],[Месяц]],1)=D794),F794,0)</f>
        <v>0</v>
      </c>
      <c r="K793" s="8">
        <f>IF(AND(Таблицаx_2[[#This Row],[Месяц окончания]]=Таблицаx_2[[#This Row],[Месяц]],Таблицаx_2[[#This Row],[id]]=A794,EDATE(Таблицаx_2[[#This Row],[Месяц]],2)=D794),F794,0)</f>
        <v>0</v>
      </c>
    </row>
    <row r="794" spans="1:11" ht="12.75" hidden="1" customHeight="1" x14ac:dyDescent="0.2">
      <c r="A794" s="8">
        <v>846</v>
      </c>
      <c r="B794" s="8" t="s">
        <v>52</v>
      </c>
      <c r="C794" s="8" t="s">
        <v>7</v>
      </c>
      <c r="D794" s="12">
        <v>45108</v>
      </c>
      <c r="E794" s="8">
        <v>74795</v>
      </c>
      <c r="F794" s="10">
        <f>IF(ISTEXT(Таблицаx_2[[#This Row],[Значение]]), 0, Таблицаx_2[[#This Row],[Значение]])</f>
        <v>74795</v>
      </c>
      <c r="G794" s="12">
        <v>45139</v>
      </c>
      <c r="H794" s="10" t="str">
        <f>IFERROR(VLOOKUP(Таблицаx_2[[#This Row],[id]],prolongations!A:C,2,)," ")</f>
        <v>август 2023</v>
      </c>
      <c r="I794" s="10">
        <f>IF(Таблицаx_2[[#This Row],[Месяц окончания]]=Таблицаx_2[[#This Row],[Месяц]],Таблицаx_2[[#This Row],[Значения числа]],0)</f>
        <v>0</v>
      </c>
      <c r="J794" s="8">
        <f>IF(AND(Таблицаx_2[[#This Row],[Месяц окончания]]=Таблицаx_2[[#This Row],[Месяц]],Таблицаx_2[[#This Row],[id]]=A795,EDATE(Таблицаx_2[[#This Row],[Месяц]],1)=D795),F795,0)</f>
        <v>0</v>
      </c>
      <c r="K794" s="8">
        <f>IF(AND(Таблицаx_2[[#This Row],[Месяц окончания]]=Таблицаx_2[[#This Row],[Месяц]],Таблицаx_2[[#This Row],[id]]=A795,EDATE(Таблицаx_2[[#This Row],[Месяц]],2)=D795),F795,0)</f>
        <v>0</v>
      </c>
    </row>
    <row r="795" spans="1:11" ht="12.75" hidden="1" customHeight="1" x14ac:dyDescent="0.2">
      <c r="A795" s="8">
        <v>846</v>
      </c>
      <c r="B795" s="8" t="s">
        <v>52</v>
      </c>
      <c r="C795" s="8" t="s">
        <v>7</v>
      </c>
      <c r="D795" s="12">
        <v>45139</v>
      </c>
      <c r="E795" s="8">
        <v>74795</v>
      </c>
      <c r="F795" s="10">
        <f>IF(ISTEXT(Таблицаx_2[[#This Row],[Значение]]), 0, Таблицаx_2[[#This Row],[Значение]])</f>
        <v>74795</v>
      </c>
      <c r="G795" s="12">
        <v>45139</v>
      </c>
      <c r="H795" s="10" t="str">
        <f>IFERROR(VLOOKUP(Таблицаx_2[[#This Row],[id]],prolongations!A:C,2,)," ")</f>
        <v>август 2023</v>
      </c>
      <c r="I795" s="10">
        <f>IF(Таблицаx_2[[#This Row],[Месяц окончания]]=Таблицаx_2[[#This Row],[Месяц]],Таблицаx_2[[#This Row],[Значения числа]],0)</f>
        <v>74795</v>
      </c>
      <c r="J795" s="8">
        <f>IF(AND(Таблицаx_2[[#This Row],[Месяц окончания]]=Таблицаx_2[[#This Row],[Месяц]],Таблицаx_2[[#This Row],[id]]=A796,EDATE(Таблицаx_2[[#This Row],[Месяц]],1)=D796),F796,0)</f>
        <v>74795</v>
      </c>
      <c r="K795" s="8">
        <f>IF(AND(Таблицаx_2[[#This Row],[Месяц окончания]]=Таблицаx_2[[#This Row],[Месяц]],Таблицаx_2[[#This Row],[id]]=A796,EDATE(Таблицаx_2[[#This Row],[Месяц]],2)=D796),F796,0)</f>
        <v>0</v>
      </c>
    </row>
    <row r="796" spans="1:11" ht="12.75" hidden="1" customHeight="1" x14ac:dyDescent="0.2">
      <c r="A796" s="8">
        <v>846</v>
      </c>
      <c r="B796" s="8" t="s">
        <v>52</v>
      </c>
      <c r="C796" s="8" t="s">
        <v>7</v>
      </c>
      <c r="D796" s="12">
        <v>45170</v>
      </c>
      <c r="E796" s="8">
        <v>74795</v>
      </c>
      <c r="F796" s="10">
        <f>IF(ISTEXT(Таблицаx_2[[#This Row],[Значение]]), 0, Таблицаx_2[[#This Row],[Значение]])</f>
        <v>74795</v>
      </c>
      <c r="G796" s="12">
        <v>45139</v>
      </c>
      <c r="H796" s="10" t="str">
        <f>IFERROR(VLOOKUP(Таблицаx_2[[#This Row],[id]],prolongations!A:C,2,)," ")</f>
        <v>август 2023</v>
      </c>
      <c r="I796" s="10">
        <f>IF(Таблицаx_2[[#This Row],[Месяц окончания]]=Таблицаx_2[[#This Row],[Месяц]],Таблицаx_2[[#This Row],[Значения числа]],0)</f>
        <v>0</v>
      </c>
      <c r="J796" s="8">
        <f>IF(AND(Таблицаx_2[[#This Row],[Месяц окончания]]=Таблицаx_2[[#This Row],[Месяц]],Таблицаx_2[[#This Row],[id]]=A797,EDATE(Таблицаx_2[[#This Row],[Месяц]],1)=D797),F797,0)</f>
        <v>0</v>
      </c>
      <c r="K796" s="8">
        <f>IF(AND(Таблицаx_2[[#This Row],[Месяц окончания]]=Таблицаx_2[[#This Row],[Месяц]],Таблицаx_2[[#This Row],[id]]=A797,EDATE(Таблицаx_2[[#This Row],[Месяц]],2)=D797),F797,0)</f>
        <v>0</v>
      </c>
    </row>
    <row r="797" spans="1:11" ht="12.75" hidden="1" customHeight="1" x14ac:dyDescent="0.2">
      <c r="A797" s="8">
        <v>846</v>
      </c>
      <c r="B797" s="8" t="s">
        <v>52</v>
      </c>
      <c r="C797" s="8" t="s">
        <v>7</v>
      </c>
      <c r="D797" s="12">
        <v>45200</v>
      </c>
      <c r="E797" s="8">
        <v>74795</v>
      </c>
      <c r="F797" s="10">
        <f>IF(ISTEXT(Таблицаx_2[[#This Row],[Значение]]), 0, Таблицаx_2[[#This Row],[Значение]])</f>
        <v>74795</v>
      </c>
      <c r="G797" s="12">
        <v>45139</v>
      </c>
      <c r="H797" s="10" t="str">
        <f>IFERROR(VLOOKUP(Таблицаx_2[[#This Row],[id]],prolongations!A:C,2,)," ")</f>
        <v>август 2023</v>
      </c>
      <c r="I797" s="10">
        <f>IF(Таблицаx_2[[#This Row],[Месяц окончания]]=Таблицаx_2[[#This Row],[Месяц]],Таблицаx_2[[#This Row],[Значения числа]],0)</f>
        <v>0</v>
      </c>
      <c r="J797" s="8">
        <f>IF(AND(Таблицаx_2[[#This Row],[Месяц окончания]]=Таблицаx_2[[#This Row],[Месяц]],Таблицаx_2[[#This Row],[id]]=A798,EDATE(Таблицаx_2[[#This Row],[Месяц]],1)=D798),F798,0)</f>
        <v>0</v>
      </c>
      <c r="K797" s="8">
        <f>IF(AND(Таблицаx_2[[#This Row],[Месяц окончания]]=Таблицаx_2[[#This Row],[Месяц]],Таблицаx_2[[#This Row],[id]]=A798,EDATE(Таблицаx_2[[#This Row],[Месяц]],2)=D798),F798,0)</f>
        <v>0</v>
      </c>
    </row>
    <row r="798" spans="1:11" ht="12.75" hidden="1" customHeight="1" x14ac:dyDescent="0.2">
      <c r="A798" s="8">
        <v>846</v>
      </c>
      <c r="B798" s="8" t="s">
        <v>52</v>
      </c>
      <c r="C798" s="8" t="s">
        <v>7</v>
      </c>
      <c r="D798" s="12">
        <v>45231</v>
      </c>
      <c r="E798" s="8">
        <v>74795</v>
      </c>
      <c r="F798" s="10">
        <f>IF(ISTEXT(Таблицаx_2[[#This Row],[Значение]]), 0, Таблицаx_2[[#This Row],[Значение]])</f>
        <v>74795</v>
      </c>
      <c r="G798" s="12">
        <v>45139</v>
      </c>
      <c r="H798" s="10" t="str">
        <f>IFERROR(VLOOKUP(Таблицаx_2[[#This Row],[id]],prolongations!A:C,2,)," ")</f>
        <v>август 2023</v>
      </c>
      <c r="I798" s="10">
        <f>IF(Таблицаx_2[[#This Row],[Месяц окончания]]=Таблицаx_2[[#This Row],[Месяц]],Таблицаx_2[[#This Row],[Значения числа]],0)</f>
        <v>0</v>
      </c>
      <c r="J798" s="8">
        <f>IF(AND(Таблицаx_2[[#This Row],[Месяц окончания]]=Таблицаx_2[[#This Row],[Месяц]],Таблицаx_2[[#This Row],[id]]=A799,EDATE(Таблицаx_2[[#This Row],[Месяц]],1)=D799),F799,0)</f>
        <v>0</v>
      </c>
      <c r="K798" s="8">
        <f>IF(AND(Таблицаx_2[[#This Row],[Месяц окончания]]=Таблицаx_2[[#This Row],[Месяц]],Таблицаx_2[[#This Row],[id]]=A799,EDATE(Таблицаx_2[[#This Row],[Месяц]],2)=D799),F799,0)</f>
        <v>0</v>
      </c>
    </row>
    <row r="799" spans="1:11" ht="12.75" hidden="1" customHeight="1" x14ac:dyDescent="0.2">
      <c r="A799" s="8">
        <v>846</v>
      </c>
      <c r="B799" s="8" t="s">
        <v>52</v>
      </c>
      <c r="C799" s="8" t="s">
        <v>7</v>
      </c>
      <c r="D799" s="12">
        <v>45261</v>
      </c>
      <c r="E799" s="8">
        <v>74795</v>
      </c>
      <c r="F799" s="10">
        <f>IF(ISTEXT(Таблицаx_2[[#This Row],[Значение]]), 0, Таблицаx_2[[#This Row],[Значение]])</f>
        <v>74795</v>
      </c>
      <c r="G799" s="12">
        <v>45139</v>
      </c>
      <c r="H799" s="10" t="str">
        <f>IFERROR(VLOOKUP(Таблицаx_2[[#This Row],[id]],prolongations!A:C,2,)," ")</f>
        <v>август 2023</v>
      </c>
      <c r="I799" s="10">
        <f>IF(Таблицаx_2[[#This Row],[Месяц окончания]]=Таблицаx_2[[#This Row],[Месяц]],Таблицаx_2[[#This Row],[Значения числа]],0)</f>
        <v>0</v>
      </c>
      <c r="J799" s="8">
        <f>IF(AND(Таблицаx_2[[#This Row],[Месяц окончания]]=Таблицаx_2[[#This Row],[Месяц]],Таблицаx_2[[#This Row],[id]]=A800,EDATE(Таблицаx_2[[#This Row],[Месяц]],1)=D800),F800,0)</f>
        <v>0</v>
      </c>
      <c r="K799" s="8">
        <f>IF(AND(Таблицаx_2[[#This Row],[Месяц окончания]]=Таблицаx_2[[#This Row],[Месяц]],Таблицаx_2[[#This Row],[id]]=A800,EDATE(Таблицаx_2[[#This Row],[Месяц]],2)=D800),F800,0)</f>
        <v>0</v>
      </c>
    </row>
    <row r="800" spans="1:11" ht="12.75" hidden="1" customHeight="1" x14ac:dyDescent="0.2">
      <c r="A800" s="8">
        <v>846</v>
      </c>
      <c r="B800" s="8" t="s">
        <v>52</v>
      </c>
      <c r="C800" s="8" t="s">
        <v>7</v>
      </c>
      <c r="D800" s="12">
        <v>45292</v>
      </c>
      <c r="E800" s="8">
        <v>74795</v>
      </c>
      <c r="F800" s="10">
        <f>IF(ISTEXT(Таблицаx_2[[#This Row],[Значение]]), 0, Таблицаx_2[[#This Row],[Значение]])</f>
        <v>74795</v>
      </c>
      <c r="G800" s="12">
        <v>45139</v>
      </c>
      <c r="H800" s="10" t="str">
        <f>IFERROR(VLOOKUP(Таблицаx_2[[#This Row],[id]],prolongations!A:C,2,)," ")</f>
        <v>август 2023</v>
      </c>
      <c r="I800" s="10">
        <f>IF(Таблицаx_2[[#This Row],[Месяц окончания]]=Таблицаx_2[[#This Row],[Месяц]],Таблицаx_2[[#This Row],[Значения числа]],0)</f>
        <v>0</v>
      </c>
      <c r="J800" s="8">
        <f>IF(AND(Таблицаx_2[[#This Row],[Месяц окончания]]=Таблицаx_2[[#This Row],[Месяц]],Таблицаx_2[[#This Row],[id]]=A801,EDATE(Таблицаx_2[[#This Row],[Месяц]],1)=D801),F801,0)</f>
        <v>0</v>
      </c>
      <c r="K800" s="8">
        <f>IF(AND(Таблицаx_2[[#This Row],[Месяц окончания]]=Таблицаx_2[[#This Row],[Месяц]],Таблицаx_2[[#This Row],[id]]=A801,EDATE(Таблицаx_2[[#This Row],[Месяц]],2)=D801),F801,0)</f>
        <v>0</v>
      </c>
    </row>
    <row r="801" spans="1:11" ht="12.75" hidden="1" customHeight="1" x14ac:dyDescent="0.2">
      <c r="A801" s="8">
        <v>846</v>
      </c>
      <c r="B801" s="8" t="s">
        <v>52</v>
      </c>
      <c r="C801" s="8" t="s">
        <v>7</v>
      </c>
      <c r="D801" s="12">
        <v>45323</v>
      </c>
      <c r="E801" s="8">
        <v>74795</v>
      </c>
      <c r="F801" s="10">
        <f>IF(ISTEXT(Таблицаx_2[[#This Row],[Значение]]), 0, Таблицаx_2[[#This Row],[Значение]])</f>
        <v>74795</v>
      </c>
      <c r="G801" s="12">
        <v>45139</v>
      </c>
      <c r="H801" s="10" t="str">
        <f>IFERROR(VLOOKUP(Таблицаx_2[[#This Row],[id]],prolongations!A:C,2,)," ")</f>
        <v>август 2023</v>
      </c>
      <c r="I801" s="10">
        <f>IF(Таблицаx_2[[#This Row],[Месяц окончания]]=Таблицаx_2[[#This Row],[Месяц]],Таблицаx_2[[#This Row],[Значения числа]],0)</f>
        <v>0</v>
      </c>
      <c r="J801" s="8">
        <f>IF(AND(Таблицаx_2[[#This Row],[Месяц окончания]]=Таблицаx_2[[#This Row],[Месяц]],Таблицаx_2[[#This Row],[id]]=A802,EDATE(Таблицаx_2[[#This Row],[Месяц]],1)=D802),F802,0)</f>
        <v>0</v>
      </c>
      <c r="K801" s="8">
        <f>IF(AND(Таблицаx_2[[#This Row],[Месяц окончания]]=Таблицаx_2[[#This Row],[Месяц]],Таблицаx_2[[#This Row],[id]]=A802,EDATE(Таблицаx_2[[#This Row],[Месяц]],2)=D802),F802,0)</f>
        <v>0</v>
      </c>
    </row>
    <row r="802" spans="1:11" ht="12.75" hidden="1" customHeight="1" x14ac:dyDescent="0.2">
      <c r="A802" s="8">
        <v>348</v>
      </c>
      <c r="B802" s="8"/>
      <c r="C802" s="8" t="s">
        <v>8</v>
      </c>
      <c r="D802" s="12">
        <v>44866</v>
      </c>
      <c r="E802" s="8">
        <v>14860</v>
      </c>
      <c r="F802" s="10">
        <f>IF(ISTEXT(Таблицаx_2[[#This Row],[Значение]]), 0, Таблицаx_2[[#This Row],[Значение]])</f>
        <v>14860</v>
      </c>
      <c r="G802" s="12">
        <v>44958</v>
      </c>
      <c r="H802" s="10" t="str">
        <f>IFERROR(VLOOKUP(Таблицаx_2[[#This Row],[id]],prolongations!A:C,2,)," ")</f>
        <v>февраль 2023</v>
      </c>
      <c r="I802" s="10">
        <f>IF(Таблицаx_2[[#This Row],[Месяц окончания]]=Таблицаx_2[[#This Row],[Месяц]],Таблицаx_2[[#This Row],[Значения числа]],0)</f>
        <v>0</v>
      </c>
      <c r="J802" s="8">
        <f>IF(AND(Таблицаx_2[[#This Row],[Месяц окончания]]=Таблицаx_2[[#This Row],[Месяц]],Таблицаx_2[[#This Row],[id]]=A803,EDATE(Таблицаx_2[[#This Row],[Месяц]],1)=D803),F803,0)</f>
        <v>0</v>
      </c>
      <c r="K802" s="8">
        <f>IF(AND(Таблицаx_2[[#This Row],[Месяц окончания]]=Таблицаx_2[[#This Row],[Месяц]],Таблицаx_2[[#This Row],[id]]=A803,EDATE(Таблицаx_2[[#This Row],[Месяц]],2)=D803),F803,0)</f>
        <v>0</v>
      </c>
    </row>
    <row r="803" spans="1:11" ht="12.75" hidden="1" customHeight="1" x14ac:dyDescent="0.2">
      <c r="A803" s="8">
        <v>348</v>
      </c>
      <c r="B803" s="8"/>
      <c r="C803" s="8" t="s">
        <v>8</v>
      </c>
      <c r="D803" s="12">
        <v>44896</v>
      </c>
      <c r="E803" s="8">
        <v>14860</v>
      </c>
      <c r="F803" s="10">
        <f>IF(ISTEXT(Таблицаx_2[[#This Row],[Значение]]), 0, Таблицаx_2[[#This Row],[Значение]])</f>
        <v>14860</v>
      </c>
      <c r="G803" s="12">
        <v>44958</v>
      </c>
      <c r="H803" s="10" t="str">
        <f>IFERROR(VLOOKUP(Таблицаx_2[[#This Row],[id]],prolongations!A:C,2,)," ")</f>
        <v>февраль 2023</v>
      </c>
      <c r="I803" s="10">
        <f>IF(Таблицаx_2[[#This Row],[Месяц окончания]]=Таблицаx_2[[#This Row],[Месяц]],Таблицаx_2[[#This Row],[Значения числа]],0)</f>
        <v>0</v>
      </c>
      <c r="J803" s="8">
        <f>IF(AND(Таблицаx_2[[#This Row],[Месяц окончания]]=Таблицаx_2[[#This Row],[Месяц]],Таблицаx_2[[#This Row],[id]]=A804,EDATE(Таблицаx_2[[#This Row],[Месяц]],1)=D804),F804,0)</f>
        <v>0</v>
      </c>
      <c r="K803" s="8">
        <f>IF(AND(Таблицаx_2[[#This Row],[Месяц окончания]]=Таблицаx_2[[#This Row],[Месяц]],Таблицаx_2[[#This Row],[id]]=A804,EDATE(Таблицаx_2[[#This Row],[Месяц]],2)=D804),F804,0)</f>
        <v>0</v>
      </c>
    </row>
    <row r="804" spans="1:11" ht="12.75" hidden="1" customHeight="1" x14ac:dyDescent="0.2">
      <c r="A804" s="8">
        <v>348</v>
      </c>
      <c r="B804" s="8"/>
      <c r="C804" s="8" t="s">
        <v>8</v>
      </c>
      <c r="D804" s="12">
        <v>44927</v>
      </c>
      <c r="E804" s="8">
        <v>14860</v>
      </c>
      <c r="F804" s="10">
        <f>IF(ISTEXT(Таблицаx_2[[#This Row],[Значение]]), 0, Таблицаx_2[[#This Row],[Значение]])</f>
        <v>14860</v>
      </c>
      <c r="G804" s="12">
        <v>44958</v>
      </c>
      <c r="H804" s="10" t="str">
        <f>IFERROR(VLOOKUP(Таблицаx_2[[#This Row],[id]],prolongations!A:C,2,)," ")</f>
        <v>февраль 2023</v>
      </c>
      <c r="I804" s="10">
        <f>IF(Таблицаx_2[[#This Row],[Месяц окончания]]=Таблицаx_2[[#This Row],[Месяц]],Таблицаx_2[[#This Row],[Значения числа]],0)</f>
        <v>0</v>
      </c>
      <c r="J804" s="8">
        <f>IF(AND(Таблицаx_2[[#This Row],[Месяц окончания]]=Таблицаx_2[[#This Row],[Месяц]],Таблицаx_2[[#This Row],[id]]=A805,EDATE(Таблицаx_2[[#This Row],[Месяц]],1)=D805),F805,0)</f>
        <v>0</v>
      </c>
      <c r="K804" s="8">
        <f>IF(AND(Таблицаx_2[[#This Row],[Месяц окончания]]=Таблицаx_2[[#This Row],[Месяц]],Таблицаx_2[[#This Row],[id]]=A805,EDATE(Таблицаx_2[[#This Row],[Месяц]],2)=D805),F805,0)</f>
        <v>0</v>
      </c>
    </row>
    <row r="805" spans="1:11" ht="12.75" hidden="1" customHeight="1" x14ac:dyDescent="0.2">
      <c r="A805" s="8">
        <v>348</v>
      </c>
      <c r="B805" s="8"/>
      <c r="C805" s="8" t="s">
        <v>8</v>
      </c>
      <c r="D805" s="12">
        <v>44958</v>
      </c>
      <c r="E805" s="8">
        <v>14860</v>
      </c>
      <c r="F805" s="10">
        <f>IF(ISTEXT(Таблицаx_2[[#This Row],[Значение]]), 0, Таблицаx_2[[#This Row],[Значение]])</f>
        <v>14860</v>
      </c>
      <c r="G805" s="12">
        <v>44958</v>
      </c>
      <c r="H805" s="10" t="str">
        <f>IFERROR(VLOOKUP(Таблицаx_2[[#This Row],[id]],prolongations!A:C,2,)," ")</f>
        <v>февраль 2023</v>
      </c>
      <c r="I805" s="10">
        <f>IF(Таблицаx_2[[#This Row],[Месяц окончания]]=Таблицаx_2[[#This Row],[Месяц]],Таблицаx_2[[#This Row],[Значения числа]],0)</f>
        <v>14860</v>
      </c>
      <c r="J805" s="8">
        <f>IF(AND(Таблицаx_2[[#This Row],[Месяц окончания]]=Таблицаx_2[[#This Row],[Месяц]],Таблицаx_2[[#This Row],[id]]=A806,EDATE(Таблицаx_2[[#This Row],[Месяц]],1)=D806),F806,0)</f>
        <v>0</v>
      </c>
      <c r="K805" s="8">
        <f>IF(AND(Таблицаx_2[[#This Row],[Месяц окончания]]=Таблицаx_2[[#This Row],[Месяц]],Таблицаx_2[[#This Row],[id]]=A806,EDATE(Таблицаx_2[[#This Row],[Месяц]],2)=D806),F806,0)</f>
        <v>17740</v>
      </c>
    </row>
    <row r="806" spans="1:11" ht="12.75" hidden="1" customHeight="1" x14ac:dyDescent="0.2">
      <c r="A806" s="8">
        <v>348</v>
      </c>
      <c r="B806" s="8"/>
      <c r="C806" s="8" t="s">
        <v>8</v>
      </c>
      <c r="D806" s="12">
        <v>45017</v>
      </c>
      <c r="E806" s="8">
        <v>17740</v>
      </c>
      <c r="F806" s="10">
        <f>IF(ISTEXT(Таблицаx_2[[#This Row],[Значение]]), 0, Таблицаx_2[[#This Row],[Значение]])</f>
        <v>17740</v>
      </c>
      <c r="G806" s="12">
        <v>44958</v>
      </c>
      <c r="H806" s="10" t="str">
        <f>IFERROR(VLOOKUP(Таблицаx_2[[#This Row],[id]],prolongations!A:C,2,)," ")</f>
        <v>февраль 2023</v>
      </c>
      <c r="I806" s="10">
        <f>IF(Таблицаx_2[[#This Row],[Месяц окончания]]=Таблицаx_2[[#This Row],[Месяц]],Таблицаx_2[[#This Row],[Значения числа]],0)</f>
        <v>0</v>
      </c>
      <c r="J806" s="8">
        <f>IF(AND(Таблицаx_2[[#This Row],[Месяц окончания]]=Таблицаx_2[[#This Row],[Месяц]],Таблицаx_2[[#This Row],[id]]=A807,EDATE(Таблицаx_2[[#This Row],[Месяц]],1)=D807),F807,0)</f>
        <v>0</v>
      </c>
      <c r="K806" s="8">
        <f>IF(AND(Таблицаx_2[[#This Row],[Месяц окончания]]=Таблицаx_2[[#This Row],[Месяц]],Таблицаx_2[[#This Row],[id]]=A807,EDATE(Таблицаx_2[[#This Row],[Месяц]],2)=D807),F807,0)</f>
        <v>0</v>
      </c>
    </row>
    <row r="807" spans="1:11" ht="12.75" hidden="1" customHeight="1" x14ac:dyDescent="0.2">
      <c r="A807" s="8">
        <v>348</v>
      </c>
      <c r="B807" s="8"/>
      <c r="C807" s="8" t="s">
        <v>8</v>
      </c>
      <c r="D807" s="12">
        <v>45047</v>
      </c>
      <c r="E807" s="8">
        <v>16685</v>
      </c>
      <c r="F807" s="10">
        <f>IF(ISTEXT(Таблицаx_2[[#This Row],[Значение]]), 0, Таблицаx_2[[#This Row],[Значение]])</f>
        <v>16685</v>
      </c>
      <c r="G807" s="12">
        <v>44958</v>
      </c>
      <c r="H807" s="10" t="str">
        <f>IFERROR(VLOOKUP(Таблицаx_2[[#This Row],[id]],prolongations!A:C,2,)," ")</f>
        <v>февраль 2023</v>
      </c>
      <c r="I807" s="10">
        <f>IF(Таблицаx_2[[#This Row],[Месяц окончания]]=Таблицаx_2[[#This Row],[Месяц]],Таблицаx_2[[#This Row],[Значения числа]],0)</f>
        <v>0</v>
      </c>
      <c r="J807" s="8">
        <f>IF(AND(Таблицаx_2[[#This Row],[Месяц окончания]]=Таблицаx_2[[#This Row],[Месяц]],Таблицаx_2[[#This Row],[id]]=A808,EDATE(Таблицаx_2[[#This Row],[Месяц]],1)=D808),F808,0)</f>
        <v>0</v>
      </c>
      <c r="K807" s="8">
        <f>IF(AND(Таблицаx_2[[#This Row],[Месяц окончания]]=Таблицаx_2[[#This Row],[Месяц]],Таблицаx_2[[#This Row],[id]]=A808,EDATE(Таблицаx_2[[#This Row],[Месяц]],2)=D808),F808,0)</f>
        <v>0</v>
      </c>
    </row>
    <row r="808" spans="1:11" ht="12.75" hidden="1" customHeight="1" x14ac:dyDescent="0.2">
      <c r="A808" s="8">
        <v>348</v>
      </c>
      <c r="B808" s="8"/>
      <c r="C808" s="8" t="s">
        <v>8</v>
      </c>
      <c r="D808" s="12">
        <v>45078</v>
      </c>
      <c r="E808" s="8">
        <v>16685</v>
      </c>
      <c r="F808" s="10">
        <f>IF(ISTEXT(Таблицаx_2[[#This Row],[Значение]]), 0, Таблицаx_2[[#This Row],[Значение]])</f>
        <v>16685</v>
      </c>
      <c r="G808" s="12">
        <v>44958</v>
      </c>
      <c r="H808" s="10" t="str">
        <f>IFERROR(VLOOKUP(Таблицаx_2[[#This Row],[id]],prolongations!A:C,2,)," ")</f>
        <v>февраль 2023</v>
      </c>
      <c r="I808" s="10">
        <f>IF(Таблицаx_2[[#This Row],[Месяц окончания]]=Таблицаx_2[[#This Row],[Месяц]],Таблицаx_2[[#This Row],[Значения числа]],0)</f>
        <v>0</v>
      </c>
      <c r="J808" s="8">
        <f>IF(AND(Таблицаx_2[[#This Row],[Месяц окончания]]=Таблицаx_2[[#This Row],[Месяц]],Таблицаx_2[[#This Row],[id]]=A809,EDATE(Таблицаx_2[[#This Row],[Месяц]],1)=D809),F809,0)</f>
        <v>0</v>
      </c>
      <c r="K808" s="8">
        <f>IF(AND(Таблицаx_2[[#This Row],[Месяц окончания]]=Таблицаx_2[[#This Row],[Месяц]],Таблицаx_2[[#This Row],[id]]=A809,EDATE(Таблицаx_2[[#This Row],[Месяц]],2)=D809),F809,0)</f>
        <v>0</v>
      </c>
    </row>
    <row r="809" spans="1:11" ht="12.75" hidden="1" customHeight="1" x14ac:dyDescent="0.2">
      <c r="A809" s="8">
        <v>348</v>
      </c>
      <c r="B809" s="8"/>
      <c r="C809" s="8" t="s">
        <v>8</v>
      </c>
      <c r="D809" s="12">
        <v>45108</v>
      </c>
      <c r="E809" s="8">
        <v>16685</v>
      </c>
      <c r="F809" s="10">
        <f>IF(ISTEXT(Таблицаx_2[[#This Row],[Значение]]), 0, Таблицаx_2[[#This Row],[Значение]])</f>
        <v>16685</v>
      </c>
      <c r="G809" s="12">
        <v>44958</v>
      </c>
      <c r="H809" s="10" t="str">
        <f>IFERROR(VLOOKUP(Таблицаx_2[[#This Row],[id]],prolongations!A:C,2,)," ")</f>
        <v>февраль 2023</v>
      </c>
      <c r="I809" s="10">
        <f>IF(Таблицаx_2[[#This Row],[Месяц окончания]]=Таблицаx_2[[#This Row],[Месяц]],Таблицаx_2[[#This Row],[Значения числа]],0)</f>
        <v>0</v>
      </c>
      <c r="J809" s="8">
        <f>IF(AND(Таблицаx_2[[#This Row],[Месяц окончания]]=Таблицаx_2[[#This Row],[Месяц]],Таблицаx_2[[#This Row],[id]]=A810,EDATE(Таблицаx_2[[#This Row],[Месяц]],1)=D810),F810,0)</f>
        <v>0</v>
      </c>
      <c r="K809" s="8">
        <f>IF(AND(Таблицаx_2[[#This Row],[Месяц окончания]]=Таблицаx_2[[#This Row],[Месяц]],Таблицаx_2[[#This Row],[id]]=A810,EDATE(Таблицаx_2[[#This Row],[Месяц]],2)=D810),F810,0)</f>
        <v>0</v>
      </c>
    </row>
    <row r="810" spans="1:11" ht="12.75" hidden="1" customHeight="1" x14ac:dyDescent="0.2">
      <c r="A810" s="8">
        <v>348</v>
      </c>
      <c r="B810" s="8"/>
      <c r="C810" s="8" t="s">
        <v>8</v>
      </c>
      <c r="D810" s="12">
        <v>45139</v>
      </c>
      <c r="E810" s="8">
        <v>16685</v>
      </c>
      <c r="F810" s="10">
        <f>IF(ISTEXT(Таблицаx_2[[#This Row],[Значение]]), 0, Таблицаx_2[[#This Row],[Значение]])</f>
        <v>16685</v>
      </c>
      <c r="G810" s="12">
        <v>44958</v>
      </c>
      <c r="H810" s="10" t="str">
        <f>IFERROR(VLOOKUP(Таблицаx_2[[#This Row],[id]],prolongations!A:C,2,)," ")</f>
        <v>февраль 2023</v>
      </c>
      <c r="I810" s="10">
        <f>IF(Таблицаx_2[[#This Row],[Месяц окончания]]=Таблицаx_2[[#This Row],[Месяц]],Таблицаx_2[[#This Row],[Значения числа]],0)</f>
        <v>0</v>
      </c>
      <c r="J810" s="8">
        <f>IF(AND(Таблицаx_2[[#This Row],[Месяц окончания]]=Таблицаx_2[[#This Row],[Месяц]],Таблицаx_2[[#This Row],[id]]=A811,EDATE(Таблицаx_2[[#This Row],[Месяц]],1)=D811),F811,0)</f>
        <v>0</v>
      </c>
      <c r="K810" s="8">
        <f>IF(AND(Таблицаx_2[[#This Row],[Месяц окончания]]=Таблицаx_2[[#This Row],[Месяц]],Таблицаx_2[[#This Row],[id]]=A811,EDATE(Таблицаx_2[[#This Row],[Месяц]],2)=D811),F811,0)</f>
        <v>0</v>
      </c>
    </row>
    <row r="811" spans="1:11" ht="12.75" hidden="1" customHeight="1" x14ac:dyDescent="0.2">
      <c r="A811" s="8">
        <v>348</v>
      </c>
      <c r="B811" s="8"/>
      <c r="C811" s="8" t="s">
        <v>8</v>
      </c>
      <c r="D811" s="12">
        <v>45170</v>
      </c>
      <c r="E811" s="8">
        <v>16685</v>
      </c>
      <c r="F811" s="10">
        <f>IF(ISTEXT(Таблицаx_2[[#This Row],[Значение]]), 0, Таблицаx_2[[#This Row],[Значение]])</f>
        <v>16685</v>
      </c>
      <c r="G811" s="12">
        <v>44958</v>
      </c>
      <c r="H811" s="10" t="str">
        <f>IFERROR(VLOOKUP(Таблицаx_2[[#This Row],[id]],prolongations!A:C,2,)," ")</f>
        <v>февраль 2023</v>
      </c>
      <c r="I811" s="10">
        <f>IF(Таблицаx_2[[#This Row],[Месяц окончания]]=Таблицаx_2[[#This Row],[Месяц]],Таблицаx_2[[#This Row],[Значения числа]],0)</f>
        <v>0</v>
      </c>
      <c r="J811" s="8">
        <f>IF(AND(Таблицаx_2[[#This Row],[Месяц окончания]]=Таблицаx_2[[#This Row],[Месяц]],Таблицаx_2[[#This Row],[id]]=A812,EDATE(Таблицаx_2[[#This Row],[Месяц]],1)=D812),F812,0)</f>
        <v>0</v>
      </c>
      <c r="K811" s="8">
        <f>IF(AND(Таблицаx_2[[#This Row],[Месяц окончания]]=Таблицаx_2[[#This Row],[Месяц]],Таблицаx_2[[#This Row],[id]]=A812,EDATE(Таблицаx_2[[#This Row],[Месяц]],2)=D812),F812,0)</f>
        <v>0</v>
      </c>
    </row>
    <row r="812" spans="1:11" ht="12.75" hidden="1" customHeight="1" x14ac:dyDescent="0.2">
      <c r="A812" s="8">
        <v>348</v>
      </c>
      <c r="B812" s="8"/>
      <c r="C812" s="8" t="s">
        <v>8</v>
      </c>
      <c r="D812" s="12">
        <v>45231</v>
      </c>
      <c r="E812" s="8">
        <v>21400</v>
      </c>
      <c r="F812" s="10">
        <f>IF(ISTEXT(Таблицаx_2[[#This Row],[Значение]]), 0, Таблицаx_2[[#This Row],[Значение]])</f>
        <v>21400</v>
      </c>
      <c r="G812" s="12">
        <v>44958</v>
      </c>
      <c r="H812" s="10" t="str">
        <f>IFERROR(VLOOKUP(Таблицаx_2[[#This Row],[id]],prolongations!A:C,2,)," ")</f>
        <v>февраль 2023</v>
      </c>
      <c r="I812" s="10">
        <f>IF(Таблицаx_2[[#This Row],[Месяц окончания]]=Таблицаx_2[[#This Row],[Месяц]],Таблицаx_2[[#This Row],[Значения числа]],0)</f>
        <v>0</v>
      </c>
      <c r="J812" s="8">
        <f>IF(AND(Таблицаx_2[[#This Row],[Месяц окончания]]=Таблицаx_2[[#This Row],[Месяц]],Таблицаx_2[[#This Row],[id]]=A813,EDATE(Таблицаx_2[[#This Row],[Месяц]],1)=D813),F813,0)</f>
        <v>0</v>
      </c>
      <c r="K812" s="8">
        <f>IF(AND(Таблицаx_2[[#This Row],[Месяц окончания]]=Таблицаx_2[[#This Row],[Месяц]],Таблицаx_2[[#This Row],[id]]=A813,EDATE(Таблицаx_2[[#This Row],[Месяц]],2)=D813),F813,0)</f>
        <v>0</v>
      </c>
    </row>
    <row r="813" spans="1:11" ht="12.75" hidden="1" customHeight="1" x14ac:dyDescent="0.2">
      <c r="A813" s="8">
        <v>348</v>
      </c>
      <c r="B813" s="8"/>
      <c r="C813" s="8" t="s">
        <v>8</v>
      </c>
      <c r="D813" s="12">
        <v>45261</v>
      </c>
      <c r="E813" s="8">
        <v>20000</v>
      </c>
      <c r="F813" s="10">
        <f>IF(ISTEXT(Таблицаx_2[[#This Row],[Значение]]), 0, Таблицаx_2[[#This Row],[Значение]])</f>
        <v>20000</v>
      </c>
      <c r="G813" s="12">
        <v>44958</v>
      </c>
      <c r="H813" s="10" t="str">
        <f>IFERROR(VLOOKUP(Таблицаx_2[[#This Row],[id]],prolongations!A:C,2,)," ")</f>
        <v>февраль 2023</v>
      </c>
      <c r="I813" s="10">
        <f>IF(Таблицаx_2[[#This Row],[Месяц окончания]]=Таблицаx_2[[#This Row],[Месяц]],Таблицаx_2[[#This Row],[Значения числа]],0)</f>
        <v>0</v>
      </c>
      <c r="J813" s="8">
        <f>IF(AND(Таблицаx_2[[#This Row],[Месяц окончания]]=Таблицаx_2[[#This Row],[Месяц]],Таблицаx_2[[#This Row],[id]]=A814,EDATE(Таблицаx_2[[#This Row],[Месяц]],1)=D814),F814,0)</f>
        <v>0</v>
      </c>
      <c r="K813" s="8">
        <f>IF(AND(Таблицаx_2[[#This Row],[Месяц окончания]]=Таблицаx_2[[#This Row],[Месяц]],Таблицаx_2[[#This Row],[id]]=A814,EDATE(Таблицаx_2[[#This Row],[Месяц]],2)=D814),F814,0)</f>
        <v>0</v>
      </c>
    </row>
    <row r="814" spans="1:11" ht="12.75" hidden="1" customHeight="1" x14ac:dyDescent="0.2">
      <c r="A814" s="8">
        <v>348</v>
      </c>
      <c r="B814" s="8"/>
      <c r="C814" s="8" t="s">
        <v>8</v>
      </c>
      <c r="D814" s="12">
        <v>45292</v>
      </c>
      <c r="E814" s="8">
        <v>20000</v>
      </c>
      <c r="F814" s="10">
        <f>IF(ISTEXT(Таблицаx_2[[#This Row],[Значение]]), 0, Таблицаx_2[[#This Row],[Значение]])</f>
        <v>20000</v>
      </c>
      <c r="G814" s="12">
        <v>44958</v>
      </c>
      <c r="H814" s="10" t="str">
        <f>IFERROR(VLOOKUP(Таблицаx_2[[#This Row],[id]],prolongations!A:C,2,)," ")</f>
        <v>февраль 2023</v>
      </c>
      <c r="I814" s="10">
        <f>IF(Таблицаx_2[[#This Row],[Месяц окончания]]=Таблицаx_2[[#This Row],[Месяц]],Таблицаx_2[[#This Row],[Значения числа]],0)</f>
        <v>0</v>
      </c>
      <c r="J814" s="8">
        <f>IF(AND(Таблицаx_2[[#This Row],[Месяц окончания]]=Таблицаx_2[[#This Row],[Месяц]],Таблицаx_2[[#This Row],[id]]=A815,EDATE(Таблицаx_2[[#This Row],[Месяц]],1)=D815),F815,0)</f>
        <v>0</v>
      </c>
      <c r="K814" s="8">
        <f>IF(AND(Таблицаx_2[[#This Row],[Месяц окончания]]=Таблицаx_2[[#This Row],[Месяц]],Таблицаx_2[[#This Row],[id]]=A815,EDATE(Таблицаx_2[[#This Row],[Месяц]],2)=D815),F815,0)</f>
        <v>0</v>
      </c>
    </row>
    <row r="815" spans="1:11" ht="12.75" hidden="1" customHeight="1" x14ac:dyDescent="0.2">
      <c r="A815" s="8">
        <v>348</v>
      </c>
      <c r="B815" s="8"/>
      <c r="C815" s="8" t="s">
        <v>8</v>
      </c>
      <c r="D815" s="12">
        <v>45323</v>
      </c>
      <c r="E815" s="8">
        <v>20000</v>
      </c>
      <c r="F815" s="10">
        <f>IF(ISTEXT(Таблицаx_2[[#This Row],[Значение]]), 0, Таблицаx_2[[#This Row],[Значение]])</f>
        <v>20000</v>
      </c>
      <c r="G815" s="12">
        <v>44958</v>
      </c>
      <c r="H815" s="10" t="str">
        <f>IFERROR(VLOOKUP(Таблицаx_2[[#This Row],[id]],prolongations!A:C,2,)," ")</f>
        <v>февраль 2023</v>
      </c>
      <c r="I815" s="10">
        <f>IF(Таблицаx_2[[#This Row],[Месяц окончания]]=Таблицаx_2[[#This Row],[Месяц]],Таблицаx_2[[#This Row],[Значения числа]],0)</f>
        <v>0</v>
      </c>
      <c r="J815" s="8">
        <f>IF(AND(Таблицаx_2[[#This Row],[Месяц окончания]]=Таблицаx_2[[#This Row],[Месяц]],Таблицаx_2[[#This Row],[id]]=A816,EDATE(Таблицаx_2[[#This Row],[Месяц]],1)=D816),F816,0)</f>
        <v>0</v>
      </c>
      <c r="K815" s="8">
        <f>IF(AND(Таблицаx_2[[#This Row],[Месяц окончания]]=Таблицаx_2[[#This Row],[Месяц]],Таблицаx_2[[#This Row],[id]]=A816,EDATE(Таблицаx_2[[#This Row],[Месяц]],2)=D816),F816,0)</f>
        <v>0</v>
      </c>
    </row>
    <row r="816" spans="1:11" ht="12.75" hidden="1" customHeight="1" x14ac:dyDescent="0.2">
      <c r="A816" s="8">
        <v>492</v>
      </c>
      <c r="B816" s="8"/>
      <c r="C816" s="8" t="s">
        <v>10</v>
      </c>
      <c r="D816" s="12">
        <v>44866</v>
      </c>
      <c r="E816" s="8">
        <v>40390</v>
      </c>
      <c r="F816" s="10">
        <f>IF(ISTEXT(Таблицаx_2[[#This Row],[Значение]]), 0, Таблицаx_2[[#This Row],[Значение]])</f>
        <v>40390</v>
      </c>
      <c r="G816" s="12">
        <v>44896</v>
      </c>
      <c r="H816" s="10" t="str">
        <f>IFERROR(VLOOKUP(Таблицаx_2[[#This Row],[id]],prolongations!A:C,2,)," ")</f>
        <v>декабрь 2022</v>
      </c>
      <c r="I816" s="10">
        <f>IF(Таблицаx_2[[#This Row],[Месяц окончания]]=Таблицаx_2[[#This Row],[Месяц]],Таблицаx_2[[#This Row],[Значения числа]],0)</f>
        <v>0</v>
      </c>
      <c r="J816" s="8">
        <f>IF(AND(Таблицаx_2[[#This Row],[Месяц окончания]]=Таблицаx_2[[#This Row],[Месяц]],Таблицаx_2[[#This Row],[id]]=A817,EDATE(Таблицаx_2[[#This Row],[Месяц]],1)=D817),F817,0)</f>
        <v>0</v>
      </c>
      <c r="K816" s="8">
        <f>IF(AND(Таблицаx_2[[#This Row],[Месяц окончания]]=Таблицаx_2[[#This Row],[Месяц]],Таблицаx_2[[#This Row],[id]]=A817,EDATE(Таблицаx_2[[#This Row],[Месяц]],2)=D817),F817,0)</f>
        <v>0</v>
      </c>
    </row>
    <row r="817" spans="1:11" hidden="1" x14ac:dyDescent="0.2">
      <c r="A817" s="8">
        <v>492</v>
      </c>
      <c r="B817" s="8"/>
      <c r="C817" s="8" t="s">
        <v>10</v>
      </c>
      <c r="D817" s="12">
        <v>44896</v>
      </c>
      <c r="E817" s="8">
        <v>57615</v>
      </c>
      <c r="F817" s="10">
        <f>IF(ISTEXT(Таблицаx_2[[#This Row],[Значение]]), 0, Таблицаx_2[[#This Row],[Значение]])</f>
        <v>57615</v>
      </c>
      <c r="G817" s="12">
        <v>44896</v>
      </c>
      <c r="H817" s="10" t="str">
        <f>IFERROR(VLOOKUP(Таблицаx_2[[#This Row],[id]],prolongations!A:C,2,)," ")</f>
        <v>декабрь 2022</v>
      </c>
      <c r="I817" s="10">
        <f>IF(Таблицаx_2[[#This Row],[Месяц окончания]]=Таблицаx_2[[#This Row],[Месяц]],Таблицаx_2[[#This Row],[Значения числа]],0)</f>
        <v>57615</v>
      </c>
      <c r="J817" s="8">
        <f>IF(AND(Таблицаx_2[[#This Row],[Месяц окончания]]=Таблицаx_2[[#This Row],[Месяц]],Таблицаx_2[[#This Row],[id]]=A818,EDATE(Таблицаx_2[[#This Row],[Месяц]],1)=D818),F818,0)</f>
        <v>61925</v>
      </c>
      <c r="K817" s="8">
        <f>IF(AND(Таблицаx_2[[#This Row],[Месяц окончания]]=Таблицаx_2[[#This Row],[Месяц]],Таблицаx_2[[#This Row],[id]]=A818,EDATE(Таблицаx_2[[#This Row],[Месяц]],2)=D818),F818,0)</f>
        <v>0</v>
      </c>
    </row>
    <row r="818" spans="1:11" ht="12.75" hidden="1" customHeight="1" x14ac:dyDescent="0.2">
      <c r="A818" s="8">
        <v>492</v>
      </c>
      <c r="B818" s="8"/>
      <c r="C818" s="8" t="s">
        <v>10</v>
      </c>
      <c r="D818" s="12">
        <v>44927</v>
      </c>
      <c r="E818" s="8">
        <v>61925</v>
      </c>
      <c r="F818" s="10">
        <f>IF(ISTEXT(Таблицаx_2[[#This Row],[Значение]]), 0, Таблицаx_2[[#This Row],[Значение]])</f>
        <v>61925</v>
      </c>
      <c r="G818" s="12">
        <v>44896</v>
      </c>
      <c r="H818" s="10" t="str">
        <f>IFERROR(VLOOKUP(Таблицаx_2[[#This Row],[id]],prolongations!A:C,2,)," ")</f>
        <v>декабрь 2022</v>
      </c>
      <c r="I818" s="10">
        <f>IF(Таблицаx_2[[#This Row],[Месяц окончания]]=Таблицаx_2[[#This Row],[Месяц]],Таблицаx_2[[#This Row],[Значения числа]],0)</f>
        <v>0</v>
      </c>
      <c r="J818" s="8">
        <f>IF(AND(Таблицаx_2[[#This Row],[Месяц окончания]]=Таблицаx_2[[#This Row],[Месяц]],Таблицаx_2[[#This Row],[id]]=A819,EDATE(Таблицаx_2[[#This Row],[Месяц]],1)=D819),F819,0)</f>
        <v>0</v>
      </c>
      <c r="K818" s="8">
        <f>IF(AND(Таблицаx_2[[#This Row],[Месяц окончания]]=Таблицаx_2[[#This Row],[Месяц]],Таблицаx_2[[#This Row],[id]]=A819,EDATE(Таблицаx_2[[#This Row],[Месяц]],2)=D819),F819,0)</f>
        <v>0</v>
      </c>
    </row>
    <row r="819" spans="1:11" ht="12.75" hidden="1" customHeight="1" x14ac:dyDescent="0.2">
      <c r="A819" s="8">
        <v>492</v>
      </c>
      <c r="B819" s="8"/>
      <c r="C819" s="8" t="s">
        <v>10</v>
      </c>
      <c r="D819" s="12">
        <v>44958</v>
      </c>
      <c r="E819" s="8">
        <v>62615</v>
      </c>
      <c r="F819" s="10">
        <f>IF(ISTEXT(Таблицаx_2[[#This Row],[Значение]]), 0, Таблицаx_2[[#This Row],[Значение]])</f>
        <v>62615</v>
      </c>
      <c r="G819" s="12">
        <v>44896</v>
      </c>
      <c r="H819" s="10" t="str">
        <f>IFERROR(VLOOKUP(Таблицаx_2[[#This Row],[id]],prolongations!A:C,2,)," ")</f>
        <v>декабрь 2022</v>
      </c>
      <c r="I819" s="10">
        <f>IF(Таблицаx_2[[#This Row],[Месяц окончания]]=Таблицаx_2[[#This Row],[Месяц]],Таблицаx_2[[#This Row],[Значения числа]],0)</f>
        <v>0</v>
      </c>
      <c r="J819" s="8">
        <f>IF(AND(Таблицаx_2[[#This Row],[Месяц окончания]]=Таблицаx_2[[#This Row],[Месяц]],Таблицаx_2[[#This Row],[id]]=A820,EDATE(Таблицаx_2[[#This Row],[Месяц]],1)=D820),F820,0)</f>
        <v>0</v>
      </c>
      <c r="K819" s="8">
        <f>IF(AND(Таблицаx_2[[#This Row],[Месяц окончания]]=Таблицаx_2[[#This Row],[Месяц]],Таблицаx_2[[#This Row],[id]]=A820,EDATE(Таблицаx_2[[#This Row],[Месяц]],2)=D820),F820,0)</f>
        <v>0</v>
      </c>
    </row>
    <row r="820" spans="1:11" ht="12.75" hidden="1" customHeight="1" x14ac:dyDescent="0.2">
      <c r="A820" s="8">
        <v>492</v>
      </c>
      <c r="B820" s="8"/>
      <c r="C820" s="8" t="s">
        <v>10</v>
      </c>
      <c r="D820" s="12">
        <v>44986</v>
      </c>
      <c r="E820" s="8">
        <v>59390</v>
      </c>
      <c r="F820" s="10">
        <f>IF(ISTEXT(Таблицаx_2[[#This Row],[Значение]]), 0, Таблицаx_2[[#This Row],[Значение]])</f>
        <v>59390</v>
      </c>
      <c r="G820" s="12">
        <v>44896</v>
      </c>
      <c r="H820" s="10" t="str">
        <f>IFERROR(VLOOKUP(Таблицаx_2[[#This Row],[id]],prolongations!A:C,2,)," ")</f>
        <v>декабрь 2022</v>
      </c>
      <c r="I820" s="10">
        <f>IF(Таблицаx_2[[#This Row],[Месяц окончания]]=Таблицаx_2[[#This Row],[Месяц]],Таблицаx_2[[#This Row],[Значения числа]],0)</f>
        <v>0</v>
      </c>
      <c r="J820" s="8">
        <f>IF(AND(Таблицаx_2[[#This Row],[Месяц окончания]]=Таблицаx_2[[#This Row],[Месяц]],Таблицаx_2[[#This Row],[id]]=A821,EDATE(Таблицаx_2[[#This Row],[Месяц]],1)=D821),F821,0)</f>
        <v>0</v>
      </c>
      <c r="K820" s="8">
        <f>IF(AND(Таблицаx_2[[#This Row],[Месяц окончания]]=Таблицаx_2[[#This Row],[Месяц]],Таблицаx_2[[#This Row],[id]]=A821,EDATE(Таблицаx_2[[#This Row],[Месяц]],2)=D821),F821,0)</f>
        <v>0</v>
      </c>
    </row>
    <row r="821" spans="1:11" ht="12.75" hidden="1" customHeight="1" x14ac:dyDescent="0.2">
      <c r="A821" s="8">
        <v>492</v>
      </c>
      <c r="B821" s="8"/>
      <c r="C821" s="8" t="s">
        <v>10</v>
      </c>
      <c r="D821" s="12">
        <v>45017</v>
      </c>
      <c r="E821" s="8">
        <v>56235</v>
      </c>
      <c r="F821" s="10">
        <f>IF(ISTEXT(Таблицаx_2[[#This Row],[Значение]]), 0, Таблицаx_2[[#This Row],[Значение]])</f>
        <v>56235</v>
      </c>
      <c r="G821" s="12">
        <v>44896</v>
      </c>
      <c r="H821" s="10" t="str">
        <f>IFERROR(VLOOKUP(Таблицаx_2[[#This Row],[id]],prolongations!A:C,2,)," ")</f>
        <v>декабрь 2022</v>
      </c>
      <c r="I821" s="10">
        <f>IF(Таблицаx_2[[#This Row],[Месяц окончания]]=Таблицаx_2[[#This Row],[Месяц]],Таблицаx_2[[#This Row],[Значения числа]],0)</f>
        <v>0</v>
      </c>
      <c r="J821" s="8">
        <f>IF(AND(Таблицаx_2[[#This Row],[Месяц окончания]]=Таблицаx_2[[#This Row],[Месяц]],Таблицаx_2[[#This Row],[id]]=A822,EDATE(Таблицаx_2[[#This Row],[Месяц]],1)=D822),F822,0)</f>
        <v>0</v>
      </c>
      <c r="K821" s="8">
        <f>IF(AND(Таблицаx_2[[#This Row],[Месяц окончания]]=Таблицаx_2[[#This Row],[Месяц]],Таблицаx_2[[#This Row],[id]]=A822,EDATE(Таблицаx_2[[#This Row],[Месяц]],2)=D822),F822,0)</f>
        <v>0</v>
      </c>
    </row>
    <row r="822" spans="1:11" ht="12.75" hidden="1" customHeight="1" x14ac:dyDescent="0.2">
      <c r="A822" s="8">
        <v>492</v>
      </c>
      <c r="B822" s="8"/>
      <c r="C822" s="8" t="s">
        <v>10</v>
      </c>
      <c r="D822" s="12">
        <v>45047</v>
      </c>
      <c r="E822" s="8">
        <v>62770</v>
      </c>
      <c r="F822" s="10">
        <f>IF(ISTEXT(Таблицаx_2[[#This Row],[Значение]]), 0, Таблицаx_2[[#This Row],[Значение]])</f>
        <v>62770</v>
      </c>
      <c r="G822" s="12">
        <v>44896</v>
      </c>
      <c r="H822" s="10" t="str">
        <f>IFERROR(VLOOKUP(Таблицаx_2[[#This Row],[id]],prolongations!A:C,2,)," ")</f>
        <v>декабрь 2022</v>
      </c>
      <c r="I822" s="10">
        <f>IF(Таблицаx_2[[#This Row],[Месяц окончания]]=Таблицаx_2[[#This Row],[Месяц]],Таблицаx_2[[#This Row],[Значения числа]],0)</f>
        <v>0</v>
      </c>
      <c r="J822" s="8">
        <f>IF(AND(Таблицаx_2[[#This Row],[Месяц окончания]]=Таблицаx_2[[#This Row],[Месяц]],Таблицаx_2[[#This Row],[id]]=A823,EDATE(Таблицаx_2[[#This Row],[Месяц]],1)=D823),F823,0)</f>
        <v>0</v>
      </c>
      <c r="K822" s="8">
        <f>IF(AND(Таблицаx_2[[#This Row],[Месяц окончания]]=Таблицаx_2[[#This Row],[Месяц]],Таблицаx_2[[#This Row],[id]]=A823,EDATE(Таблицаx_2[[#This Row],[Месяц]],2)=D823),F823,0)</f>
        <v>0</v>
      </c>
    </row>
    <row r="823" spans="1:11" ht="12.75" hidden="1" customHeight="1" x14ac:dyDescent="0.2">
      <c r="A823" s="8">
        <v>492</v>
      </c>
      <c r="B823" s="8"/>
      <c r="C823" s="8" t="s">
        <v>10</v>
      </c>
      <c r="D823" s="12">
        <v>45078</v>
      </c>
      <c r="E823" s="8">
        <v>65925</v>
      </c>
      <c r="F823" s="10">
        <f>IF(ISTEXT(Таблицаx_2[[#This Row],[Значение]]), 0, Таблицаx_2[[#This Row],[Значение]])</f>
        <v>65925</v>
      </c>
      <c r="G823" s="12">
        <v>44896</v>
      </c>
      <c r="H823" s="10" t="str">
        <f>IFERROR(VLOOKUP(Таблицаx_2[[#This Row],[id]],prolongations!A:C,2,)," ")</f>
        <v>декабрь 2022</v>
      </c>
      <c r="I823" s="10">
        <f>IF(Таблицаx_2[[#This Row],[Месяц окончания]]=Таблицаx_2[[#This Row],[Месяц]],Таблицаx_2[[#This Row],[Значения числа]],0)</f>
        <v>0</v>
      </c>
      <c r="J823" s="8">
        <f>IF(AND(Таблицаx_2[[#This Row],[Месяц окончания]]=Таблицаx_2[[#This Row],[Месяц]],Таблицаx_2[[#This Row],[id]]=A824,EDATE(Таблицаx_2[[#This Row],[Месяц]],1)=D824),F824,0)</f>
        <v>0</v>
      </c>
      <c r="K823" s="8">
        <f>IF(AND(Таблицаx_2[[#This Row],[Месяц окончания]]=Таблицаx_2[[#This Row],[Месяц]],Таблицаx_2[[#This Row],[id]]=A824,EDATE(Таблицаx_2[[#This Row],[Месяц]],2)=D824),F824,0)</f>
        <v>0</v>
      </c>
    </row>
    <row r="824" spans="1:11" ht="12.75" hidden="1" customHeight="1" x14ac:dyDescent="0.2">
      <c r="A824" s="8">
        <v>492</v>
      </c>
      <c r="B824" s="8"/>
      <c r="C824" s="8" t="s">
        <v>10</v>
      </c>
      <c r="D824" s="12">
        <v>45108</v>
      </c>
      <c r="E824" s="8">
        <v>61925</v>
      </c>
      <c r="F824" s="10">
        <f>IF(ISTEXT(Таблицаx_2[[#This Row],[Значение]]), 0, Таблицаx_2[[#This Row],[Значение]])</f>
        <v>61925</v>
      </c>
      <c r="G824" s="12">
        <v>44896</v>
      </c>
      <c r="H824" s="10" t="str">
        <f>IFERROR(VLOOKUP(Таблицаx_2[[#This Row],[id]],prolongations!A:C,2,)," ")</f>
        <v>декабрь 2022</v>
      </c>
      <c r="I824" s="10">
        <f>IF(Таблицаx_2[[#This Row],[Месяц окончания]]=Таблицаx_2[[#This Row],[Месяц]],Таблицаx_2[[#This Row],[Значения числа]],0)</f>
        <v>0</v>
      </c>
      <c r="J824" s="8">
        <f>IF(AND(Таблицаx_2[[#This Row],[Месяц окончания]]=Таблицаx_2[[#This Row],[Месяц]],Таблицаx_2[[#This Row],[id]]=A825,EDATE(Таблицаx_2[[#This Row],[Месяц]],1)=D825),F825,0)</f>
        <v>0</v>
      </c>
      <c r="K824" s="8">
        <f>IF(AND(Таблицаx_2[[#This Row],[Месяц окончания]]=Таблицаx_2[[#This Row],[Месяц]],Таблицаx_2[[#This Row],[id]]=A825,EDATE(Таблицаx_2[[#This Row],[Месяц]],2)=D825),F825,0)</f>
        <v>0</v>
      </c>
    </row>
    <row r="825" spans="1:11" ht="12.75" hidden="1" customHeight="1" x14ac:dyDescent="0.2">
      <c r="A825" s="8">
        <v>492</v>
      </c>
      <c r="B825" s="8"/>
      <c r="C825" s="8" t="s">
        <v>10</v>
      </c>
      <c r="D825" s="12">
        <v>45139</v>
      </c>
      <c r="E825" s="8">
        <v>65840</v>
      </c>
      <c r="F825" s="10">
        <f>IF(ISTEXT(Таблицаx_2[[#This Row],[Значение]]), 0, Таблицаx_2[[#This Row],[Значение]])</f>
        <v>65840</v>
      </c>
      <c r="G825" s="12">
        <v>44896</v>
      </c>
      <c r="H825" s="10" t="str">
        <f>IFERROR(VLOOKUP(Таблицаx_2[[#This Row],[id]],prolongations!A:C,2,)," ")</f>
        <v>декабрь 2022</v>
      </c>
      <c r="I825" s="10">
        <f>IF(Таблицаx_2[[#This Row],[Месяц окончания]]=Таблицаx_2[[#This Row],[Месяц]],Таблицаx_2[[#This Row],[Значения числа]],0)</f>
        <v>0</v>
      </c>
      <c r="J825" s="8">
        <f>IF(AND(Таблицаx_2[[#This Row],[Месяц окончания]]=Таблицаx_2[[#This Row],[Месяц]],Таблицаx_2[[#This Row],[id]]=A826,EDATE(Таблицаx_2[[#This Row],[Месяц]],1)=D826),F826,0)</f>
        <v>0</v>
      </c>
      <c r="K825" s="8">
        <f>IF(AND(Таблицаx_2[[#This Row],[Месяц окончания]]=Таблицаx_2[[#This Row],[Месяц]],Таблицаx_2[[#This Row],[id]]=A826,EDATE(Таблицаx_2[[#This Row],[Месяц]],2)=D826),F826,0)</f>
        <v>0</v>
      </c>
    </row>
    <row r="826" spans="1:11" ht="12.75" hidden="1" customHeight="1" x14ac:dyDescent="0.2">
      <c r="A826" s="8">
        <v>492</v>
      </c>
      <c r="B826" s="8"/>
      <c r="C826" s="8" t="s">
        <v>10</v>
      </c>
      <c r="D826" s="12">
        <v>45170</v>
      </c>
      <c r="E826" s="8">
        <v>68685</v>
      </c>
      <c r="F826" s="10">
        <f>IF(ISTEXT(Таблицаx_2[[#This Row],[Значение]]), 0, Таблицаx_2[[#This Row],[Значение]])</f>
        <v>68685</v>
      </c>
      <c r="G826" s="12">
        <v>44896</v>
      </c>
      <c r="H826" s="10" t="str">
        <f>IFERROR(VLOOKUP(Таблицаx_2[[#This Row],[id]],prolongations!A:C,2,)," ")</f>
        <v>декабрь 2022</v>
      </c>
      <c r="I826" s="10">
        <f>IF(Таблицаx_2[[#This Row],[Месяц окончания]]=Таблицаx_2[[#This Row],[Месяц]],Таблицаx_2[[#This Row],[Значения числа]],0)</f>
        <v>0</v>
      </c>
      <c r="J826" s="8">
        <f>IF(AND(Таблицаx_2[[#This Row],[Месяц окончания]]=Таблицаx_2[[#This Row],[Месяц]],Таблицаx_2[[#This Row],[id]]=A827,EDATE(Таблицаx_2[[#This Row],[Месяц]],1)=D827),F827,0)</f>
        <v>0</v>
      </c>
      <c r="K826" s="8">
        <f>IF(AND(Таблицаx_2[[#This Row],[Месяц окончания]]=Таблицаx_2[[#This Row],[Месяц]],Таблицаx_2[[#This Row],[id]]=A827,EDATE(Таблицаx_2[[#This Row],[Месяц]],2)=D827),F827,0)</f>
        <v>0</v>
      </c>
    </row>
    <row r="827" spans="1:11" ht="12.75" hidden="1" customHeight="1" x14ac:dyDescent="0.2">
      <c r="A827" s="8">
        <v>819</v>
      </c>
      <c r="B827" s="8"/>
      <c r="C827" s="8" t="s">
        <v>6</v>
      </c>
      <c r="D827" s="12">
        <v>45017</v>
      </c>
      <c r="E827" s="8">
        <v>59590</v>
      </c>
      <c r="F827" s="10">
        <f>IF(ISTEXT(Таблицаx_2[[#This Row],[Значение]]), 0, Таблицаx_2[[#This Row],[Значение]])</f>
        <v>59590</v>
      </c>
      <c r="G827" s="12">
        <v>45170</v>
      </c>
      <c r="H827" s="10" t="str">
        <f>IFERROR(VLOOKUP(Таблицаx_2[[#This Row],[id]],prolongations!A:C,2,)," ")</f>
        <v>сентябрь 2023</v>
      </c>
      <c r="I827" s="10">
        <f>IF(Таблицаx_2[[#This Row],[Месяц окончания]]=Таблицаx_2[[#This Row],[Месяц]],Таблицаx_2[[#This Row],[Значения числа]],0)</f>
        <v>0</v>
      </c>
      <c r="J827" s="8">
        <f>IF(AND(Таблицаx_2[[#This Row],[Месяц окончания]]=Таблицаx_2[[#This Row],[Месяц]],Таблицаx_2[[#This Row],[id]]=A828,EDATE(Таблицаx_2[[#This Row],[Месяц]],1)=D828),F828,0)</f>
        <v>0</v>
      </c>
      <c r="K827" s="8">
        <f>IF(AND(Таблицаx_2[[#This Row],[Месяц окончания]]=Таблицаx_2[[#This Row],[Месяц]],Таблицаx_2[[#This Row],[id]]=A828,EDATE(Таблицаx_2[[#This Row],[Месяц]],2)=D828),F828,0)</f>
        <v>0</v>
      </c>
    </row>
    <row r="828" spans="1:11" ht="12.75" hidden="1" customHeight="1" x14ac:dyDescent="0.2">
      <c r="A828" s="8">
        <v>819</v>
      </c>
      <c r="B828" s="8"/>
      <c r="C828" s="8" t="s">
        <v>6</v>
      </c>
      <c r="D828" s="12">
        <v>45047</v>
      </c>
      <c r="E828" s="8">
        <v>86350</v>
      </c>
      <c r="F828" s="10">
        <f>IF(ISTEXT(Таблицаx_2[[#This Row],[Значение]]), 0, Таблицаx_2[[#This Row],[Значение]])</f>
        <v>86350</v>
      </c>
      <c r="G828" s="12">
        <v>45170</v>
      </c>
      <c r="H828" s="10" t="str">
        <f>IFERROR(VLOOKUP(Таблицаx_2[[#This Row],[id]],prolongations!A:C,2,)," ")</f>
        <v>сентябрь 2023</v>
      </c>
      <c r="I828" s="10">
        <f>IF(Таблицаx_2[[#This Row],[Месяц окончания]]=Таблицаx_2[[#This Row],[Месяц]],Таблицаx_2[[#This Row],[Значения числа]],0)</f>
        <v>0</v>
      </c>
      <c r="J828" s="8">
        <f>IF(AND(Таблицаx_2[[#This Row],[Месяц окончания]]=Таблицаx_2[[#This Row],[Месяц]],Таблицаx_2[[#This Row],[id]]=A829,EDATE(Таблицаx_2[[#This Row],[Месяц]],1)=D829),F829,0)</f>
        <v>0</v>
      </c>
      <c r="K828" s="8">
        <f>IF(AND(Таблицаx_2[[#This Row],[Месяц окончания]]=Таблицаx_2[[#This Row],[Месяц]],Таблицаx_2[[#This Row],[id]]=A829,EDATE(Таблицаx_2[[#This Row],[Месяц]],2)=D829),F829,0)</f>
        <v>0</v>
      </c>
    </row>
    <row r="829" spans="1:11" ht="12.75" hidden="1" customHeight="1" x14ac:dyDescent="0.2">
      <c r="A829" s="8">
        <v>819</v>
      </c>
      <c r="B829" s="8"/>
      <c r="C829" s="8" t="s">
        <v>6</v>
      </c>
      <c r="D829" s="12">
        <v>45078</v>
      </c>
      <c r="E829" s="8">
        <v>86350</v>
      </c>
      <c r="F829" s="10">
        <f>IF(ISTEXT(Таблицаx_2[[#This Row],[Значение]]), 0, Таблицаx_2[[#This Row],[Значение]])</f>
        <v>86350</v>
      </c>
      <c r="G829" s="12">
        <v>45170</v>
      </c>
      <c r="H829" s="10" t="str">
        <f>IFERROR(VLOOKUP(Таблицаx_2[[#This Row],[id]],prolongations!A:C,2,)," ")</f>
        <v>сентябрь 2023</v>
      </c>
      <c r="I829" s="10">
        <f>IF(Таблицаx_2[[#This Row],[Месяц окончания]]=Таблицаx_2[[#This Row],[Месяц]],Таблицаx_2[[#This Row],[Значения числа]],0)</f>
        <v>0</v>
      </c>
      <c r="J829" s="8">
        <f>IF(AND(Таблицаx_2[[#This Row],[Месяц окончания]]=Таблицаx_2[[#This Row],[Месяц]],Таблицаx_2[[#This Row],[id]]=A830,EDATE(Таблицаx_2[[#This Row],[Месяц]],1)=D830),F830,0)</f>
        <v>0</v>
      </c>
      <c r="K829" s="8">
        <f>IF(AND(Таблицаx_2[[#This Row],[Месяц окончания]]=Таблицаx_2[[#This Row],[Месяц]],Таблицаx_2[[#This Row],[id]]=A830,EDATE(Таблицаx_2[[#This Row],[Месяц]],2)=D830),F830,0)</f>
        <v>0</v>
      </c>
    </row>
    <row r="830" spans="1:11" ht="12.75" hidden="1" customHeight="1" x14ac:dyDescent="0.2">
      <c r="A830" s="8">
        <v>819</v>
      </c>
      <c r="B830" s="8"/>
      <c r="C830" s="8" t="s">
        <v>6</v>
      </c>
      <c r="D830" s="12">
        <v>45108</v>
      </c>
      <c r="E830" s="8">
        <v>99010</v>
      </c>
      <c r="F830" s="10">
        <f>IF(ISTEXT(Таблицаx_2[[#This Row],[Значение]]), 0, Таблицаx_2[[#This Row],[Значение]])</f>
        <v>99010</v>
      </c>
      <c r="G830" s="12">
        <v>45170</v>
      </c>
      <c r="H830" s="10" t="str">
        <f>IFERROR(VLOOKUP(Таблицаx_2[[#This Row],[id]],prolongations!A:C,2,)," ")</f>
        <v>сентябрь 2023</v>
      </c>
      <c r="I830" s="10">
        <f>IF(Таблицаx_2[[#This Row],[Месяц окончания]]=Таблицаx_2[[#This Row],[Месяц]],Таблицаx_2[[#This Row],[Значения числа]],0)</f>
        <v>0</v>
      </c>
      <c r="J830" s="8">
        <f>IF(AND(Таблицаx_2[[#This Row],[Месяц окончания]]=Таблицаx_2[[#This Row],[Месяц]],Таблицаx_2[[#This Row],[id]]=A831,EDATE(Таблицаx_2[[#This Row],[Месяц]],1)=D831),F831,0)</f>
        <v>0</v>
      </c>
      <c r="K830" s="8">
        <f>IF(AND(Таблицаx_2[[#This Row],[Месяц окончания]]=Таблицаx_2[[#This Row],[Месяц]],Таблицаx_2[[#This Row],[id]]=A831,EDATE(Таблицаx_2[[#This Row],[Месяц]],2)=D831),F831,0)</f>
        <v>0</v>
      </c>
    </row>
    <row r="831" spans="1:11" ht="12.75" hidden="1" customHeight="1" x14ac:dyDescent="0.2">
      <c r="A831" s="8">
        <v>819</v>
      </c>
      <c r="B831" s="8"/>
      <c r="C831" s="8" t="s">
        <v>6</v>
      </c>
      <c r="D831" s="12">
        <v>45139</v>
      </c>
      <c r="E831" s="8">
        <v>94790</v>
      </c>
      <c r="F831" s="10">
        <f>IF(ISTEXT(Таблицаx_2[[#This Row],[Значение]]), 0, Таблицаx_2[[#This Row],[Значение]])</f>
        <v>94790</v>
      </c>
      <c r="G831" s="12">
        <v>45170</v>
      </c>
      <c r="H831" s="10" t="str">
        <f>IFERROR(VLOOKUP(Таблицаx_2[[#This Row],[id]],prolongations!A:C,2,)," ")</f>
        <v>сентябрь 2023</v>
      </c>
      <c r="I831" s="10">
        <f>IF(Таблицаx_2[[#This Row],[Месяц окончания]]=Таблицаx_2[[#This Row],[Месяц]],Таблицаx_2[[#This Row],[Значения числа]],0)</f>
        <v>0</v>
      </c>
      <c r="J831" s="8">
        <f>IF(AND(Таблицаx_2[[#This Row],[Месяц окончания]]=Таблицаx_2[[#This Row],[Месяц]],Таблицаx_2[[#This Row],[id]]=A832,EDATE(Таблицаx_2[[#This Row],[Месяц]],1)=D832),F832,0)</f>
        <v>0</v>
      </c>
      <c r="K831" s="8">
        <f>IF(AND(Таблицаx_2[[#This Row],[Месяц окончания]]=Таблицаx_2[[#This Row],[Месяц]],Таблицаx_2[[#This Row],[id]]=A832,EDATE(Таблицаx_2[[#This Row],[Месяц]],2)=D832),F832,0)</f>
        <v>0</v>
      </c>
    </row>
    <row r="832" spans="1:11" ht="12.75" hidden="1" customHeight="1" x14ac:dyDescent="0.2">
      <c r="A832" s="8">
        <v>819</v>
      </c>
      <c r="B832" s="8"/>
      <c r="C832" s="8" t="s">
        <v>6</v>
      </c>
      <c r="D832" s="12">
        <v>45170</v>
      </c>
      <c r="E832" s="8">
        <v>99010</v>
      </c>
      <c r="F832" s="10">
        <f>IF(ISTEXT(Таблицаx_2[[#This Row],[Значение]]), 0, Таблицаx_2[[#This Row],[Значение]])</f>
        <v>99010</v>
      </c>
      <c r="G832" s="12">
        <v>45170</v>
      </c>
      <c r="H832" s="10" t="str">
        <f>IFERROR(VLOOKUP(Таблицаx_2[[#This Row],[id]],prolongations!A:C,2,)," ")</f>
        <v>сентябрь 2023</v>
      </c>
      <c r="I832" s="10">
        <f>IF(Таблицаx_2[[#This Row],[Месяц окончания]]=Таблицаx_2[[#This Row],[Месяц]],Таблицаx_2[[#This Row],[Значения числа]],0)</f>
        <v>99010</v>
      </c>
      <c r="J832" s="8">
        <f>IF(AND(Таблицаx_2[[#This Row],[Месяц окончания]]=Таблицаx_2[[#This Row],[Месяц]],Таблицаx_2[[#This Row],[id]]=A833,EDATE(Таблицаx_2[[#This Row],[Месяц]],1)=D833),F833,0)</f>
        <v>0</v>
      </c>
      <c r="K832" s="8">
        <f>IF(AND(Таблицаx_2[[#This Row],[Месяц окончания]]=Таблицаx_2[[#This Row],[Месяц]],Таблицаx_2[[#This Row],[id]]=A833,EDATE(Таблицаx_2[[#This Row],[Месяц]],2)=D833),F833,0)</f>
        <v>0</v>
      </c>
    </row>
    <row r="833" spans="1:11" ht="12.75" hidden="1" customHeight="1" x14ac:dyDescent="0.2">
      <c r="A833" s="8">
        <v>726</v>
      </c>
      <c r="B833" s="8" t="s">
        <v>52</v>
      </c>
      <c r="C833" s="8" t="s">
        <v>8</v>
      </c>
      <c r="D833" s="12">
        <v>44896</v>
      </c>
      <c r="E833" s="8">
        <v>41555</v>
      </c>
      <c r="F833" s="10">
        <f>IF(ISTEXT(Таблицаx_2[[#This Row],[Значение]]), 0, Таблицаx_2[[#This Row],[Значение]])</f>
        <v>41555</v>
      </c>
      <c r="G833" s="12">
        <v>44986</v>
      </c>
      <c r="H833" s="10" t="str">
        <f>IFERROR(VLOOKUP(Таблицаx_2[[#This Row],[id]],prolongations!A:C,2,)," ")</f>
        <v>март 2023</v>
      </c>
      <c r="I833" s="10">
        <f>IF(Таблицаx_2[[#This Row],[Месяц окончания]]=Таблицаx_2[[#This Row],[Месяц]],Таблицаx_2[[#This Row],[Значения числа]],0)</f>
        <v>0</v>
      </c>
      <c r="J833" s="8">
        <f>IF(AND(Таблицаx_2[[#This Row],[Месяц окончания]]=Таблицаx_2[[#This Row],[Месяц]],Таблицаx_2[[#This Row],[id]]=A834,EDATE(Таблицаx_2[[#This Row],[Месяц]],1)=D834),F834,0)</f>
        <v>0</v>
      </c>
      <c r="K833" s="8">
        <f>IF(AND(Таблицаx_2[[#This Row],[Месяц окончания]]=Таблицаx_2[[#This Row],[Месяц]],Таблицаx_2[[#This Row],[id]]=A834,EDATE(Таблицаx_2[[#This Row],[Месяц]],2)=D834),F834,0)</f>
        <v>0</v>
      </c>
    </row>
    <row r="834" spans="1:11" ht="12.75" hidden="1" customHeight="1" x14ac:dyDescent="0.2">
      <c r="A834" s="8">
        <v>726</v>
      </c>
      <c r="B834" s="8" t="s">
        <v>52</v>
      </c>
      <c r="C834" s="8" t="s">
        <v>8</v>
      </c>
      <c r="D834" s="12">
        <v>44927</v>
      </c>
      <c r="E834" s="8">
        <v>33155</v>
      </c>
      <c r="F834" s="10">
        <f>IF(ISTEXT(Таблицаx_2[[#This Row],[Значение]]), 0, Таблицаx_2[[#This Row],[Значение]])</f>
        <v>33155</v>
      </c>
      <c r="G834" s="12">
        <v>44986</v>
      </c>
      <c r="H834" s="10" t="str">
        <f>IFERROR(VLOOKUP(Таблицаx_2[[#This Row],[id]],prolongations!A:C,2,)," ")</f>
        <v>март 2023</v>
      </c>
      <c r="I834" s="10">
        <f>IF(Таблицаx_2[[#This Row],[Месяц окончания]]=Таблицаx_2[[#This Row],[Месяц]],Таблицаx_2[[#This Row],[Значения числа]],0)</f>
        <v>0</v>
      </c>
      <c r="J834" s="8">
        <f>IF(AND(Таблицаx_2[[#This Row],[Месяц окончания]]=Таблицаx_2[[#This Row],[Месяц]],Таблицаx_2[[#This Row],[id]]=A835,EDATE(Таблицаx_2[[#This Row],[Месяц]],1)=D835),F835,0)</f>
        <v>0</v>
      </c>
      <c r="K834" s="8">
        <f>IF(AND(Таблицаx_2[[#This Row],[Месяц окончания]]=Таблицаx_2[[#This Row],[Месяц]],Таблицаx_2[[#This Row],[id]]=A835,EDATE(Таблицаx_2[[#This Row],[Месяц]],2)=D835),F835,0)</f>
        <v>0</v>
      </c>
    </row>
    <row r="835" spans="1:11" ht="12.75" hidden="1" customHeight="1" x14ac:dyDescent="0.2">
      <c r="A835" s="8">
        <v>726</v>
      </c>
      <c r="B835" s="8" t="s">
        <v>52</v>
      </c>
      <c r="C835" s="8" t="s">
        <v>8</v>
      </c>
      <c r="D835" s="12">
        <v>44958</v>
      </c>
      <c r="E835" s="8">
        <v>34215</v>
      </c>
      <c r="F835" s="10">
        <f>IF(ISTEXT(Таблицаx_2[[#This Row],[Значение]]), 0, Таблицаx_2[[#This Row],[Значение]])</f>
        <v>34215</v>
      </c>
      <c r="G835" s="12">
        <v>44986</v>
      </c>
      <c r="H835" s="10" t="str">
        <f>IFERROR(VLOOKUP(Таблицаx_2[[#This Row],[id]],prolongations!A:C,2,)," ")</f>
        <v>март 2023</v>
      </c>
      <c r="I835" s="10">
        <f>IF(Таблицаx_2[[#This Row],[Месяц окончания]]=Таблицаx_2[[#This Row],[Месяц]],Таблицаx_2[[#This Row],[Значения числа]],0)</f>
        <v>0</v>
      </c>
      <c r="J835" s="8">
        <f>IF(AND(Таблицаx_2[[#This Row],[Месяц окончания]]=Таблицаx_2[[#This Row],[Месяц]],Таблицаx_2[[#This Row],[id]]=A836,EDATE(Таблицаx_2[[#This Row],[Месяц]],1)=D836),F836,0)</f>
        <v>0</v>
      </c>
      <c r="K835" s="8">
        <f>IF(AND(Таблицаx_2[[#This Row],[Месяц окончания]]=Таблицаx_2[[#This Row],[Месяц]],Таблицаx_2[[#This Row],[id]]=A836,EDATE(Таблицаx_2[[#This Row],[Месяц]],2)=D836),F836,0)</f>
        <v>0</v>
      </c>
    </row>
    <row r="836" spans="1:11" ht="12.75" hidden="1" customHeight="1" x14ac:dyDescent="0.2">
      <c r="A836" s="8">
        <v>726</v>
      </c>
      <c r="B836" s="8" t="s">
        <v>52</v>
      </c>
      <c r="C836" s="8" t="s">
        <v>8</v>
      </c>
      <c r="D836" s="12">
        <v>44986</v>
      </c>
      <c r="E836" s="8">
        <v>35110</v>
      </c>
      <c r="F836" s="10">
        <f>IF(ISTEXT(Таблицаx_2[[#This Row],[Значение]]), 0, Таблицаx_2[[#This Row],[Значение]])</f>
        <v>35110</v>
      </c>
      <c r="G836" s="12">
        <v>44986</v>
      </c>
      <c r="H836" s="10" t="str">
        <f>IFERROR(VLOOKUP(Таблицаx_2[[#This Row],[id]],prolongations!A:C,2,)," ")</f>
        <v>март 2023</v>
      </c>
      <c r="I836" s="10">
        <f>IF(Таблицаx_2[[#This Row],[Месяц окончания]]=Таблицаx_2[[#This Row],[Месяц]],Таблицаx_2[[#This Row],[Значения числа]],0)</f>
        <v>35110</v>
      </c>
      <c r="J836" s="8">
        <f>IF(AND(Таблицаx_2[[#This Row],[Месяц окончания]]=Таблицаx_2[[#This Row],[Месяц]],Таблицаx_2[[#This Row],[id]]=A837,EDATE(Таблицаx_2[[#This Row],[Месяц]],1)=D837),F837,0)</f>
        <v>38390</v>
      </c>
      <c r="K836" s="8">
        <f>IF(AND(Таблицаx_2[[#This Row],[Месяц окончания]]=Таблицаx_2[[#This Row],[Месяц]],Таблицаx_2[[#This Row],[id]]=A837,EDATE(Таблицаx_2[[#This Row],[Месяц]],2)=D837),F837,0)</f>
        <v>0</v>
      </c>
    </row>
    <row r="837" spans="1:11" ht="12.75" hidden="1" customHeight="1" x14ac:dyDescent="0.2">
      <c r="A837" s="8">
        <v>726</v>
      </c>
      <c r="B837" s="8" t="s">
        <v>52</v>
      </c>
      <c r="C837" s="8" t="s">
        <v>8</v>
      </c>
      <c r="D837" s="12">
        <v>45017</v>
      </c>
      <c r="E837" s="8">
        <v>38390</v>
      </c>
      <c r="F837" s="10">
        <f>IF(ISTEXT(Таблицаx_2[[#This Row],[Значение]]), 0, Таблицаx_2[[#This Row],[Значение]])</f>
        <v>38390</v>
      </c>
      <c r="G837" s="12">
        <v>44986</v>
      </c>
      <c r="H837" s="10" t="str">
        <f>IFERROR(VLOOKUP(Таблицаx_2[[#This Row],[id]],prolongations!A:C,2,)," ")</f>
        <v>март 2023</v>
      </c>
      <c r="I837" s="10">
        <f>IF(Таблицаx_2[[#This Row],[Месяц окончания]]=Таблицаx_2[[#This Row],[Месяц]],Таблицаx_2[[#This Row],[Значения числа]],0)</f>
        <v>0</v>
      </c>
      <c r="J837" s="8">
        <f>IF(AND(Таблицаx_2[[#This Row],[Месяц окончания]]=Таблицаx_2[[#This Row],[Месяц]],Таблицаx_2[[#This Row],[id]]=A838,EDATE(Таблицаx_2[[#This Row],[Месяц]],1)=D838),F838,0)</f>
        <v>0</v>
      </c>
      <c r="K837" s="8">
        <f>IF(AND(Таблицаx_2[[#This Row],[Месяц окончания]]=Таблицаx_2[[#This Row],[Месяц]],Таблицаx_2[[#This Row],[id]]=A838,EDATE(Таблицаx_2[[#This Row],[Месяц]],2)=D838),F838,0)</f>
        <v>0</v>
      </c>
    </row>
    <row r="838" spans="1:11" ht="12.75" hidden="1" customHeight="1" x14ac:dyDescent="0.2">
      <c r="A838" s="8">
        <v>726</v>
      </c>
      <c r="B838" s="8" t="s">
        <v>52</v>
      </c>
      <c r="C838" s="8" t="s">
        <v>8</v>
      </c>
      <c r="D838" s="12">
        <v>45047</v>
      </c>
      <c r="E838" s="8">
        <v>38390</v>
      </c>
      <c r="F838" s="10">
        <f>IF(ISTEXT(Таблицаx_2[[#This Row],[Значение]]), 0, Таблицаx_2[[#This Row],[Значение]])</f>
        <v>38390</v>
      </c>
      <c r="G838" s="12">
        <v>44986</v>
      </c>
      <c r="H838" s="10" t="str">
        <f>IFERROR(VLOOKUP(Таблицаx_2[[#This Row],[id]],prolongations!A:C,2,)," ")</f>
        <v>март 2023</v>
      </c>
      <c r="I838" s="10">
        <f>IF(Таблицаx_2[[#This Row],[Месяц окончания]]=Таблицаx_2[[#This Row],[Месяц]],Таблицаx_2[[#This Row],[Значения числа]],0)</f>
        <v>0</v>
      </c>
      <c r="J838" s="8">
        <f>IF(AND(Таблицаx_2[[#This Row],[Месяц окончания]]=Таблицаx_2[[#This Row],[Месяц]],Таблицаx_2[[#This Row],[id]]=A839,EDATE(Таблицаx_2[[#This Row],[Месяц]],1)=D839),F839,0)</f>
        <v>0</v>
      </c>
      <c r="K838" s="8">
        <f>IF(AND(Таблицаx_2[[#This Row],[Месяц окончания]]=Таблицаx_2[[#This Row],[Месяц]],Таблицаx_2[[#This Row],[id]]=A839,EDATE(Таблицаx_2[[#This Row],[Месяц]],2)=D839),F839,0)</f>
        <v>0</v>
      </c>
    </row>
    <row r="839" spans="1:11" ht="12.75" hidden="1" customHeight="1" x14ac:dyDescent="0.2">
      <c r="A839" s="8">
        <v>726</v>
      </c>
      <c r="B839" s="8" t="s">
        <v>52</v>
      </c>
      <c r="C839" s="8" t="s">
        <v>8</v>
      </c>
      <c r="D839" s="12">
        <v>45078</v>
      </c>
      <c r="E839" s="8">
        <v>38390</v>
      </c>
      <c r="F839" s="10">
        <f>IF(ISTEXT(Таблицаx_2[[#This Row],[Значение]]), 0, Таблицаx_2[[#This Row],[Значение]])</f>
        <v>38390</v>
      </c>
      <c r="G839" s="12">
        <v>44986</v>
      </c>
      <c r="H839" s="10" t="str">
        <f>IFERROR(VLOOKUP(Таблицаx_2[[#This Row],[id]],prolongations!A:C,2,)," ")</f>
        <v>март 2023</v>
      </c>
      <c r="I839" s="10">
        <f>IF(Таблицаx_2[[#This Row],[Месяц окончания]]=Таблицаx_2[[#This Row],[Месяц]],Таблицаx_2[[#This Row],[Значения числа]],0)</f>
        <v>0</v>
      </c>
      <c r="J839" s="8">
        <f>IF(AND(Таблицаx_2[[#This Row],[Месяц окончания]]=Таблицаx_2[[#This Row],[Месяц]],Таблицаx_2[[#This Row],[id]]=A840,EDATE(Таблицаx_2[[#This Row],[Месяц]],1)=D840),F840,0)</f>
        <v>0</v>
      </c>
      <c r="K839" s="8">
        <f>IF(AND(Таблицаx_2[[#This Row],[Месяц окончания]]=Таблицаx_2[[#This Row],[Месяц]],Таблицаx_2[[#This Row],[id]]=A840,EDATE(Таблицаx_2[[#This Row],[Месяц]],2)=D840),F840,0)</f>
        <v>0</v>
      </c>
    </row>
    <row r="840" spans="1:11" ht="12.75" hidden="1" customHeight="1" x14ac:dyDescent="0.2">
      <c r="A840" s="8">
        <v>726</v>
      </c>
      <c r="B840" s="8" t="s">
        <v>52</v>
      </c>
      <c r="C840" s="8" t="s">
        <v>8</v>
      </c>
      <c r="D840" s="12">
        <v>45108</v>
      </c>
      <c r="E840" s="8">
        <v>38390</v>
      </c>
      <c r="F840" s="10">
        <f>IF(ISTEXT(Таблицаx_2[[#This Row],[Значение]]), 0, Таблицаx_2[[#This Row],[Значение]])</f>
        <v>38390</v>
      </c>
      <c r="G840" s="12">
        <v>44986</v>
      </c>
      <c r="H840" s="10" t="str">
        <f>IFERROR(VLOOKUP(Таблицаx_2[[#This Row],[id]],prolongations!A:C,2,)," ")</f>
        <v>март 2023</v>
      </c>
      <c r="I840" s="10">
        <f>IF(Таблицаx_2[[#This Row],[Месяц окончания]]=Таблицаx_2[[#This Row],[Месяц]],Таблицаx_2[[#This Row],[Значения числа]],0)</f>
        <v>0</v>
      </c>
      <c r="J840" s="8">
        <f>IF(AND(Таблицаx_2[[#This Row],[Месяц окончания]]=Таблицаx_2[[#This Row],[Месяц]],Таблицаx_2[[#This Row],[id]]=A841,EDATE(Таблицаx_2[[#This Row],[Месяц]],1)=D841),F841,0)</f>
        <v>0</v>
      </c>
      <c r="K840" s="8">
        <f>IF(AND(Таблицаx_2[[#This Row],[Месяц окончания]]=Таблицаx_2[[#This Row],[Месяц]],Таблицаx_2[[#This Row],[id]]=A841,EDATE(Таблицаx_2[[#This Row],[Месяц]],2)=D841),F841,0)</f>
        <v>0</v>
      </c>
    </row>
    <row r="841" spans="1:11" ht="12.75" hidden="1" customHeight="1" x14ac:dyDescent="0.2">
      <c r="A841" s="8">
        <v>726</v>
      </c>
      <c r="B841" s="8" t="s">
        <v>52</v>
      </c>
      <c r="C841" s="8" t="s">
        <v>8</v>
      </c>
      <c r="D841" s="12">
        <v>45139</v>
      </c>
      <c r="E841" s="8">
        <v>38390</v>
      </c>
      <c r="F841" s="10">
        <f>IF(ISTEXT(Таблицаx_2[[#This Row],[Значение]]), 0, Таблицаx_2[[#This Row],[Значение]])</f>
        <v>38390</v>
      </c>
      <c r="G841" s="12">
        <v>44986</v>
      </c>
      <c r="H841" s="10" t="str">
        <f>IFERROR(VLOOKUP(Таблицаx_2[[#This Row],[id]],prolongations!A:C,2,)," ")</f>
        <v>март 2023</v>
      </c>
      <c r="I841" s="10">
        <f>IF(Таблицаx_2[[#This Row],[Месяц окончания]]=Таблицаx_2[[#This Row],[Месяц]],Таблицаx_2[[#This Row],[Значения числа]],0)</f>
        <v>0</v>
      </c>
      <c r="J841" s="8">
        <f>IF(AND(Таблицаx_2[[#This Row],[Месяц окончания]]=Таблицаx_2[[#This Row],[Месяц]],Таблицаx_2[[#This Row],[id]]=A842,EDATE(Таблицаx_2[[#This Row],[Месяц]],1)=D842),F842,0)</f>
        <v>0</v>
      </c>
      <c r="K841" s="8">
        <f>IF(AND(Таблицаx_2[[#This Row],[Месяц окончания]]=Таблицаx_2[[#This Row],[Месяц]],Таблицаx_2[[#This Row],[id]]=A842,EDATE(Таблицаx_2[[#This Row],[Месяц]],2)=D842),F842,0)</f>
        <v>0</v>
      </c>
    </row>
    <row r="842" spans="1:11" ht="12.75" hidden="1" customHeight="1" x14ac:dyDescent="0.2">
      <c r="A842" s="8">
        <v>726</v>
      </c>
      <c r="B842" s="8" t="s">
        <v>52</v>
      </c>
      <c r="C842" s="8" t="s">
        <v>8</v>
      </c>
      <c r="D842" s="12">
        <v>45170</v>
      </c>
      <c r="E842" s="8">
        <v>38390</v>
      </c>
      <c r="F842" s="10">
        <f>IF(ISTEXT(Таблицаx_2[[#This Row],[Значение]]), 0, Таблицаx_2[[#This Row],[Значение]])</f>
        <v>38390</v>
      </c>
      <c r="G842" s="12">
        <v>44986</v>
      </c>
      <c r="H842" s="10" t="str">
        <f>IFERROR(VLOOKUP(Таблицаx_2[[#This Row],[id]],prolongations!A:C,2,)," ")</f>
        <v>март 2023</v>
      </c>
      <c r="I842" s="10">
        <f>IF(Таблицаx_2[[#This Row],[Месяц окончания]]=Таблицаx_2[[#This Row],[Месяц]],Таблицаx_2[[#This Row],[Значения числа]],0)</f>
        <v>0</v>
      </c>
      <c r="J842" s="8">
        <f>IF(AND(Таблицаx_2[[#This Row],[Месяц окончания]]=Таблицаx_2[[#This Row],[Месяц]],Таблицаx_2[[#This Row],[id]]=A843,EDATE(Таблицаx_2[[#This Row],[Месяц]],1)=D843),F843,0)</f>
        <v>0</v>
      </c>
      <c r="K842" s="8">
        <f>IF(AND(Таблицаx_2[[#This Row],[Месяц окончания]]=Таблицаx_2[[#This Row],[Месяц]],Таблицаx_2[[#This Row],[id]]=A843,EDATE(Таблицаx_2[[#This Row],[Месяц]],2)=D843),F843,0)</f>
        <v>0</v>
      </c>
    </row>
    <row r="843" spans="1:11" ht="12.75" hidden="1" customHeight="1" x14ac:dyDescent="0.2">
      <c r="A843" s="8">
        <v>726</v>
      </c>
      <c r="B843" s="8" t="s">
        <v>52</v>
      </c>
      <c r="C843" s="8" t="s">
        <v>8</v>
      </c>
      <c r="D843" s="12">
        <v>45200</v>
      </c>
      <c r="E843" s="8">
        <v>34565</v>
      </c>
      <c r="F843" s="10">
        <f>IF(ISTEXT(Таблицаx_2[[#This Row],[Значение]]), 0, Таблицаx_2[[#This Row],[Значение]])</f>
        <v>34565</v>
      </c>
      <c r="G843" s="12">
        <v>44986</v>
      </c>
      <c r="H843" s="10" t="str">
        <f>IFERROR(VLOOKUP(Таблицаx_2[[#This Row],[id]],prolongations!A:C,2,)," ")</f>
        <v>март 2023</v>
      </c>
      <c r="I843" s="10">
        <f>IF(Таблицаx_2[[#This Row],[Месяц окончания]]=Таблицаx_2[[#This Row],[Месяц]],Таблицаx_2[[#This Row],[Значения числа]],0)</f>
        <v>0</v>
      </c>
      <c r="J843" s="8">
        <f>IF(AND(Таблицаx_2[[#This Row],[Месяц окончания]]=Таблицаx_2[[#This Row],[Месяц]],Таблицаx_2[[#This Row],[id]]=A844,EDATE(Таблицаx_2[[#This Row],[Месяц]],1)=D844),F844,0)</f>
        <v>0</v>
      </c>
      <c r="K843" s="8">
        <f>IF(AND(Таблицаx_2[[#This Row],[Месяц окончания]]=Таблицаx_2[[#This Row],[Месяц]],Таблицаx_2[[#This Row],[id]]=A844,EDATE(Таблицаx_2[[#This Row],[Месяц]],2)=D844),F844,0)</f>
        <v>0</v>
      </c>
    </row>
    <row r="844" spans="1:11" ht="12.75" hidden="1" customHeight="1" x14ac:dyDescent="0.2">
      <c r="A844" s="8">
        <v>726</v>
      </c>
      <c r="B844" s="8" t="s">
        <v>52</v>
      </c>
      <c r="C844" s="8" t="s">
        <v>8</v>
      </c>
      <c r="D844" s="12">
        <v>45231</v>
      </c>
      <c r="E844" s="8">
        <v>36675</v>
      </c>
      <c r="F844" s="10">
        <f>IF(ISTEXT(Таблицаx_2[[#This Row],[Значение]]), 0, Таблицаx_2[[#This Row],[Значение]])</f>
        <v>36675</v>
      </c>
      <c r="G844" s="12">
        <v>44986</v>
      </c>
      <c r="H844" s="10" t="str">
        <f>IFERROR(VLOOKUP(Таблицаx_2[[#This Row],[id]],prolongations!A:C,2,)," ")</f>
        <v>март 2023</v>
      </c>
      <c r="I844" s="10">
        <f>IF(Таблицаx_2[[#This Row],[Месяц окончания]]=Таблицаx_2[[#This Row],[Месяц]],Таблицаx_2[[#This Row],[Значения числа]],0)</f>
        <v>0</v>
      </c>
      <c r="J844" s="8">
        <f>IF(AND(Таблицаx_2[[#This Row],[Месяц окончания]]=Таблицаx_2[[#This Row],[Месяц]],Таблицаx_2[[#This Row],[id]]=A845,EDATE(Таблицаx_2[[#This Row],[Месяц]],1)=D845),F845,0)</f>
        <v>0</v>
      </c>
      <c r="K844" s="8">
        <f>IF(AND(Таблицаx_2[[#This Row],[Месяц окончания]]=Таблицаx_2[[#This Row],[Месяц]],Таблицаx_2[[#This Row],[id]]=A845,EDATE(Таблицаx_2[[#This Row],[Месяц]],2)=D845),F845,0)</f>
        <v>0</v>
      </c>
    </row>
    <row r="845" spans="1:11" ht="12.75" hidden="1" customHeight="1" x14ac:dyDescent="0.2">
      <c r="A845" s="8">
        <v>726</v>
      </c>
      <c r="B845" s="8" t="s">
        <v>52</v>
      </c>
      <c r="C845" s="8" t="s">
        <v>8</v>
      </c>
      <c r="D845" s="12">
        <v>45261</v>
      </c>
      <c r="E845" s="8">
        <v>38365</v>
      </c>
      <c r="F845" s="10">
        <f>IF(ISTEXT(Таблицаx_2[[#This Row],[Значение]]), 0, Таблицаx_2[[#This Row],[Значение]])</f>
        <v>38365</v>
      </c>
      <c r="G845" s="12">
        <v>44986</v>
      </c>
      <c r="H845" s="10" t="str">
        <f>IFERROR(VLOOKUP(Таблицаx_2[[#This Row],[id]],prolongations!A:C,2,)," ")</f>
        <v>март 2023</v>
      </c>
      <c r="I845" s="10">
        <f>IF(Таблицаx_2[[#This Row],[Месяц окончания]]=Таблицаx_2[[#This Row],[Месяц]],Таблицаx_2[[#This Row],[Значения числа]],0)</f>
        <v>0</v>
      </c>
      <c r="J845" s="8">
        <f>IF(AND(Таблицаx_2[[#This Row],[Месяц окончания]]=Таблицаx_2[[#This Row],[Месяц]],Таблицаx_2[[#This Row],[id]]=A846,EDATE(Таблицаx_2[[#This Row],[Месяц]],1)=D846),F846,0)</f>
        <v>0</v>
      </c>
      <c r="K845" s="8">
        <f>IF(AND(Таблицаx_2[[#This Row],[Месяц окончания]]=Таблицаx_2[[#This Row],[Месяц]],Таблицаx_2[[#This Row],[id]]=A846,EDATE(Таблицаx_2[[#This Row],[Месяц]],2)=D846),F846,0)</f>
        <v>0</v>
      </c>
    </row>
    <row r="846" spans="1:11" ht="12.75" hidden="1" customHeight="1" x14ac:dyDescent="0.2">
      <c r="A846" s="8">
        <v>726</v>
      </c>
      <c r="B846" s="8" t="s">
        <v>52</v>
      </c>
      <c r="C846" s="8" t="s">
        <v>8</v>
      </c>
      <c r="D846" s="12">
        <v>45292</v>
      </c>
      <c r="E846" s="8">
        <v>38365</v>
      </c>
      <c r="F846" s="10">
        <f>IF(ISTEXT(Таблицаx_2[[#This Row],[Значение]]), 0, Таблицаx_2[[#This Row],[Значение]])</f>
        <v>38365</v>
      </c>
      <c r="G846" s="12">
        <v>44986</v>
      </c>
      <c r="H846" s="10" t="str">
        <f>IFERROR(VLOOKUP(Таблицаx_2[[#This Row],[id]],prolongations!A:C,2,)," ")</f>
        <v>март 2023</v>
      </c>
      <c r="I846" s="10">
        <f>IF(Таблицаx_2[[#This Row],[Месяц окончания]]=Таблицаx_2[[#This Row],[Месяц]],Таблицаx_2[[#This Row],[Значения числа]],0)</f>
        <v>0</v>
      </c>
      <c r="J846" s="8">
        <f>IF(AND(Таблицаx_2[[#This Row],[Месяц окончания]]=Таблицаx_2[[#This Row],[Месяц]],Таблицаx_2[[#This Row],[id]]=A847,EDATE(Таблицаx_2[[#This Row],[Месяц]],1)=D847),F847,0)</f>
        <v>0</v>
      </c>
      <c r="K846" s="8">
        <f>IF(AND(Таблицаx_2[[#This Row],[Месяц окончания]]=Таблицаx_2[[#This Row],[Месяц]],Таблицаx_2[[#This Row],[id]]=A847,EDATE(Таблицаx_2[[#This Row],[Месяц]],2)=D847),F847,0)</f>
        <v>0</v>
      </c>
    </row>
    <row r="847" spans="1:11" ht="12.75" hidden="1" customHeight="1" x14ac:dyDescent="0.2">
      <c r="A847" s="8">
        <v>726</v>
      </c>
      <c r="B847" s="8" t="s">
        <v>52</v>
      </c>
      <c r="C847" s="8" t="s">
        <v>8</v>
      </c>
      <c r="D847" s="12">
        <v>45323</v>
      </c>
      <c r="E847" s="8">
        <v>41320</v>
      </c>
      <c r="F847" s="10">
        <f>IF(ISTEXT(Таблицаx_2[[#This Row],[Значение]]), 0, Таблицаx_2[[#This Row],[Значение]])</f>
        <v>41320</v>
      </c>
      <c r="G847" s="12">
        <v>44986</v>
      </c>
      <c r="H847" s="10" t="str">
        <f>IFERROR(VLOOKUP(Таблицаx_2[[#This Row],[id]],prolongations!A:C,2,)," ")</f>
        <v>март 2023</v>
      </c>
      <c r="I847" s="10">
        <f>IF(Таблицаx_2[[#This Row],[Месяц окончания]]=Таблицаx_2[[#This Row],[Месяц]],Таблицаx_2[[#This Row],[Значения числа]],0)</f>
        <v>0</v>
      </c>
      <c r="J847" s="8">
        <f>IF(AND(Таблицаx_2[[#This Row],[Месяц окончания]]=Таблицаx_2[[#This Row],[Месяц]],Таблицаx_2[[#This Row],[id]]=A848,EDATE(Таблицаx_2[[#This Row],[Месяц]],1)=D848),F848,0)</f>
        <v>0</v>
      </c>
      <c r="K847" s="8">
        <f>IF(AND(Таблицаx_2[[#This Row],[Месяц окончания]]=Таблицаx_2[[#This Row],[Месяц]],Таблицаx_2[[#This Row],[id]]=A848,EDATE(Таблицаx_2[[#This Row],[Месяц]],2)=D848),F848,0)</f>
        <v>0</v>
      </c>
    </row>
    <row r="848" spans="1:11" ht="12.75" hidden="1" customHeight="1" x14ac:dyDescent="0.2">
      <c r="A848" s="8">
        <v>726</v>
      </c>
      <c r="B848" s="8" t="s">
        <v>50</v>
      </c>
      <c r="C848" s="8" t="s">
        <v>8</v>
      </c>
      <c r="D848" s="12">
        <v>44896</v>
      </c>
      <c r="E848" s="8">
        <v>18795</v>
      </c>
      <c r="F848" s="10">
        <f>IF(ISTEXT(Таблицаx_2[[#This Row],[Значение]]), 0, Таблицаx_2[[#This Row],[Значение]])</f>
        <v>18795</v>
      </c>
      <c r="G848" s="12">
        <v>44986</v>
      </c>
      <c r="H848" s="10" t="str">
        <f>IFERROR(VLOOKUP(Таблицаx_2[[#This Row],[id]],prolongations!A:C,2,)," ")</f>
        <v>март 2023</v>
      </c>
      <c r="I848" s="10">
        <f>IF(Таблицаx_2[[#This Row],[Месяц окончания]]=Таблицаx_2[[#This Row],[Месяц]],Таблицаx_2[[#This Row],[Значения числа]],0)</f>
        <v>0</v>
      </c>
      <c r="J848" s="8">
        <f>IF(AND(Таблицаx_2[[#This Row],[Месяц окончания]]=Таблицаx_2[[#This Row],[Месяц]],Таблицаx_2[[#This Row],[id]]=A849,EDATE(Таблицаx_2[[#This Row],[Месяц]],1)=D849),F849,0)</f>
        <v>0</v>
      </c>
      <c r="K848" s="8">
        <f>IF(AND(Таблицаx_2[[#This Row],[Месяц окончания]]=Таблицаx_2[[#This Row],[Месяц]],Таблицаx_2[[#This Row],[id]]=A849,EDATE(Таблицаx_2[[#This Row],[Месяц]],2)=D849),F849,0)</f>
        <v>0</v>
      </c>
    </row>
    <row r="849" spans="1:11" ht="12.75" hidden="1" customHeight="1" x14ac:dyDescent="0.2">
      <c r="A849" s="8">
        <v>726</v>
      </c>
      <c r="B849" s="8" t="s">
        <v>50</v>
      </c>
      <c r="C849" s="8" t="s">
        <v>8</v>
      </c>
      <c r="D849" s="12">
        <v>44927</v>
      </c>
      <c r="E849" s="8">
        <v>3580</v>
      </c>
      <c r="F849" s="10">
        <f>IF(ISTEXT(Таблицаx_2[[#This Row],[Значение]]), 0, Таблицаx_2[[#This Row],[Значение]])</f>
        <v>3580</v>
      </c>
      <c r="G849" s="12">
        <v>44986</v>
      </c>
      <c r="H849" s="10" t="str">
        <f>IFERROR(VLOOKUP(Таблицаx_2[[#This Row],[id]],prolongations!A:C,2,)," ")</f>
        <v>март 2023</v>
      </c>
      <c r="I849" s="10">
        <f>IF(Таблицаx_2[[#This Row],[Месяц окончания]]=Таблицаx_2[[#This Row],[Месяц]],Таблицаx_2[[#This Row],[Значения числа]],0)</f>
        <v>0</v>
      </c>
      <c r="J849" s="8">
        <f>IF(AND(Таблицаx_2[[#This Row],[Месяц окончания]]=Таблицаx_2[[#This Row],[Месяц]],Таблицаx_2[[#This Row],[id]]=A850,EDATE(Таблицаx_2[[#This Row],[Месяц]],1)=D850),F850,0)</f>
        <v>0</v>
      </c>
      <c r="K849" s="8">
        <f>IF(AND(Таблицаx_2[[#This Row],[Месяц окончания]]=Таблицаx_2[[#This Row],[Месяц]],Таблицаx_2[[#This Row],[id]]=A850,EDATE(Таблицаx_2[[#This Row],[Месяц]],2)=D850),F850,0)</f>
        <v>0</v>
      </c>
    </row>
    <row r="850" spans="1:11" ht="12.75" hidden="1" customHeight="1" x14ac:dyDescent="0.2">
      <c r="A850" s="8">
        <v>726</v>
      </c>
      <c r="B850" s="8" t="s">
        <v>50</v>
      </c>
      <c r="C850" s="8" t="s">
        <v>8</v>
      </c>
      <c r="D850" s="12">
        <v>44958</v>
      </c>
      <c r="E850" s="8">
        <v>12465</v>
      </c>
      <c r="F850" s="10">
        <f>IF(ISTEXT(Таблицаx_2[[#This Row],[Значение]]), 0, Таблицаx_2[[#This Row],[Значение]])</f>
        <v>12465</v>
      </c>
      <c r="G850" s="12">
        <v>44986</v>
      </c>
      <c r="H850" s="10" t="str">
        <f>IFERROR(VLOOKUP(Таблицаx_2[[#This Row],[id]],prolongations!A:C,2,)," ")</f>
        <v>март 2023</v>
      </c>
      <c r="I850" s="10">
        <f>IF(Таблицаx_2[[#This Row],[Месяц окончания]]=Таблицаx_2[[#This Row],[Месяц]],Таблицаx_2[[#This Row],[Значения числа]],0)</f>
        <v>0</v>
      </c>
      <c r="J850" s="8">
        <f>IF(AND(Таблицаx_2[[#This Row],[Месяц окончания]]=Таблицаx_2[[#This Row],[Месяц]],Таблицаx_2[[#This Row],[id]]=A851,EDATE(Таблицаx_2[[#This Row],[Месяц]],1)=D851),F851,0)</f>
        <v>0</v>
      </c>
      <c r="K850" s="8">
        <f>IF(AND(Таблицаx_2[[#This Row],[Месяц окончания]]=Таблицаx_2[[#This Row],[Месяц]],Таблицаx_2[[#This Row],[id]]=A851,EDATE(Таблицаx_2[[#This Row],[Месяц]],2)=D851),F851,0)</f>
        <v>0</v>
      </c>
    </row>
    <row r="851" spans="1:11" ht="12.75" hidden="1" customHeight="1" x14ac:dyDescent="0.2">
      <c r="A851" s="8">
        <v>726</v>
      </c>
      <c r="B851" s="8" t="s">
        <v>50</v>
      </c>
      <c r="C851" s="8" t="s">
        <v>8</v>
      </c>
      <c r="D851" s="12">
        <v>44986</v>
      </c>
      <c r="E851" s="8">
        <v>23270</v>
      </c>
      <c r="F851" s="10">
        <f>IF(ISTEXT(Таблицаx_2[[#This Row],[Значение]]), 0, Таблицаx_2[[#This Row],[Значение]])</f>
        <v>23270</v>
      </c>
      <c r="G851" s="12">
        <v>44986</v>
      </c>
      <c r="H851" s="10" t="str">
        <f>IFERROR(VLOOKUP(Таблицаx_2[[#This Row],[id]],prolongations!A:C,2,)," ")</f>
        <v>март 2023</v>
      </c>
      <c r="I851" s="10">
        <f>IF(Таблицаx_2[[#This Row],[Месяц окончания]]=Таблицаx_2[[#This Row],[Месяц]],Таблицаx_2[[#This Row],[Значения числа]],0)</f>
        <v>23270</v>
      </c>
      <c r="J851" s="8">
        <f>IF(AND(Таблицаx_2[[#This Row],[Месяц окончания]]=Таблицаx_2[[#This Row],[Месяц]],Таблицаx_2[[#This Row],[id]]=A852,EDATE(Таблицаx_2[[#This Row],[Месяц]],1)=D852),F852,0)</f>
        <v>7160</v>
      </c>
      <c r="K851" s="8">
        <f>IF(AND(Таблицаx_2[[#This Row],[Месяц окончания]]=Таблицаx_2[[#This Row],[Месяц]],Таблицаx_2[[#This Row],[id]]=A852,EDATE(Таблицаx_2[[#This Row],[Месяц]],2)=D852),F852,0)</f>
        <v>0</v>
      </c>
    </row>
    <row r="852" spans="1:11" ht="12.75" hidden="1" customHeight="1" x14ac:dyDescent="0.2">
      <c r="A852" s="8">
        <v>726</v>
      </c>
      <c r="B852" s="8" t="s">
        <v>50</v>
      </c>
      <c r="C852" s="8" t="s">
        <v>8</v>
      </c>
      <c r="D852" s="12">
        <v>45017</v>
      </c>
      <c r="E852" s="8">
        <v>7160</v>
      </c>
      <c r="F852" s="10">
        <f>IF(ISTEXT(Таблицаx_2[[#This Row],[Значение]]), 0, Таблицаx_2[[#This Row],[Значение]])</f>
        <v>7160</v>
      </c>
      <c r="G852" s="12">
        <v>44986</v>
      </c>
      <c r="H852" s="10" t="str">
        <f>IFERROR(VLOOKUP(Таблицаx_2[[#This Row],[id]],prolongations!A:C,2,)," ")</f>
        <v>март 2023</v>
      </c>
      <c r="I852" s="10">
        <f>IF(Таблицаx_2[[#This Row],[Месяц окончания]]=Таблицаx_2[[#This Row],[Месяц]],Таблицаx_2[[#This Row],[Значения числа]],0)</f>
        <v>0</v>
      </c>
      <c r="J852" s="8">
        <f>IF(AND(Таблицаx_2[[#This Row],[Месяц окончания]]=Таблицаx_2[[#This Row],[Месяц]],Таблицаx_2[[#This Row],[id]]=A853,EDATE(Таблицаx_2[[#This Row],[Месяц]],1)=D853),F853,0)</f>
        <v>0</v>
      </c>
      <c r="K852" s="8">
        <f>IF(AND(Таблицаx_2[[#This Row],[Месяц окончания]]=Таблицаx_2[[#This Row],[Месяц]],Таблицаx_2[[#This Row],[id]]=A853,EDATE(Таблицаx_2[[#This Row],[Месяц]],2)=D853),F853,0)</f>
        <v>0</v>
      </c>
    </row>
    <row r="853" spans="1:11" ht="12.75" hidden="1" customHeight="1" x14ac:dyDescent="0.2">
      <c r="A853" s="8">
        <v>726</v>
      </c>
      <c r="B853" s="8" t="s">
        <v>50</v>
      </c>
      <c r="C853" s="8" t="s">
        <v>8</v>
      </c>
      <c r="D853" s="12">
        <v>45047</v>
      </c>
      <c r="E853" s="8">
        <v>54595</v>
      </c>
      <c r="F853" s="10">
        <f>IF(ISTEXT(Таблицаx_2[[#This Row],[Значение]]), 0, Таблицаx_2[[#This Row],[Значение]])</f>
        <v>54595</v>
      </c>
      <c r="G853" s="12">
        <v>44986</v>
      </c>
      <c r="H853" s="10" t="str">
        <f>IFERROR(VLOOKUP(Таблицаx_2[[#This Row],[id]],prolongations!A:C,2,)," ")</f>
        <v>март 2023</v>
      </c>
      <c r="I853" s="10">
        <f>IF(Таблицаx_2[[#This Row],[Месяц окончания]]=Таблицаx_2[[#This Row],[Месяц]],Таблицаx_2[[#This Row],[Значения числа]],0)</f>
        <v>0</v>
      </c>
      <c r="J853" s="8">
        <f>IF(AND(Таблицаx_2[[#This Row],[Месяц окончания]]=Таблицаx_2[[#This Row],[Месяц]],Таблицаx_2[[#This Row],[id]]=A854,EDATE(Таблицаx_2[[#This Row],[Месяц]],1)=D854),F854,0)</f>
        <v>0</v>
      </c>
      <c r="K853" s="8">
        <f>IF(AND(Таблицаx_2[[#This Row],[Месяц окончания]]=Таблицаx_2[[#This Row],[Месяц]],Таблицаx_2[[#This Row],[id]]=A854,EDATE(Таблицаx_2[[#This Row],[Месяц]],2)=D854),F854,0)</f>
        <v>0</v>
      </c>
    </row>
    <row r="854" spans="1:11" ht="12.75" hidden="1" customHeight="1" x14ac:dyDescent="0.2">
      <c r="A854" s="8">
        <v>726</v>
      </c>
      <c r="B854" s="8" t="s">
        <v>50</v>
      </c>
      <c r="C854" s="8" t="s">
        <v>8</v>
      </c>
      <c r="D854" s="12">
        <v>45078</v>
      </c>
      <c r="E854" s="8">
        <v>54915</v>
      </c>
      <c r="F854" s="10">
        <f>IF(ISTEXT(Таблицаx_2[[#This Row],[Значение]]), 0, Таблицаx_2[[#This Row],[Значение]])</f>
        <v>54915</v>
      </c>
      <c r="G854" s="12">
        <v>44986</v>
      </c>
      <c r="H854" s="10" t="str">
        <f>IFERROR(VLOOKUP(Таблицаx_2[[#This Row],[id]],prolongations!A:C,2,)," ")</f>
        <v>март 2023</v>
      </c>
      <c r="I854" s="10">
        <f>IF(Таблицаx_2[[#This Row],[Месяц окончания]]=Таблицаx_2[[#This Row],[Месяц]],Таблицаx_2[[#This Row],[Значения числа]],0)</f>
        <v>0</v>
      </c>
      <c r="J854" s="8">
        <f>IF(AND(Таблицаx_2[[#This Row],[Месяц окончания]]=Таблицаx_2[[#This Row],[Месяц]],Таблицаx_2[[#This Row],[id]]=A855,EDATE(Таблицаx_2[[#This Row],[Месяц]],1)=D855),F855,0)</f>
        <v>0</v>
      </c>
      <c r="K854" s="8">
        <f>IF(AND(Таблицаx_2[[#This Row],[Месяц окончания]]=Таблицаx_2[[#This Row],[Месяц]],Таблицаx_2[[#This Row],[id]]=A855,EDATE(Таблицаx_2[[#This Row],[Месяц]],2)=D855),F855,0)</f>
        <v>0</v>
      </c>
    </row>
    <row r="855" spans="1:11" ht="12.75" hidden="1" customHeight="1" x14ac:dyDescent="0.2">
      <c r="A855" s="8">
        <v>726</v>
      </c>
      <c r="B855" s="8" t="s">
        <v>50</v>
      </c>
      <c r="C855" s="8" t="s">
        <v>8</v>
      </c>
      <c r="D855" s="12">
        <v>45108</v>
      </c>
      <c r="E855" s="8">
        <v>22535</v>
      </c>
      <c r="F855" s="10">
        <f>IF(ISTEXT(Таблицаx_2[[#This Row],[Значение]]), 0, Таблицаx_2[[#This Row],[Значение]])</f>
        <v>22535</v>
      </c>
      <c r="G855" s="12">
        <v>44986</v>
      </c>
      <c r="H855" s="10" t="str">
        <f>IFERROR(VLOOKUP(Таблицаx_2[[#This Row],[id]],prolongations!A:C,2,)," ")</f>
        <v>март 2023</v>
      </c>
      <c r="I855" s="10">
        <f>IF(Таблицаx_2[[#This Row],[Месяц окончания]]=Таблицаx_2[[#This Row],[Месяц]],Таблицаx_2[[#This Row],[Значения числа]],0)</f>
        <v>0</v>
      </c>
      <c r="J855" s="8">
        <f>IF(AND(Таблицаx_2[[#This Row],[Месяц окончания]]=Таблицаx_2[[#This Row],[Месяц]],Таблицаx_2[[#This Row],[id]]=A856,EDATE(Таблицаx_2[[#This Row],[Месяц]],1)=D856),F856,0)</f>
        <v>0</v>
      </c>
      <c r="K855" s="8">
        <f>IF(AND(Таблицаx_2[[#This Row],[Месяц окончания]]=Таблицаx_2[[#This Row],[Месяц]],Таблицаx_2[[#This Row],[id]]=A856,EDATE(Таблицаx_2[[#This Row],[Месяц]],2)=D856),F856,0)</f>
        <v>0</v>
      </c>
    </row>
    <row r="856" spans="1:11" ht="12.75" hidden="1" customHeight="1" x14ac:dyDescent="0.2">
      <c r="A856" s="8">
        <v>726</v>
      </c>
      <c r="B856" s="8" t="s">
        <v>50</v>
      </c>
      <c r="C856" s="8" t="s">
        <v>8</v>
      </c>
      <c r="D856" s="12">
        <v>45139</v>
      </c>
      <c r="E856" s="8">
        <v>13905</v>
      </c>
      <c r="F856" s="10">
        <f>IF(ISTEXT(Таблицаx_2[[#This Row],[Значение]]), 0, Таблицаx_2[[#This Row],[Значение]])</f>
        <v>13905</v>
      </c>
      <c r="G856" s="12">
        <v>44986</v>
      </c>
      <c r="H856" s="10" t="str">
        <f>IFERROR(VLOOKUP(Таблицаx_2[[#This Row],[id]],prolongations!A:C,2,)," ")</f>
        <v>март 2023</v>
      </c>
      <c r="I856" s="10">
        <f>IF(Таблицаx_2[[#This Row],[Месяц окончания]]=Таблицаx_2[[#This Row],[Месяц]],Таблицаx_2[[#This Row],[Значения числа]],0)</f>
        <v>0</v>
      </c>
      <c r="J856" s="8">
        <f>IF(AND(Таблицаx_2[[#This Row],[Месяц окончания]]=Таблицаx_2[[#This Row],[Месяц]],Таблицаx_2[[#This Row],[id]]=A857,EDATE(Таблицаx_2[[#This Row],[Месяц]],1)=D857),F857,0)</f>
        <v>0</v>
      </c>
      <c r="K856" s="8">
        <f>IF(AND(Таблицаx_2[[#This Row],[Месяц окончания]]=Таблицаx_2[[#This Row],[Месяц]],Таблицаx_2[[#This Row],[id]]=A857,EDATE(Таблицаx_2[[#This Row],[Месяц]],2)=D857),F857,0)</f>
        <v>0</v>
      </c>
    </row>
    <row r="857" spans="1:11" ht="12.75" hidden="1" customHeight="1" x14ac:dyDescent="0.2">
      <c r="A857" s="8">
        <v>726</v>
      </c>
      <c r="B857" s="8" t="s">
        <v>50</v>
      </c>
      <c r="C857" s="8" t="s">
        <v>8</v>
      </c>
      <c r="D857" s="12">
        <v>45170</v>
      </c>
      <c r="E857" s="8">
        <v>8375</v>
      </c>
      <c r="F857" s="10">
        <f>IF(ISTEXT(Таблицаx_2[[#This Row],[Значение]]), 0, Таблицаx_2[[#This Row],[Значение]])</f>
        <v>8375</v>
      </c>
      <c r="G857" s="12">
        <v>44986</v>
      </c>
      <c r="H857" s="10" t="str">
        <f>IFERROR(VLOOKUP(Таблицаx_2[[#This Row],[id]],prolongations!A:C,2,)," ")</f>
        <v>март 2023</v>
      </c>
      <c r="I857" s="10">
        <f>IF(Таблицаx_2[[#This Row],[Месяц окончания]]=Таблицаx_2[[#This Row],[Месяц]],Таблицаx_2[[#This Row],[Значения числа]],0)</f>
        <v>0</v>
      </c>
      <c r="J857" s="8">
        <f>IF(AND(Таблицаx_2[[#This Row],[Месяц окончания]]=Таблицаx_2[[#This Row],[Месяц]],Таблицаx_2[[#This Row],[id]]=A858,EDATE(Таблицаx_2[[#This Row],[Месяц]],1)=D858),F858,0)</f>
        <v>0</v>
      </c>
      <c r="K857" s="8">
        <f>IF(AND(Таблицаx_2[[#This Row],[Месяц окончания]]=Таблицаx_2[[#This Row],[Месяц]],Таблицаx_2[[#This Row],[id]]=A858,EDATE(Таблицаx_2[[#This Row],[Месяц]],2)=D858),F858,0)</f>
        <v>0</v>
      </c>
    </row>
    <row r="858" spans="1:11" ht="12.75" hidden="1" customHeight="1" x14ac:dyDescent="0.2">
      <c r="A858" s="8">
        <v>726</v>
      </c>
      <c r="B858" s="8" t="s">
        <v>50</v>
      </c>
      <c r="C858" s="8" t="s">
        <v>8</v>
      </c>
      <c r="D858" s="12">
        <v>45200</v>
      </c>
      <c r="E858" s="8">
        <v>11635</v>
      </c>
      <c r="F858" s="10">
        <f>IF(ISTEXT(Таблицаx_2[[#This Row],[Значение]]), 0, Таблицаx_2[[#This Row],[Значение]])</f>
        <v>11635</v>
      </c>
      <c r="G858" s="12">
        <v>44986</v>
      </c>
      <c r="H858" s="10" t="str">
        <f>IFERROR(VLOOKUP(Таблицаx_2[[#This Row],[id]],prolongations!A:C,2,)," ")</f>
        <v>март 2023</v>
      </c>
      <c r="I858" s="10">
        <f>IF(Таблицаx_2[[#This Row],[Месяц окончания]]=Таблицаx_2[[#This Row],[Месяц]],Таблицаx_2[[#This Row],[Значения числа]],0)</f>
        <v>0</v>
      </c>
      <c r="J858" s="8">
        <f>IF(AND(Таблицаx_2[[#This Row],[Месяц окончания]]=Таблицаx_2[[#This Row],[Месяц]],Таблицаx_2[[#This Row],[id]]=A859,EDATE(Таблицаx_2[[#This Row],[Месяц]],1)=D859),F859,0)</f>
        <v>0</v>
      </c>
      <c r="K858" s="8">
        <f>IF(AND(Таблицаx_2[[#This Row],[Месяц окончания]]=Таблицаx_2[[#This Row],[Месяц]],Таблицаx_2[[#This Row],[id]]=A859,EDATE(Таблицаx_2[[#This Row],[Месяц]],2)=D859),F859,0)</f>
        <v>0</v>
      </c>
    </row>
    <row r="859" spans="1:11" ht="12.75" hidden="1" customHeight="1" x14ac:dyDescent="0.2">
      <c r="A859" s="8">
        <v>726</v>
      </c>
      <c r="B859" s="8" t="s">
        <v>50</v>
      </c>
      <c r="C859" s="8" t="s">
        <v>8</v>
      </c>
      <c r="D859" s="12">
        <v>45231</v>
      </c>
      <c r="E859" s="8" t="s">
        <v>48</v>
      </c>
      <c r="F859" s="10">
        <f>IF(ISTEXT(Таблицаx_2[[#This Row],[Значение]]), 0, Таблицаx_2[[#This Row],[Значение]])</f>
        <v>0</v>
      </c>
      <c r="G859" s="12">
        <v>44986</v>
      </c>
      <c r="H859" s="10" t="str">
        <f>IFERROR(VLOOKUP(Таблицаx_2[[#This Row],[id]],prolongations!A:C,2,)," ")</f>
        <v>март 2023</v>
      </c>
      <c r="I859" s="10">
        <f>IF(Таблицаx_2[[#This Row],[Месяц окончания]]=Таблицаx_2[[#This Row],[Месяц]],Таблицаx_2[[#This Row],[Значения числа]],0)</f>
        <v>0</v>
      </c>
      <c r="J859" s="8">
        <f>IF(AND(Таблицаx_2[[#This Row],[Месяц окончания]]=Таблицаx_2[[#This Row],[Месяц]],Таблицаx_2[[#This Row],[id]]=A860,EDATE(Таблицаx_2[[#This Row],[Месяц]],1)=D860),F860,0)</f>
        <v>0</v>
      </c>
      <c r="K859" s="8">
        <f>IF(AND(Таблицаx_2[[#This Row],[Месяц окончания]]=Таблицаx_2[[#This Row],[Месяц]],Таблицаx_2[[#This Row],[id]]=A860,EDATE(Таблицаx_2[[#This Row],[Месяц]],2)=D860),F860,0)</f>
        <v>0</v>
      </c>
    </row>
    <row r="860" spans="1:11" ht="12.75" hidden="1" customHeight="1" x14ac:dyDescent="0.2">
      <c r="A860" s="8">
        <v>726</v>
      </c>
      <c r="B860" s="8" t="s">
        <v>50</v>
      </c>
      <c r="C860" s="8" t="s">
        <v>8</v>
      </c>
      <c r="D860" s="12">
        <v>45261</v>
      </c>
      <c r="E860" s="8">
        <v>10740</v>
      </c>
      <c r="F860" s="10">
        <f>IF(ISTEXT(Таблицаx_2[[#This Row],[Значение]]), 0, Таблицаx_2[[#This Row],[Значение]])</f>
        <v>10740</v>
      </c>
      <c r="G860" s="12">
        <v>44986</v>
      </c>
      <c r="H860" s="10" t="str">
        <f>IFERROR(VLOOKUP(Таблицаx_2[[#This Row],[id]],prolongations!A:C,2,)," ")</f>
        <v>март 2023</v>
      </c>
      <c r="I860" s="10">
        <f>IF(Таблицаx_2[[#This Row],[Месяц окончания]]=Таблицаx_2[[#This Row],[Месяц]],Таблицаx_2[[#This Row],[Значения числа]],0)</f>
        <v>0</v>
      </c>
      <c r="J860" s="8">
        <f>IF(AND(Таблицаx_2[[#This Row],[Месяц окончания]]=Таблицаx_2[[#This Row],[Месяц]],Таблицаx_2[[#This Row],[id]]=A861,EDATE(Таблицаx_2[[#This Row],[Месяц]],1)=D861),F861,0)</f>
        <v>0</v>
      </c>
      <c r="K860" s="8">
        <f>IF(AND(Таблицаx_2[[#This Row],[Месяц окончания]]=Таблицаx_2[[#This Row],[Месяц]],Таблицаx_2[[#This Row],[id]]=A861,EDATE(Таблицаx_2[[#This Row],[Месяц]],2)=D861),F861,0)</f>
        <v>0</v>
      </c>
    </row>
    <row r="861" spans="1:11" ht="12.75" hidden="1" customHeight="1" x14ac:dyDescent="0.2">
      <c r="A861" s="8">
        <v>726</v>
      </c>
      <c r="B861" s="8" t="s">
        <v>50</v>
      </c>
      <c r="C861" s="8" t="s">
        <v>8</v>
      </c>
      <c r="D861" s="12">
        <v>45292</v>
      </c>
      <c r="E861" s="8">
        <v>8950</v>
      </c>
      <c r="F861" s="10">
        <f>IF(ISTEXT(Таблицаx_2[[#This Row],[Значение]]), 0, Таблицаx_2[[#This Row],[Значение]])</f>
        <v>8950</v>
      </c>
      <c r="G861" s="12">
        <v>44986</v>
      </c>
      <c r="H861" s="10" t="str">
        <f>IFERROR(VLOOKUP(Таблицаx_2[[#This Row],[id]],prolongations!A:C,2,)," ")</f>
        <v>март 2023</v>
      </c>
      <c r="I861" s="10">
        <f>IF(Таблицаx_2[[#This Row],[Месяц окончания]]=Таблицаx_2[[#This Row],[Месяц]],Таблицаx_2[[#This Row],[Значения числа]],0)</f>
        <v>0</v>
      </c>
      <c r="J861" s="8">
        <f>IF(AND(Таблицаx_2[[#This Row],[Месяц окончания]]=Таблицаx_2[[#This Row],[Месяц]],Таблицаx_2[[#This Row],[id]]=A862,EDATE(Таблицаx_2[[#This Row],[Месяц]],1)=D862),F862,0)</f>
        <v>0</v>
      </c>
      <c r="K861" s="8">
        <f>IF(AND(Таблицаx_2[[#This Row],[Месяц окончания]]=Таблицаx_2[[#This Row],[Месяц]],Таблицаx_2[[#This Row],[id]]=A862,EDATE(Таблицаx_2[[#This Row],[Месяц]],2)=D862),F862,0)</f>
        <v>0</v>
      </c>
    </row>
    <row r="862" spans="1:11" ht="12.75" hidden="1" customHeight="1" x14ac:dyDescent="0.2">
      <c r="A862" s="8">
        <v>726</v>
      </c>
      <c r="B862" s="8" t="s">
        <v>50</v>
      </c>
      <c r="C862" s="8" t="s">
        <v>8</v>
      </c>
      <c r="D862" s="12">
        <v>45323</v>
      </c>
      <c r="E862" s="8">
        <v>2685</v>
      </c>
      <c r="F862" s="10">
        <f>IF(ISTEXT(Таблицаx_2[[#This Row],[Значение]]), 0, Таблицаx_2[[#This Row],[Значение]])</f>
        <v>2685</v>
      </c>
      <c r="G862" s="12">
        <v>44986</v>
      </c>
      <c r="H862" s="10" t="str">
        <f>IFERROR(VLOOKUP(Таблицаx_2[[#This Row],[id]],prolongations!A:C,2,)," ")</f>
        <v>март 2023</v>
      </c>
      <c r="I862" s="10">
        <f>IF(Таблицаx_2[[#This Row],[Месяц окончания]]=Таблицаx_2[[#This Row],[Месяц]],Таблицаx_2[[#This Row],[Значения числа]],0)</f>
        <v>0</v>
      </c>
      <c r="J862" s="8">
        <f>IF(AND(Таблицаx_2[[#This Row],[Месяц окончания]]=Таблицаx_2[[#This Row],[Месяц]],Таблицаx_2[[#This Row],[id]]=A863,EDATE(Таблицаx_2[[#This Row],[Месяц]],1)=D863),F863,0)</f>
        <v>0</v>
      </c>
      <c r="K862" s="8">
        <f>IF(AND(Таблицаx_2[[#This Row],[Месяц окончания]]=Таблицаx_2[[#This Row],[Месяц]],Таблицаx_2[[#This Row],[id]]=A863,EDATE(Таблицаx_2[[#This Row],[Месяц]],2)=D863),F863,0)</f>
        <v>0</v>
      </c>
    </row>
    <row r="863" spans="1:11" ht="12.75" hidden="1" customHeight="1" x14ac:dyDescent="0.2">
      <c r="A863" s="8">
        <v>792</v>
      </c>
      <c r="B863" s="8" t="s">
        <v>45</v>
      </c>
      <c r="C863" s="8" t="s">
        <v>4</v>
      </c>
      <c r="D863" s="12">
        <v>44958</v>
      </c>
      <c r="E863" s="8">
        <v>1400</v>
      </c>
      <c r="F863" s="10">
        <f>IF(ISTEXT(Таблицаx_2[[#This Row],[Значение]]), 0, Таблицаx_2[[#This Row],[Значение]])</f>
        <v>1400</v>
      </c>
      <c r="G863" s="12">
        <v>45078</v>
      </c>
      <c r="H863" s="10" t="str">
        <f>IFERROR(VLOOKUP(Таблицаx_2[[#This Row],[id]],prolongations!A:C,2,)," ")</f>
        <v>июнь 2023</v>
      </c>
      <c r="I863" s="10">
        <f>IF(Таблицаx_2[[#This Row],[Месяц окончания]]=Таблицаx_2[[#This Row],[Месяц]],Таблицаx_2[[#This Row],[Значения числа]],0)</f>
        <v>0</v>
      </c>
      <c r="J863" s="8">
        <f>IF(AND(Таблицаx_2[[#This Row],[Месяц окончания]]=Таблицаx_2[[#This Row],[Месяц]],Таблицаx_2[[#This Row],[id]]=A864,EDATE(Таблицаx_2[[#This Row],[Месяц]],1)=D864),F864,0)</f>
        <v>0</v>
      </c>
      <c r="K863" s="8">
        <f>IF(AND(Таблицаx_2[[#This Row],[Месяц окончания]]=Таблицаx_2[[#This Row],[Месяц]],Таблицаx_2[[#This Row],[id]]=A864,EDATE(Таблицаx_2[[#This Row],[Месяц]],2)=D864),F864,0)</f>
        <v>0</v>
      </c>
    </row>
    <row r="864" spans="1:11" ht="12.75" hidden="1" customHeight="1" x14ac:dyDescent="0.2">
      <c r="A864" s="8">
        <v>792</v>
      </c>
      <c r="B864" s="8" t="s">
        <v>45</v>
      </c>
      <c r="C864" s="8" t="s">
        <v>4</v>
      </c>
      <c r="D864" s="12">
        <v>44986</v>
      </c>
      <c r="E864" s="8">
        <v>1400</v>
      </c>
      <c r="F864" s="10">
        <f>IF(ISTEXT(Таблицаx_2[[#This Row],[Значение]]), 0, Таблицаx_2[[#This Row],[Значение]])</f>
        <v>1400</v>
      </c>
      <c r="G864" s="12">
        <v>45078</v>
      </c>
      <c r="H864" s="10" t="str">
        <f>IFERROR(VLOOKUP(Таблицаx_2[[#This Row],[id]],prolongations!A:C,2,)," ")</f>
        <v>июнь 2023</v>
      </c>
      <c r="I864" s="10">
        <f>IF(Таблицаx_2[[#This Row],[Месяц окончания]]=Таблицаx_2[[#This Row],[Месяц]],Таблицаx_2[[#This Row],[Значения числа]],0)</f>
        <v>0</v>
      </c>
      <c r="J864" s="8">
        <f>IF(AND(Таблицаx_2[[#This Row],[Месяц окончания]]=Таблицаx_2[[#This Row],[Месяц]],Таблицаx_2[[#This Row],[id]]=A865,EDATE(Таблицаx_2[[#This Row],[Месяц]],1)=D865),F865,0)</f>
        <v>0</v>
      </c>
      <c r="K864" s="8">
        <f>IF(AND(Таблицаx_2[[#This Row],[Месяц окончания]]=Таблицаx_2[[#This Row],[Месяц]],Таблицаx_2[[#This Row],[id]]=A865,EDATE(Таблицаx_2[[#This Row],[Месяц]],2)=D865),F865,0)</f>
        <v>0</v>
      </c>
    </row>
    <row r="865" spans="1:11" ht="12.75" hidden="1" customHeight="1" x14ac:dyDescent="0.2">
      <c r="A865" s="8">
        <v>792</v>
      </c>
      <c r="B865" s="8" t="s">
        <v>45</v>
      </c>
      <c r="C865" s="8" t="s">
        <v>4</v>
      </c>
      <c r="D865" s="12">
        <v>45017</v>
      </c>
      <c r="E865" s="8">
        <v>1400</v>
      </c>
      <c r="F865" s="10">
        <f>IF(ISTEXT(Таблицаx_2[[#This Row],[Значение]]), 0, Таблицаx_2[[#This Row],[Значение]])</f>
        <v>1400</v>
      </c>
      <c r="G865" s="12">
        <v>45078</v>
      </c>
      <c r="H865" s="10" t="str">
        <f>IFERROR(VLOOKUP(Таблицаx_2[[#This Row],[id]],prolongations!A:C,2,)," ")</f>
        <v>июнь 2023</v>
      </c>
      <c r="I865" s="10">
        <f>IF(Таблицаx_2[[#This Row],[Месяц окончания]]=Таблицаx_2[[#This Row],[Месяц]],Таблицаx_2[[#This Row],[Значения числа]],0)</f>
        <v>0</v>
      </c>
      <c r="J865" s="8">
        <f>IF(AND(Таблицаx_2[[#This Row],[Месяц окончания]]=Таблицаx_2[[#This Row],[Месяц]],Таблицаx_2[[#This Row],[id]]=A866,EDATE(Таблицаx_2[[#This Row],[Месяц]],1)=D866),F866,0)</f>
        <v>0</v>
      </c>
      <c r="K865" s="8">
        <f>IF(AND(Таблицаx_2[[#This Row],[Месяц окончания]]=Таблицаx_2[[#This Row],[Месяц]],Таблицаx_2[[#This Row],[id]]=A866,EDATE(Таблицаx_2[[#This Row],[Месяц]],2)=D866),F866,0)</f>
        <v>0</v>
      </c>
    </row>
    <row r="866" spans="1:11" ht="12.75" hidden="1" customHeight="1" x14ac:dyDescent="0.2">
      <c r="A866" s="8">
        <v>792</v>
      </c>
      <c r="B866" s="8" t="s">
        <v>45</v>
      </c>
      <c r="C866" s="8" t="s">
        <v>4</v>
      </c>
      <c r="D866" s="12">
        <v>45047</v>
      </c>
      <c r="E866" s="8">
        <v>1400</v>
      </c>
      <c r="F866" s="10">
        <f>IF(ISTEXT(Таблицаx_2[[#This Row],[Значение]]), 0, Таблицаx_2[[#This Row],[Значение]])</f>
        <v>1400</v>
      </c>
      <c r="G866" s="12">
        <v>45078</v>
      </c>
      <c r="H866" s="10" t="str">
        <f>IFERROR(VLOOKUP(Таблицаx_2[[#This Row],[id]],prolongations!A:C,2,)," ")</f>
        <v>июнь 2023</v>
      </c>
      <c r="I866" s="10">
        <f>IF(Таблицаx_2[[#This Row],[Месяц окончания]]=Таблицаx_2[[#This Row],[Месяц]],Таблицаx_2[[#This Row],[Значения числа]],0)</f>
        <v>0</v>
      </c>
      <c r="J866" s="8">
        <f>IF(AND(Таблицаx_2[[#This Row],[Месяц окончания]]=Таблицаx_2[[#This Row],[Месяц]],Таблицаx_2[[#This Row],[id]]=A867,EDATE(Таблицаx_2[[#This Row],[Месяц]],1)=D867),F867,0)</f>
        <v>0</v>
      </c>
      <c r="K866" s="8">
        <f>IF(AND(Таблицаx_2[[#This Row],[Месяц окончания]]=Таблицаx_2[[#This Row],[Месяц]],Таблицаx_2[[#This Row],[id]]=A867,EDATE(Таблицаx_2[[#This Row],[Месяц]],2)=D867),F867,0)</f>
        <v>0</v>
      </c>
    </row>
    <row r="867" spans="1:11" ht="12.75" hidden="1" customHeight="1" x14ac:dyDescent="0.2">
      <c r="A867" s="8">
        <v>792</v>
      </c>
      <c r="B867" s="8" t="s">
        <v>45</v>
      </c>
      <c r="C867" s="8" t="s">
        <v>4</v>
      </c>
      <c r="D867" s="12">
        <v>45078</v>
      </c>
      <c r="E867" s="8">
        <v>1400</v>
      </c>
      <c r="F867" s="10">
        <f>IF(ISTEXT(Таблицаx_2[[#This Row],[Значение]]), 0, Таблицаx_2[[#This Row],[Значение]])</f>
        <v>1400</v>
      </c>
      <c r="G867" s="12">
        <v>45078</v>
      </c>
      <c r="H867" s="10" t="str">
        <f>IFERROR(VLOOKUP(Таблицаx_2[[#This Row],[id]],prolongations!A:C,2,)," ")</f>
        <v>июнь 2023</v>
      </c>
      <c r="I867" s="10">
        <f>IF(Таблицаx_2[[#This Row],[Месяц окончания]]=Таблицаx_2[[#This Row],[Месяц]],Таблицаx_2[[#This Row],[Значения числа]],0)</f>
        <v>1400</v>
      </c>
      <c r="J867" s="8">
        <f>IF(AND(Таблицаx_2[[#This Row],[Месяц окончания]]=Таблицаx_2[[#This Row],[Месяц]],Таблицаx_2[[#This Row],[id]]=A868,EDATE(Таблицаx_2[[#This Row],[Месяц]],1)=D868),F868,0)</f>
        <v>89850</v>
      </c>
      <c r="K867" s="8">
        <f>IF(AND(Таблицаx_2[[#This Row],[Месяц окончания]]=Таблицаx_2[[#This Row],[Месяц]],Таблицаx_2[[#This Row],[id]]=A868,EDATE(Таблицаx_2[[#This Row],[Месяц]],2)=D868),F868,0)</f>
        <v>0</v>
      </c>
    </row>
    <row r="868" spans="1:11" ht="12.75" hidden="1" customHeight="1" x14ac:dyDescent="0.2">
      <c r="A868" s="8">
        <v>792</v>
      </c>
      <c r="B868" s="8" t="s">
        <v>45</v>
      </c>
      <c r="C868" s="8" t="s">
        <v>4</v>
      </c>
      <c r="D868" s="12">
        <v>45108</v>
      </c>
      <c r="E868" s="8">
        <v>89850</v>
      </c>
      <c r="F868" s="10">
        <f>IF(ISTEXT(Таблицаx_2[[#This Row],[Значение]]), 0, Таблицаx_2[[#This Row],[Значение]])</f>
        <v>89850</v>
      </c>
      <c r="G868" s="12">
        <v>45078</v>
      </c>
      <c r="H868" s="10" t="str">
        <f>IFERROR(VLOOKUP(Таблицаx_2[[#This Row],[id]],prolongations!A:C,2,)," ")</f>
        <v>июнь 2023</v>
      </c>
      <c r="I868" s="10">
        <f>IF(Таблицаx_2[[#This Row],[Месяц окончания]]=Таблицаx_2[[#This Row],[Месяц]],Таблицаx_2[[#This Row],[Значения числа]],0)</f>
        <v>0</v>
      </c>
      <c r="J868" s="8">
        <f>IF(AND(Таблицаx_2[[#This Row],[Месяц окончания]]=Таблицаx_2[[#This Row],[Месяц]],Таблицаx_2[[#This Row],[id]]=A869,EDATE(Таблицаx_2[[#This Row],[Месяц]],1)=D869),F869,0)</f>
        <v>0</v>
      </c>
      <c r="K868" s="8">
        <f>IF(AND(Таблицаx_2[[#This Row],[Месяц окончания]]=Таблицаx_2[[#This Row],[Месяц]],Таблицаx_2[[#This Row],[id]]=A869,EDATE(Таблицаx_2[[#This Row],[Месяц]],2)=D869),F869,0)</f>
        <v>0</v>
      </c>
    </row>
    <row r="869" spans="1:11" ht="12.75" hidden="1" customHeight="1" x14ac:dyDescent="0.2">
      <c r="A869" s="8">
        <v>792</v>
      </c>
      <c r="B869" s="8" t="s">
        <v>45</v>
      </c>
      <c r="C869" s="8" t="s">
        <v>4</v>
      </c>
      <c r="D869" s="12">
        <v>45139</v>
      </c>
      <c r="E869" s="8">
        <v>94050</v>
      </c>
      <c r="F869" s="10">
        <f>IF(ISTEXT(Таблицаx_2[[#This Row],[Значение]]), 0, Таблицаx_2[[#This Row],[Значение]])</f>
        <v>94050</v>
      </c>
      <c r="G869" s="12">
        <v>45078</v>
      </c>
      <c r="H869" s="10" t="str">
        <f>IFERROR(VLOOKUP(Таблицаx_2[[#This Row],[id]],prolongations!A:C,2,)," ")</f>
        <v>июнь 2023</v>
      </c>
      <c r="I869" s="10">
        <f>IF(Таблицаx_2[[#This Row],[Месяц окончания]]=Таблицаx_2[[#This Row],[Месяц]],Таблицаx_2[[#This Row],[Значения числа]],0)</f>
        <v>0</v>
      </c>
      <c r="J869" s="8">
        <f>IF(AND(Таблицаx_2[[#This Row],[Месяц окончания]]=Таблицаx_2[[#This Row],[Месяц]],Таблицаx_2[[#This Row],[id]]=A870,EDATE(Таблицаx_2[[#This Row],[Месяц]],1)=D870),F870,0)</f>
        <v>0</v>
      </c>
      <c r="K869" s="8">
        <f>IF(AND(Таблицаx_2[[#This Row],[Месяц окончания]]=Таблицаx_2[[#This Row],[Месяц]],Таблицаx_2[[#This Row],[id]]=A870,EDATE(Таблицаx_2[[#This Row],[Месяц]],2)=D870),F870,0)</f>
        <v>0</v>
      </c>
    </row>
    <row r="870" spans="1:11" ht="12.75" hidden="1" customHeight="1" x14ac:dyDescent="0.2">
      <c r="A870" s="8">
        <v>792</v>
      </c>
      <c r="B870" s="8" t="s">
        <v>45</v>
      </c>
      <c r="C870" s="8" t="s">
        <v>4</v>
      </c>
      <c r="D870" s="12">
        <v>45170</v>
      </c>
      <c r="E870" s="8">
        <v>94050</v>
      </c>
      <c r="F870" s="10">
        <f>IF(ISTEXT(Таблицаx_2[[#This Row],[Значение]]), 0, Таблицаx_2[[#This Row],[Значение]])</f>
        <v>94050</v>
      </c>
      <c r="G870" s="12">
        <v>45078</v>
      </c>
      <c r="H870" s="10" t="str">
        <f>IFERROR(VLOOKUP(Таблицаx_2[[#This Row],[id]],prolongations!A:C,2,)," ")</f>
        <v>июнь 2023</v>
      </c>
      <c r="I870" s="10">
        <f>IF(Таблицаx_2[[#This Row],[Месяц окончания]]=Таблицаx_2[[#This Row],[Месяц]],Таблицаx_2[[#This Row],[Значения числа]],0)</f>
        <v>0</v>
      </c>
      <c r="J870" s="8">
        <f>IF(AND(Таблицаx_2[[#This Row],[Месяц окончания]]=Таблицаx_2[[#This Row],[Месяц]],Таблицаx_2[[#This Row],[id]]=A871,EDATE(Таблицаx_2[[#This Row],[Месяц]],1)=D871),F871,0)</f>
        <v>0</v>
      </c>
      <c r="K870" s="8">
        <f>IF(AND(Таблицаx_2[[#This Row],[Месяц окончания]]=Таблицаx_2[[#This Row],[Месяц]],Таблицаx_2[[#This Row],[id]]=A871,EDATE(Таблицаx_2[[#This Row],[Месяц]],2)=D871),F871,0)</f>
        <v>0</v>
      </c>
    </row>
    <row r="871" spans="1:11" ht="12.75" hidden="1" customHeight="1" x14ac:dyDescent="0.2">
      <c r="A871" s="8">
        <v>792</v>
      </c>
      <c r="B871" s="8" t="s">
        <v>47</v>
      </c>
      <c r="C871" s="8" t="s">
        <v>4</v>
      </c>
      <c r="D871" s="12">
        <v>45108</v>
      </c>
      <c r="E871" s="8">
        <v>4200</v>
      </c>
      <c r="F871" s="10">
        <f>IF(ISTEXT(Таблицаx_2[[#This Row],[Значение]]), 0, Таблицаx_2[[#This Row],[Значение]])</f>
        <v>4200</v>
      </c>
      <c r="G871" s="12">
        <v>45078</v>
      </c>
      <c r="H871" s="10" t="str">
        <f>IFERROR(VLOOKUP(Таблицаx_2[[#This Row],[id]],prolongations!A:C,2,)," ")</f>
        <v>июнь 2023</v>
      </c>
      <c r="I871" s="10">
        <f>IF(Таблицаx_2[[#This Row],[Месяц окончания]]=Таблицаx_2[[#This Row],[Месяц]],Таблицаx_2[[#This Row],[Значения числа]],0)</f>
        <v>0</v>
      </c>
      <c r="J871" s="8">
        <f>IF(AND(Таблицаx_2[[#This Row],[Месяц окончания]]=Таблицаx_2[[#This Row],[Месяц]],Таблицаx_2[[#This Row],[id]]=A872,EDATE(Таблицаx_2[[#This Row],[Месяц]],1)=D872),F872,0)</f>
        <v>0</v>
      </c>
      <c r="K871" s="8">
        <f>IF(AND(Таблицаx_2[[#This Row],[Месяц окончания]]=Таблицаx_2[[#This Row],[Месяц]],Таблицаx_2[[#This Row],[id]]=A872,EDATE(Таблицаx_2[[#This Row],[Месяц]],2)=D872),F872,0)</f>
        <v>0</v>
      </c>
    </row>
    <row r="872" spans="1:11" ht="12.75" hidden="1" customHeight="1" x14ac:dyDescent="0.2">
      <c r="A872" s="8">
        <v>792</v>
      </c>
      <c r="B872" s="8" t="s">
        <v>47</v>
      </c>
      <c r="C872" s="8" t="s">
        <v>4</v>
      </c>
      <c r="D872" s="12">
        <v>44958</v>
      </c>
      <c r="E872" s="8">
        <v>3165</v>
      </c>
      <c r="F872" s="10">
        <f>IF(ISTEXT(Таблицаx_2[[#This Row],[Значение]]), 0, Таблицаx_2[[#This Row],[Значение]])</f>
        <v>3165</v>
      </c>
      <c r="G872" s="12">
        <v>45078</v>
      </c>
      <c r="H872" s="10" t="str">
        <f>IFERROR(VLOOKUP(Таблицаx_2[[#This Row],[id]],prolongations!A:C,2,)," ")</f>
        <v>июнь 2023</v>
      </c>
      <c r="I872" s="10">
        <f>IF(Таблицаx_2[[#This Row],[Месяц окончания]]=Таблицаx_2[[#This Row],[Месяц]],Таблицаx_2[[#This Row],[Значения числа]],0)</f>
        <v>0</v>
      </c>
      <c r="J872" s="8">
        <f>IF(AND(Таблицаx_2[[#This Row],[Месяц окончания]]=Таблицаx_2[[#This Row],[Месяц]],Таблицаx_2[[#This Row],[id]]=A873,EDATE(Таблицаx_2[[#This Row],[Месяц]],1)=D873),F873,0)</f>
        <v>0</v>
      </c>
      <c r="K872" s="8">
        <f>IF(AND(Таблицаx_2[[#This Row],[Месяц окончания]]=Таблицаx_2[[#This Row],[Месяц]],Таблицаx_2[[#This Row],[id]]=A873,EDATE(Таблицаx_2[[#This Row],[Месяц]],2)=D873),F873,0)</f>
        <v>0</v>
      </c>
    </row>
    <row r="873" spans="1:11" ht="12.75" hidden="1" customHeight="1" x14ac:dyDescent="0.2">
      <c r="A873" s="8">
        <v>792</v>
      </c>
      <c r="B873" s="8" t="s">
        <v>47</v>
      </c>
      <c r="C873" s="8" t="s">
        <v>4</v>
      </c>
      <c r="D873" s="12">
        <v>44986</v>
      </c>
      <c r="E873" s="8">
        <v>5275</v>
      </c>
      <c r="F873" s="10">
        <f>IF(ISTEXT(Таблицаx_2[[#This Row],[Значение]]), 0, Таблицаx_2[[#This Row],[Значение]])</f>
        <v>5275</v>
      </c>
      <c r="G873" s="12">
        <v>45078</v>
      </c>
      <c r="H873" s="10" t="str">
        <f>IFERROR(VLOOKUP(Таблицаx_2[[#This Row],[id]],prolongations!A:C,2,)," ")</f>
        <v>июнь 2023</v>
      </c>
      <c r="I873" s="10">
        <f>IF(Таблицаx_2[[#This Row],[Месяц окончания]]=Таблицаx_2[[#This Row],[Месяц]],Таблицаx_2[[#This Row],[Значения числа]],0)</f>
        <v>0</v>
      </c>
      <c r="J873" s="8">
        <f>IF(AND(Таблицаx_2[[#This Row],[Месяц окончания]]=Таблицаx_2[[#This Row],[Месяц]],Таблицаx_2[[#This Row],[id]]=A874,EDATE(Таблицаx_2[[#This Row],[Месяц]],1)=D874),F874,0)</f>
        <v>0</v>
      </c>
      <c r="K873" s="8">
        <f>IF(AND(Таблицаx_2[[#This Row],[Месяц окончания]]=Таблицаx_2[[#This Row],[Месяц]],Таблицаx_2[[#This Row],[id]]=A874,EDATE(Таблицаx_2[[#This Row],[Месяц]],2)=D874),F874,0)</f>
        <v>0</v>
      </c>
    </row>
    <row r="874" spans="1:11" ht="12.75" hidden="1" customHeight="1" x14ac:dyDescent="0.2">
      <c r="A874" s="8">
        <v>792</v>
      </c>
      <c r="B874" s="8" t="s">
        <v>47</v>
      </c>
      <c r="C874" s="8" t="s">
        <v>4</v>
      </c>
      <c r="D874" s="12">
        <v>45017</v>
      </c>
      <c r="E874" s="8">
        <v>3165</v>
      </c>
      <c r="F874" s="10">
        <f>IF(ISTEXT(Таблицаx_2[[#This Row],[Значение]]), 0, Таблицаx_2[[#This Row],[Значение]])</f>
        <v>3165</v>
      </c>
      <c r="G874" s="12">
        <v>45078</v>
      </c>
      <c r="H874" s="10" t="str">
        <f>IFERROR(VLOOKUP(Таблицаx_2[[#This Row],[id]],prolongations!A:C,2,)," ")</f>
        <v>июнь 2023</v>
      </c>
      <c r="I874" s="10">
        <f>IF(Таблицаx_2[[#This Row],[Месяц окончания]]=Таблицаx_2[[#This Row],[Месяц]],Таблицаx_2[[#This Row],[Значения числа]],0)</f>
        <v>0</v>
      </c>
      <c r="J874" s="8">
        <f>IF(AND(Таблицаx_2[[#This Row],[Месяц окончания]]=Таблицаx_2[[#This Row],[Месяц]],Таблицаx_2[[#This Row],[id]]=A875,EDATE(Таблицаx_2[[#This Row],[Месяц]],1)=D875),F875,0)</f>
        <v>0</v>
      </c>
      <c r="K874" s="8">
        <f>IF(AND(Таблицаx_2[[#This Row],[Месяц окончания]]=Таблицаx_2[[#This Row],[Месяц]],Таблицаx_2[[#This Row],[id]]=A875,EDATE(Таблицаx_2[[#This Row],[Месяц]],2)=D875),F875,0)</f>
        <v>0</v>
      </c>
    </row>
    <row r="875" spans="1:11" ht="12.75" hidden="1" customHeight="1" x14ac:dyDescent="0.2">
      <c r="A875" s="8">
        <v>792</v>
      </c>
      <c r="B875" s="8" t="s">
        <v>47</v>
      </c>
      <c r="C875" s="8" t="s">
        <v>4</v>
      </c>
      <c r="D875" s="12">
        <v>45047</v>
      </c>
      <c r="E875" s="8">
        <v>3165</v>
      </c>
      <c r="F875" s="10">
        <f>IF(ISTEXT(Таблицаx_2[[#This Row],[Значение]]), 0, Таблицаx_2[[#This Row],[Значение]])</f>
        <v>3165</v>
      </c>
      <c r="G875" s="12">
        <v>45078</v>
      </c>
      <c r="H875" s="10" t="str">
        <f>IFERROR(VLOOKUP(Таблицаx_2[[#This Row],[id]],prolongations!A:C,2,)," ")</f>
        <v>июнь 2023</v>
      </c>
      <c r="I875" s="10">
        <f>IF(Таблицаx_2[[#This Row],[Месяц окончания]]=Таблицаx_2[[#This Row],[Месяц]],Таблицаx_2[[#This Row],[Значения числа]],0)</f>
        <v>0</v>
      </c>
      <c r="J875" s="8">
        <f>IF(AND(Таблицаx_2[[#This Row],[Месяц окончания]]=Таблицаx_2[[#This Row],[Месяц]],Таблицаx_2[[#This Row],[id]]=A876,EDATE(Таблицаx_2[[#This Row],[Месяц]],1)=D876),F876,0)</f>
        <v>0</v>
      </c>
      <c r="K875" s="8">
        <f>IF(AND(Таблицаx_2[[#This Row],[Месяц окончания]]=Таблицаx_2[[#This Row],[Месяц]],Таблицаx_2[[#This Row],[id]]=A876,EDATE(Таблицаx_2[[#This Row],[Месяц]],2)=D876),F876,0)</f>
        <v>0</v>
      </c>
    </row>
    <row r="876" spans="1:11" ht="12.75" hidden="1" customHeight="1" x14ac:dyDescent="0.2">
      <c r="A876" s="8">
        <v>792</v>
      </c>
      <c r="B876" s="8" t="s">
        <v>47</v>
      </c>
      <c r="C876" s="8" t="s">
        <v>4</v>
      </c>
      <c r="D876" s="12">
        <v>45078</v>
      </c>
      <c r="E876" s="8" t="s">
        <v>48</v>
      </c>
      <c r="F876" s="10">
        <f>IF(ISTEXT(Таблицаx_2[[#This Row],[Значение]]), 0, Таблицаx_2[[#This Row],[Значение]])</f>
        <v>0</v>
      </c>
      <c r="G876" s="12">
        <v>45078</v>
      </c>
      <c r="H876" s="10" t="str">
        <f>IFERROR(VLOOKUP(Таблицаx_2[[#This Row],[id]],prolongations!A:C,2,)," ")</f>
        <v>июнь 2023</v>
      </c>
      <c r="I876" s="10">
        <f>IF(Таблицаx_2[[#This Row],[Месяц окончания]]=Таблицаx_2[[#This Row],[Месяц]],Таблицаx_2[[#This Row],[Значения числа]],0)</f>
        <v>0</v>
      </c>
      <c r="J876" s="8">
        <f>IF(AND(Таблицаx_2[[#This Row],[Месяц окончания]]=Таблицаx_2[[#This Row],[Месяц]],Таблицаx_2[[#This Row],[id]]=A877,EDATE(Таблицаx_2[[#This Row],[Месяц]],1)=D877),F877,0)</f>
        <v>0</v>
      </c>
      <c r="K876" s="8">
        <f>IF(AND(Таблицаx_2[[#This Row],[Месяц окончания]]=Таблицаx_2[[#This Row],[Месяц]],Таблицаx_2[[#This Row],[id]]=A877,EDATE(Таблицаx_2[[#This Row],[Месяц]],2)=D877),F877,0)</f>
        <v>0</v>
      </c>
    </row>
    <row r="877" spans="1:11" ht="12.75" hidden="1" customHeight="1" x14ac:dyDescent="0.2">
      <c r="A877" s="8">
        <v>792</v>
      </c>
      <c r="B877" s="8" t="s">
        <v>47</v>
      </c>
      <c r="C877" s="8" t="s">
        <v>4</v>
      </c>
      <c r="D877" s="12">
        <v>45108</v>
      </c>
      <c r="E877" s="8" t="s">
        <v>48</v>
      </c>
      <c r="F877" s="10">
        <f>IF(ISTEXT(Таблицаx_2[[#This Row],[Значение]]), 0, Таблицаx_2[[#This Row],[Значение]])</f>
        <v>0</v>
      </c>
      <c r="G877" s="12">
        <v>45078</v>
      </c>
      <c r="H877" s="10" t="str">
        <f>IFERROR(VLOOKUP(Таблицаx_2[[#This Row],[id]],prolongations!A:C,2,)," ")</f>
        <v>июнь 2023</v>
      </c>
      <c r="I877" s="10">
        <f>IF(Таблицаx_2[[#This Row],[Месяц окончания]]=Таблицаx_2[[#This Row],[Месяц]],Таблицаx_2[[#This Row],[Значения числа]],0)</f>
        <v>0</v>
      </c>
      <c r="J877" s="8">
        <f>IF(AND(Таблицаx_2[[#This Row],[Месяц окончания]]=Таблицаx_2[[#This Row],[Месяц]],Таблицаx_2[[#This Row],[id]]=A878,EDATE(Таблицаx_2[[#This Row],[Месяц]],1)=D878),F878,0)</f>
        <v>0</v>
      </c>
      <c r="K877" s="8">
        <f>IF(AND(Таблицаx_2[[#This Row],[Месяц окончания]]=Таблицаx_2[[#This Row],[Месяц]],Таблицаx_2[[#This Row],[id]]=A878,EDATE(Таблицаx_2[[#This Row],[Месяц]],2)=D878),F878,0)</f>
        <v>0</v>
      </c>
    </row>
    <row r="878" spans="1:11" ht="12.75" hidden="1" customHeight="1" x14ac:dyDescent="0.2">
      <c r="A878" s="8">
        <v>792</v>
      </c>
      <c r="B878" s="8" t="s">
        <v>47</v>
      </c>
      <c r="C878" s="8" t="s">
        <v>4</v>
      </c>
      <c r="D878" s="12">
        <v>45139</v>
      </c>
      <c r="E878" s="8" t="s">
        <v>48</v>
      </c>
      <c r="F878" s="10">
        <f>IF(ISTEXT(Таблицаx_2[[#This Row],[Значение]]), 0, Таблицаx_2[[#This Row],[Значение]])</f>
        <v>0</v>
      </c>
      <c r="G878" s="12">
        <v>45078</v>
      </c>
      <c r="H878" s="10" t="str">
        <f>IFERROR(VLOOKUP(Таблицаx_2[[#This Row],[id]],prolongations!A:C,2,)," ")</f>
        <v>июнь 2023</v>
      </c>
      <c r="I878" s="10">
        <f>IF(Таблицаx_2[[#This Row],[Месяц окончания]]=Таблицаx_2[[#This Row],[Месяц]],Таблицаx_2[[#This Row],[Значения числа]],0)</f>
        <v>0</v>
      </c>
      <c r="J878" s="8">
        <f>IF(AND(Таблицаx_2[[#This Row],[Месяц окончания]]=Таблицаx_2[[#This Row],[Месяц]],Таблицаx_2[[#This Row],[id]]=A879,EDATE(Таблицаx_2[[#This Row],[Месяц]],1)=D879),F879,0)</f>
        <v>0</v>
      </c>
      <c r="K878" s="8">
        <f>IF(AND(Таблицаx_2[[#This Row],[Месяц окончания]]=Таблицаx_2[[#This Row],[Месяц]],Таблицаx_2[[#This Row],[id]]=A879,EDATE(Таблицаx_2[[#This Row],[Месяц]],2)=D879),F879,0)</f>
        <v>0</v>
      </c>
    </row>
    <row r="879" spans="1:11" ht="12.75" hidden="1" customHeight="1" x14ac:dyDescent="0.2">
      <c r="A879" s="8">
        <v>792</v>
      </c>
      <c r="B879" s="8" t="s">
        <v>47</v>
      </c>
      <c r="C879" s="8" t="s">
        <v>4</v>
      </c>
      <c r="D879" s="12">
        <v>45170</v>
      </c>
      <c r="E879" s="8" t="s">
        <v>48</v>
      </c>
      <c r="F879" s="10">
        <f>IF(ISTEXT(Таблицаx_2[[#This Row],[Значение]]), 0, Таблицаx_2[[#This Row],[Значение]])</f>
        <v>0</v>
      </c>
      <c r="G879" s="12">
        <v>45078</v>
      </c>
      <c r="H879" s="10" t="str">
        <f>IFERROR(VLOOKUP(Таблицаx_2[[#This Row],[id]],prolongations!A:C,2,)," ")</f>
        <v>июнь 2023</v>
      </c>
      <c r="I879" s="10">
        <f>IF(Таблицаx_2[[#This Row],[Месяц окончания]]=Таблицаx_2[[#This Row],[Месяц]],Таблицаx_2[[#This Row],[Значения числа]],0)</f>
        <v>0</v>
      </c>
      <c r="J879" s="8">
        <f>IF(AND(Таблицаx_2[[#This Row],[Месяц окончания]]=Таблицаx_2[[#This Row],[Месяц]],Таблицаx_2[[#This Row],[id]]=A880,EDATE(Таблицаx_2[[#This Row],[Месяц]],1)=D880),F880,0)</f>
        <v>0</v>
      </c>
      <c r="K879" s="8">
        <f>IF(AND(Таблицаx_2[[#This Row],[Месяц окончания]]=Таблицаx_2[[#This Row],[Месяц]],Таблицаx_2[[#This Row],[id]]=A880,EDATE(Таблицаx_2[[#This Row],[Месяц]],2)=D880),F880,0)</f>
        <v>0</v>
      </c>
    </row>
    <row r="880" spans="1:11" ht="12.75" hidden="1" customHeight="1" x14ac:dyDescent="0.2">
      <c r="A880" s="8">
        <v>898</v>
      </c>
      <c r="B880" s="8" t="s">
        <v>45</v>
      </c>
      <c r="C880" s="8" t="s">
        <v>10</v>
      </c>
      <c r="D880" s="12">
        <v>45078</v>
      </c>
      <c r="E880" s="8">
        <v>95820</v>
      </c>
      <c r="F880" s="10">
        <f>IF(ISTEXT(Таблицаx_2[[#This Row],[Значение]]), 0, Таблицаx_2[[#This Row],[Значение]])</f>
        <v>95820</v>
      </c>
      <c r="G880" s="12">
        <v>45170</v>
      </c>
      <c r="H880" s="10" t="str">
        <f>IFERROR(VLOOKUP(Таблицаx_2[[#This Row],[id]],prolongations!A:C,2,)," ")</f>
        <v>сентябрь 2023</v>
      </c>
      <c r="I880" s="10">
        <f>IF(Таблицаx_2[[#This Row],[Месяц окончания]]=Таблицаx_2[[#This Row],[Месяц]],Таблицаx_2[[#This Row],[Значения числа]],0)</f>
        <v>0</v>
      </c>
      <c r="J880" s="8">
        <f>IF(AND(Таблицаx_2[[#This Row],[Месяц окончания]]=Таблицаx_2[[#This Row],[Месяц]],Таблицаx_2[[#This Row],[id]]=A881,EDATE(Таблицаx_2[[#This Row],[Месяц]],1)=D881),F881,0)</f>
        <v>0</v>
      </c>
      <c r="K880" s="8">
        <f>IF(AND(Таблицаx_2[[#This Row],[Месяц окончания]]=Таблицаx_2[[#This Row],[Месяц]],Таблицаx_2[[#This Row],[id]]=A881,EDATE(Таблицаx_2[[#This Row],[Месяц]],2)=D881),F881,0)</f>
        <v>0</v>
      </c>
    </row>
    <row r="881" spans="1:11" ht="12.75" hidden="1" customHeight="1" x14ac:dyDescent="0.2">
      <c r="A881" s="8">
        <v>898</v>
      </c>
      <c r="B881" s="8" t="s">
        <v>45</v>
      </c>
      <c r="C881" s="8" t="s">
        <v>10</v>
      </c>
      <c r="D881" s="12">
        <v>45108</v>
      </c>
      <c r="E881" s="8">
        <v>19400</v>
      </c>
      <c r="F881" s="10">
        <f>IF(ISTEXT(Таблицаx_2[[#This Row],[Значение]]), 0, Таблицаx_2[[#This Row],[Значение]])</f>
        <v>19400</v>
      </c>
      <c r="G881" s="12">
        <v>45170</v>
      </c>
      <c r="H881" s="10" t="str">
        <f>IFERROR(VLOOKUP(Таблицаx_2[[#This Row],[id]],prolongations!A:C,2,)," ")</f>
        <v>сентябрь 2023</v>
      </c>
      <c r="I881" s="10">
        <f>IF(Таблицаx_2[[#This Row],[Месяц окончания]]=Таблицаx_2[[#This Row],[Месяц]],Таблицаx_2[[#This Row],[Значения числа]],0)</f>
        <v>0</v>
      </c>
      <c r="J881" s="8">
        <f>IF(AND(Таблицаx_2[[#This Row],[Месяц окончания]]=Таблицаx_2[[#This Row],[Месяц]],Таблицаx_2[[#This Row],[id]]=A882,EDATE(Таблицаx_2[[#This Row],[Месяц]],1)=D882),F882,0)</f>
        <v>0</v>
      </c>
      <c r="K881" s="8">
        <f>IF(AND(Таблицаx_2[[#This Row],[Месяц окончания]]=Таблицаx_2[[#This Row],[Месяц]],Таблицаx_2[[#This Row],[id]]=A882,EDATE(Таблицаx_2[[#This Row],[Месяц]],2)=D882),F882,0)</f>
        <v>0</v>
      </c>
    </row>
    <row r="882" spans="1:11" ht="12.75" hidden="1" customHeight="1" x14ac:dyDescent="0.2">
      <c r="A882" s="8">
        <v>898</v>
      </c>
      <c r="B882" s="8" t="s">
        <v>45</v>
      </c>
      <c r="C882" s="8" t="s">
        <v>10</v>
      </c>
      <c r="D882" s="12">
        <v>45139</v>
      </c>
      <c r="E882" s="8" t="s">
        <v>46</v>
      </c>
      <c r="F882" s="10">
        <f>IF(ISTEXT(Таблицаx_2[[#This Row],[Значение]]), 0, Таблицаx_2[[#This Row],[Значение]])</f>
        <v>0</v>
      </c>
      <c r="G882" s="12">
        <v>45170</v>
      </c>
      <c r="H882" s="10" t="str">
        <f>IFERROR(VLOOKUP(Таблицаx_2[[#This Row],[id]],prolongations!A:C,2,)," ")</f>
        <v>сентябрь 2023</v>
      </c>
      <c r="I882" s="10">
        <f>IF(Таблицаx_2[[#This Row],[Месяц окончания]]=Таблицаx_2[[#This Row],[Месяц]],Таблицаx_2[[#This Row],[Значения числа]],0)</f>
        <v>0</v>
      </c>
      <c r="J882" s="8">
        <f>IF(AND(Таблицаx_2[[#This Row],[Месяц окончания]]=Таблицаx_2[[#This Row],[Месяц]],Таблицаx_2[[#This Row],[id]]=A883,EDATE(Таблицаx_2[[#This Row],[Месяц]],1)=D883),F883,0)</f>
        <v>0</v>
      </c>
      <c r="K882" s="8">
        <f>IF(AND(Таблицаx_2[[#This Row],[Месяц окончания]]=Таблицаx_2[[#This Row],[Месяц]],Таблицаx_2[[#This Row],[id]]=A883,EDATE(Таблицаx_2[[#This Row],[Месяц]],2)=D883),F883,0)</f>
        <v>0</v>
      </c>
    </row>
    <row r="883" spans="1:11" ht="12.75" hidden="1" customHeight="1" x14ac:dyDescent="0.2">
      <c r="A883" s="8">
        <v>898</v>
      </c>
      <c r="B883" s="8" t="s">
        <v>47</v>
      </c>
      <c r="C883" s="8" t="s">
        <v>10</v>
      </c>
      <c r="D883" s="12">
        <v>45078</v>
      </c>
      <c r="E883" s="8">
        <v>29704.26</v>
      </c>
      <c r="F883" s="10">
        <f>IF(ISTEXT(Таблицаx_2[[#This Row],[Значение]]), 0, Таблицаx_2[[#This Row],[Значение]])</f>
        <v>29704.26</v>
      </c>
      <c r="G883" s="12">
        <v>45170</v>
      </c>
      <c r="H883" s="10" t="str">
        <f>IFERROR(VLOOKUP(Таблицаx_2[[#This Row],[id]],prolongations!A:C,2,)," ")</f>
        <v>сентябрь 2023</v>
      </c>
      <c r="I883" s="10">
        <f>IF(Таблицаx_2[[#This Row],[Месяц окончания]]=Таблицаx_2[[#This Row],[Месяц]],Таблицаx_2[[#This Row],[Значения числа]],0)</f>
        <v>0</v>
      </c>
      <c r="J883" s="8">
        <f>IF(AND(Таблицаx_2[[#This Row],[Месяц окончания]]=Таблицаx_2[[#This Row],[Месяц]],Таблицаx_2[[#This Row],[id]]=A884,EDATE(Таблицаx_2[[#This Row],[Месяц]],1)=D884),F884,0)</f>
        <v>0</v>
      </c>
      <c r="K883" s="8">
        <f>IF(AND(Таблицаx_2[[#This Row],[Месяц окончания]]=Таблицаx_2[[#This Row],[Месяц]],Таблицаx_2[[#This Row],[id]]=A884,EDATE(Таблицаx_2[[#This Row],[Месяц]],2)=D884),F884,0)</f>
        <v>0</v>
      </c>
    </row>
    <row r="884" spans="1:11" ht="12.75" hidden="1" customHeight="1" x14ac:dyDescent="0.2">
      <c r="A884" s="8">
        <v>898</v>
      </c>
      <c r="B884" s="8" t="s">
        <v>47</v>
      </c>
      <c r="C884" s="8" t="s">
        <v>10</v>
      </c>
      <c r="D884" s="12">
        <v>45108</v>
      </c>
      <c r="E884" s="8" t="s">
        <v>48</v>
      </c>
      <c r="F884" s="10">
        <f>IF(ISTEXT(Таблицаx_2[[#This Row],[Значение]]), 0, Таблицаx_2[[#This Row],[Значение]])</f>
        <v>0</v>
      </c>
      <c r="G884" s="12">
        <v>45170</v>
      </c>
      <c r="H884" s="10" t="str">
        <f>IFERROR(VLOOKUP(Таблицаx_2[[#This Row],[id]],prolongations!A:C,2,)," ")</f>
        <v>сентябрь 2023</v>
      </c>
      <c r="I884" s="10">
        <f>IF(Таблицаx_2[[#This Row],[Месяц окончания]]=Таблицаx_2[[#This Row],[Месяц]],Таблицаx_2[[#This Row],[Значения числа]],0)</f>
        <v>0</v>
      </c>
      <c r="J884" s="8">
        <f>IF(AND(Таблицаx_2[[#This Row],[Месяц окончания]]=Таблицаx_2[[#This Row],[Месяц]],Таблицаx_2[[#This Row],[id]]=A885,EDATE(Таблицаx_2[[#This Row],[Месяц]],1)=D885),F885,0)</f>
        <v>0</v>
      </c>
      <c r="K884" s="8">
        <f>IF(AND(Таблицаx_2[[#This Row],[Месяц окончания]]=Таблицаx_2[[#This Row],[Месяц]],Таблицаx_2[[#This Row],[id]]=A885,EDATE(Таблицаx_2[[#This Row],[Месяц]],2)=D885),F885,0)</f>
        <v>0</v>
      </c>
    </row>
    <row r="885" spans="1:11" ht="12.75" hidden="1" customHeight="1" x14ac:dyDescent="0.2">
      <c r="A885" s="8">
        <v>898</v>
      </c>
      <c r="B885" s="8" t="s">
        <v>47</v>
      </c>
      <c r="C885" s="8" t="s">
        <v>10</v>
      </c>
      <c r="D885" s="12">
        <v>45139</v>
      </c>
      <c r="E885" s="8" t="s">
        <v>46</v>
      </c>
      <c r="F885" s="10">
        <f>IF(ISTEXT(Таблицаx_2[[#This Row],[Значение]]), 0, Таблицаx_2[[#This Row],[Значение]])</f>
        <v>0</v>
      </c>
      <c r="G885" s="12">
        <v>45170</v>
      </c>
      <c r="H885" s="10" t="str">
        <f>IFERROR(VLOOKUP(Таблицаx_2[[#This Row],[id]],prolongations!A:C,2,)," ")</f>
        <v>сентябрь 2023</v>
      </c>
      <c r="I885" s="10">
        <f>IF(Таблицаx_2[[#This Row],[Месяц окончания]]=Таблицаx_2[[#This Row],[Месяц]],Таблицаx_2[[#This Row],[Значения числа]],0)</f>
        <v>0</v>
      </c>
      <c r="J885" s="8">
        <f>IF(AND(Таблицаx_2[[#This Row],[Месяц окончания]]=Таблицаx_2[[#This Row],[Месяц]],Таблицаx_2[[#This Row],[id]]=A886,EDATE(Таблицаx_2[[#This Row],[Месяц]],1)=D886),F886,0)</f>
        <v>0</v>
      </c>
      <c r="K885" s="8">
        <f>IF(AND(Таблицаx_2[[#This Row],[Месяц окончания]]=Таблицаx_2[[#This Row],[Месяц]],Таблицаx_2[[#This Row],[id]]=A886,EDATE(Таблицаx_2[[#This Row],[Месяц]],2)=D886),F886,0)</f>
        <v>0</v>
      </c>
    </row>
    <row r="886" spans="1:11" ht="12.75" hidden="1" customHeight="1" x14ac:dyDescent="0.2">
      <c r="A886" s="8">
        <v>86</v>
      </c>
      <c r="B886" s="8" t="s">
        <v>45</v>
      </c>
      <c r="C886" s="8" t="s">
        <v>8</v>
      </c>
      <c r="D886" s="12">
        <v>45078</v>
      </c>
      <c r="E886" s="8">
        <v>44734.5</v>
      </c>
      <c r="F886" s="10">
        <f>IF(ISTEXT(Таблицаx_2[[#This Row],[Значение]]), 0, Таблицаx_2[[#This Row],[Значение]])</f>
        <v>44734.5</v>
      </c>
      <c r="G886" s="12">
        <v>45170</v>
      </c>
      <c r="H886" s="10" t="str">
        <f>IFERROR(VLOOKUP(Таблицаx_2[[#This Row],[id]],prolongations!A:C,2,)," ")</f>
        <v>сентябрь 2023</v>
      </c>
      <c r="I886" s="10">
        <f>IF(Таблицаx_2[[#This Row],[Месяц окончания]]=Таблицаx_2[[#This Row],[Месяц]],Таблицаx_2[[#This Row],[Значения числа]],0)</f>
        <v>0</v>
      </c>
      <c r="J886" s="8">
        <f>IF(AND(Таблицаx_2[[#This Row],[Месяц окончания]]=Таблицаx_2[[#This Row],[Месяц]],Таблицаx_2[[#This Row],[id]]=A887,EDATE(Таблицаx_2[[#This Row],[Месяц]],1)=D887),F887,0)</f>
        <v>0</v>
      </c>
      <c r="K886" s="8">
        <f>IF(AND(Таблицаx_2[[#This Row],[Месяц окончания]]=Таблицаx_2[[#This Row],[Месяц]],Таблицаx_2[[#This Row],[id]]=A887,EDATE(Таблицаx_2[[#This Row],[Месяц]],2)=D887),F887,0)</f>
        <v>0</v>
      </c>
    </row>
    <row r="887" spans="1:11" ht="12.75" hidden="1" customHeight="1" x14ac:dyDescent="0.2">
      <c r="A887" s="8">
        <v>86</v>
      </c>
      <c r="B887" s="8" t="s">
        <v>45</v>
      </c>
      <c r="C887" s="8" t="s">
        <v>8</v>
      </c>
      <c r="D887" s="12">
        <v>45108</v>
      </c>
      <c r="E887" s="8">
        <v>43362</v>
      </c>
      <c r="F887" s="10">
        <f>IF(ISTEXT(Таблицаx_2[[#This Row],[Значение]]), 0, Таблицаx_2[[#This Row],[Значение]])</f>
        <v>43362</v>
      </c>
      <c r="G887" s="12">
        <v>45170</v>
      </c>
      <c r="H887" s="10" t="str">
        <f>IFERROR(VLOOKUP(Таблицаx_2[[#This Row],[id]],prolongations!A:C,2,)," ")</f>
        <v>сентябрь 2023</v>
      </c>
      <c r="I887" s="10">
        <f>IF(Таблицаx_2[[#This Row],[Месяц окончания]]=Таблицаx_2[[#This Row],[Месяц]],Таблицаx_2[[#This Row],[Значения числа]],0)</f>
        <v>0</v>
      </c>
      <c r="J887" s="8">
        <f>IF(AND(Таблицаx_2[[#This Row],[Месяц окончания]]=Таблицаx_2[[#This Row],[Месяц]],Таблицаx_2[[#This Row],[id]]=A888,EDATE(Таблицаx_2[[#This Row],[Месяц]],1)=D888),F888,0)</f>
        <v>0</v>
      </c>
      <c r="K887" s="8">
        <f>IF(AND(Таблицаx_2[[#This Row],[Месяц окончания]]=Таблицаx_2[[#This Row],[Месяц]],Таблицаx_2[[#This Row],[id]]=A888,EDATE(Таблицаx_2[[#This Row],[Месяц]],2)=D888),F888,0)</f>
        <v>0</v>
      </c>
    </row>
    <row r="888" spans="1:11" ht="12.75" hidden="1" customHeight="1" x14ac:dyDescent="0.2">
      <c r="A888" s="8">
        <v>86</v>
      </c>
      <c r="B888" s="8" t="s">
        <v>45</v>
      </c>
      <c r="C888" s="8" t="s">
        <v>8</v>
      </c>
      <c r="D888" s="12">
        <v>45139</v>
      </c>
      <c r="E888" s="8">
        <v>48541.5</v>
      </c>
      <c r="F888" s="10">
        <f>IF(ISTEXT(Таблицаx_2[[#This Row],[Значение]]), 0, Таблицаx_2[[#This Row],[Значение]])</f>
        <v>48541.5</v>
      </c>
      <c r="G888" s="12">
        <v>45170</v>
      </c>
      <c r="H888" s="10" t="str">
        <f>IFERROR(VLOOKUP(Таблицаx_2[[#This Row],[id]],prolongations!A:C,2,)," ")</f>
        <v>сентябрь 2023</v>
      </c>
      <c r="I888" s="10">
        <f>IF(Таблицаx_2[[#This Row],[Месяц окончания]]=Таблицаx_2[[#This Row],[Месяц]],Таблицаx_2[[#This Row],[Значения числа]],0)</f>
        <v>0</v>
      </c>
      <c r="J888" s="8">
        <f>IF(AND(Таблицаx_2[[#This Row],[Месяц окончания]]=Таблицаx_2[[#This Row],[Месяц]],Таблицаx_2[[#This Row],[id]]=A889,EDATE(Таблицаx_2[[#This Row],[Месяц]],1)=D889),F889,0)</f>
        <v>0</v>
      </c>
      <c r="K888" s="8">
        <f>IF(AND(Таблицаx_2[[#This Row],[Месяц окончания]]=Таблицаx_2[[#This Row],[Месяц]],Таблицаx_2[[#This Row],[id]]=A889,EDATE(Таблицаx_2[[#This Row],[Месяц]],2)=D889),F889,0)</f>
        <v>0</v>
      </c>
    </row>
    <row r="889" spans="1:11" ht="12.75" hidden="1" customHeight="1" x14ac:dyDescent="0.2">
      <c r="A889" s="8">
        <v>86</v>
      </c>
      <c r="B889" s="8" t="s">
        <v>45</v>
      </c>
      <c r="C889" s="8" t="s">
        <v>8</v>
      </c>
      <c r="D889" s="12">
        <v>45170</v>
      </c>
      <c r="E889" s="8">
        <v>54414</v>
      </c>
      <c r="F889" s="10">
        <f>IF(ISTEXT(Таблицаx_2[[#This Row],[Значение]]), 0, Таблицаx_2[[#This Row],[Значение]])</f>
        <v>54414</v>
      </c>
      <c r="G889" s="12">
        <v>45170</v>
      </c>
      <c r="H889" s="10" t="str">
        <f>IFERROR(VLOOKUP(Таблицаx_2[[#This Row],[id]],prolongations!A:C,2,)," ")</f>
        <v>сентябрь 2023</v>
      </c>
      <c r="I889" s="10">
        <f>IF(Таблицаx_2[[#This Row],[Месяц окончания]]=Таблицаx_2[[#This Row],[Месяц]],Таблицаx_2[[#This Row],[Значения числа]],0)</f>
        <v>54414</v>
      </c>
      <c r="J889" s="8">
        <f>IF(AND(Таблицаx_2[[#This Row],[Месяц окончания]]=Таблицаx_2[[#This Row],[Месяц]],Таблицаx_2[[#This Row],[id]]=A890,EDATE(Таблицаx_2[[#This Row],[Месяц]],1)=D890),F890,0)</f>
        <v>0</v>
      </c>
      <c r="K889" s="8">
        <f>IF(AND(Таблицаx_2[[#This Row],[Месяц окончания]]=Таблицаx_2[[#This Row],[Месяц]],Таблицаx_2[[#This Row],[id]]=A890,EDATE(Таблицаx_2[[#This Row],[Месяц]],2)=D890),F890,0)</f>
        <v>0</v>
      </c>
    </row>
    <row r="890" spans="1:11" ht="12.75" hidden="1" customHeight="1" x14ac:dyDescent="0.2">
      <c r="A890" s="8">
        <v>86</v>
      </c>
      <c r="B890" s="8" t="s">
        <v>47</v>
      </c>
      <c r="C890" s="8" t="s">
        <v>8</v>
      </c>
      <c r="D890" s="12">
        <v>45078</v>
      </c>
      <c r="E890" s="8" t="s">
        <v>48</v>
      </c>
      <c r="F890" s="10">
        <f>IF(ISTEXT(Таблицаx_2[[#This Row],[Значение]]), 0, Таблицаx_2[[#This Row],[Значение]])</f>
        <v>0</v>
      </c>
      <c r="G890" s="12">
        <v>45170</v>
      </c>
      <c r="H890" s="10" t="str">
        <f>IFERROR(VLOOKUP(Таблицаx_2[[#This Row],[id]],prolongations!A:C,2,)," ")</f>
        <v>сентябрь 2023</v>
      </c>
      <c r="I890" s="10">
        <f>IF(Таблицаx_2[[#This Row],[Месяц окончания]]=Таблицаx_2[[#This Row],[Месяц]],Таблицаx_2[[#This Row],[Значения числа]],0)</f>
        <v>0</v>
      </c>
      <c r="J890" s="8">
        <f>IF(AND(Таблицаx_2[[#This Row],[Месяц окончания]]=Таблицаx_2[[#This Row],[Месяц]],Таблицаx_2[[#This Row],[id]]=A891,EDATE(Таблицаx_2[[#This Row],[Месяц]],1)=D891),F891,0)</f>
        <v>0</v>
      </c>
      <c r="K890" s="8">
        <f>IF(AND(Таблицаx_2[[#This Row],[Месяц окончания]]=Таблицаx_2[[#This Row],[Месяц]],Таблицаx_2[[#This Row],[id]]=A891,EDATE(Таблицаx_2[[#This Row],[Месяц]],2)=D891),F891,0)</f>
        <v>0</v>
      </c>
    </row>
    <row r="891" spans="1:11" ht="12.75" hidden="1" customHeight="1" x14ac:dyDescent="0.2">
      <c r="A891" s="8">
        <v>86</v>
      </c>
      <c r="B891" s="8" t="s">
        <v>47</v>
      </c>
      <c r="C891" s="8" t="s">
        <v>8</v>
      </c>
      <c r="D891" s="12">
        <v>45108</v>
      </c>
      <c r="E891" s="8">
        <v>1705.32</v>
      </c>
      <c r="F891" s="10">
        <f>IF(ISTEXT(Таблицаx_2[[#This Row],[Значение]]), 0, Таблицаx_2[[#This Row],[Значение]])</f>
        <v>1705.32</v>
      </c>
      <c r="G891" s="12">
        <v>45170</v>
      </c>
      <c r="H891" s="10" t="str">
        <f>IFERROR(VLOOKUP(Таблицаx_2[[#This Row],[id]],prolongations!A:C,2,)," ")</f>
        <v>сентябрь 2023</v>
      </c>
      <c r="I891" s="10">
        <f>IF(Таблицаx_2[[#This Row],[Месяц окончания]]=Таблицаx_2[[#This Row],[Месяц]],Таблицаx_2[[#This Row],[Значения числа]],0)</f>
        <v>0</v>
      </c>
      <c r="J891" s="8">
        <f>IF(AND(Таблицаx_2[[#This Row],[Месяц окончания]]=Таблицаx_2[[#This Row],[Месяц]],Таблицаx_2[[#This Row],[id]]=A892,EDATE(Таблицаx_2[[#This Row],[Месяц]],1)=D892),F892,0)</f>
        <v>0</v>
      </c>
      <c r="K891" s="8">
        <f>IF(AND(Таблицаx_2[[#This Row],[Месяц окончания]]=Таблицаx_2[[#This Row],[Месяц]],Таблицаx_2[[#This Row],[id]]=A892,EDATE(Таблицаx_2[[#This Row],[Месяц]],2)=D892),F892,0)</f>
        <v>0</v>
      </c>
    </row>
    <row r="892" spans="1:11" ht="12.75" hidden="1" customHeight="1" x14ac:dyDescent="0.2">
      <c r="A892" s="8">
        <v>86</v>
      </c>
      <c r="B892" s="8" t="s">
        <v>47</v>
      </c>
      <c r="C892" s="8" t="s">
        <v>8</v>
      </c>
      <c r="D892" s="12">
        <v>45139</v>
      </c>
      <c r="E892" s="8">
        <v>927.66</v>
      </c>
      <c r="F892" s="10">
        <f>IF(ISTEXT(Таблицаx_2[[#This Row],[Значение]]), 0, Таблицаx_2[[#This Row],[Значение]])</f>
        <v>927.66</v>
      </c>
      <c r="G892" s="12">
        <v>45170</v>
      </c>
      <c r="H892" s="10" t="str">
        <f>IFERROR(VLOOKUP(Таблицаx_2[[#This Row],[id]],prolongations!A:C,2,)," ")</f>
        <v>сентябрь 2023</v>
      </c>
      <c r="I892" s="10">
        <f>IF(Таблицаx_2[[#This Row],[Месяц окончания]]=Таблицаx_2[[#This Row],[Месяц]],Таблицаx_2[[#This Row],[Значения числа]],0)</f>
        <v>0</v>
      </c>
      <c r="J892" s="8">
        <f>IF(AND(Таблицаx_2[[#This Row],[Месяц окончания]]=Таблицаx_2[[#This Row],[Месяц]],Таблицаx_2[[#This Row],[id]]=A893,EDATE(Таблицаx_2[[#This Row],[Месяц]],1)=D893),F893,0)</f>
        <v>0</v>
      </c>
      <c r="K892" s="8">
        <f>IF(AND(Таблицаx_2[[#This Row],[Месяц окончания]]=Таблицаx_2[[#This Row],[Месяц]],Таблицаx_2[[#This Row],[id]]=A893,EDATE(Таблицаx_2[[#This Row],[Месяц]],2)=D893),F893,0)</f>
        <v>0</v>
      </c>
    </row>
    <row r="893" spans="1:11" ht="12.75" hidden="1" customHeight="1" x14ac:dyDescent="0.2">
      <c r="A893" s="8">
        <v>86</v>
      </c>
      <c r="B893" s="8" t="s">
        <v>47</v>
      </c>
      <c r="C893" s="8" t="s">
        <v>8</v>
      </c>
      <c r="D893" s="12">
        <v>45170</v>
      </c>
      <c r="E893" s="8">
        <v>1404.26</v>
      </c>
      <c r="F893" s="10">
        <f>IF(ISTEXT(Таблицаx_2[[#This Row],[Значение]]), 0, Таблицаx_2[[#This Row],[Значение]])</f>
        <v>1404.26</v>
      </c>
      <c r="G893" s="12">
        <v>45170</v>
      </c>
      <c r="H893" s="10" t="str">
        <f>IFERROR(VLOOKUP(Таблицаx_2[[#This Row],[id]],prolongations!A:C,2,)," ")</f>
        <v>сентябрь 2023</v>
      </c>
      <c r="I893" s="10">
        <f>IF(Таблицаx_2[[#This Row],[Месяц окончания]]=Таблицаx_2[[#This Row],[Месяц]],Таблицаx_2[[#This Row],[Значения числа]],0)</f>
        <v>1404.26</v>
      </c>
      <c r="J893" s="8">
        <f>IF(AND(Таблицаx_2[[#This Row],[Месяц окончания]]=Таблицаx_2[[#This Row],[Месяц]],Таблицаx_2[[#This Row],[id]]=A894,EDATE(Таблицаx_2[[#This Row],[Месяц]],1)=D894),F894,0)</f>
        <v>0</v>
      </c>
      <c r="K893" s="8">
        <f>IF(AND(Таблицаx_2[[#This Row],[Месяц окончания]]=Таблицаx_2[[#This Row],[Месяц]],Таблицаx_2[[#This Row],[id]]=A894,EDATE(Таблицаx_2[[#This Row],[Месяц]],2)=D894),F894,0)</f>
        <v>0</v>
      </c>
    </row>
    <row r="894" spans="1:11" ht="12.75" hidden="1" customHeight="1" x14ac:dyDescent="0.2">
      <c r="A894" s="8">
        <v>676</v>
      </c>
      <c r="B894" s="8" t="s">
        <v>45</v>
      </c>
      <c r="C894" s="8" t="s">
        <v>10</v>
      </c>
      <c r="D894" s="12">
        <v>44866</v>
      </c>
      <c r="E894" s="8">
        <v>388195</v>
      </c>
      <c r="F894" s="10">
        <f>IF(ISTEXT(Таблицаx_2[[#This Row],[Значение]]), 0, Таблицаx_2[[#This Row],[Значение]])</f>
        <v>388195</v>
      </c>
      <c r="G894" s="12">
        <v>45170</v>
      </c>
      <c r="H894" s="10" t="str">
        <f>IFERROR(VLOOKUP(Таблицаx_2[[#This Row],[id]],prolongations!A:C,2,)," ")</f>
        <v>сентябрь 2023</v>
      </c>
      <c r="I894" s="10">
        <f>IF(Таблицаx_2[[#This Row],[Месяц окончания]]=Таблицаx_2[[#This Row],[Месяц]],Таблицаx_2[[#This Row],[Значения числа]],0)</f>
        <v>0</v>
      </c>
      <c r="J894" s="8">
        <f>IF(AND(Таблицаx_2[[#This Row],[Месяц окончания]]=Таблицаx_2[[#This Row],[Месяц]],Таблицаx_2[[#This Row],[id]]=A895,EDATE(Таблицаx_2[[#This Row],[Месяц]],1)=D895),F895,0)</f>
        <v>0</v>
      </c>
      <c r="K894" s="8">
        <f>IF(AND(Таблицаx_2[[#This Row],[Месяц окончания]]=Таблицаx_2[[#This Row],[Месяц]],Таблицаx_2[[#This Row],[id]]=A895,EDATE(Таблицаx_2[[#This Row],[Месяц]],2)=D895),F895,0)</f>
        <v>0</v>
      </c>
    </row>
    <row r="895" spans="1:11" ht="12.75" hidden="1" customHeight="1" x14ac:dyDescent="0.2">
      <c r="A895" s="8">
        <v>676</v>
      </c>
      <c r="B895" s="8" t="s">
        <v>45</v>
      </c>
      <c r="C895" s="8" t="s">
        <v>10</v>
      </c>
      <c r="D895" s="12">
        <v>44896</v>
      </c>
      <c r="E895" s="8">
        <v>388195</v>
      </c>
      <c r="F895" s="10">
        <f>IF(ISTEXT(Таблицаx_2[[#This Row],[Значение]]), 0, Таблицаx_2[[#This Row],[Значение]])</f>
        <v>388195</v>
      </c>
      <c r="G895" s="12">
        <v>45170</v>
      </c>
      <c r="H895" s="10" t="str">
        <f>IFERROR(VLOOKUP(Таблицаx_2[[#This Row],[id]],prolongations!A:C,2,)," ")</f>
        <v>сентябрь 2023</v>
      </c>
      <c r="I895" s="10">
        <f>IF(Таблицаx_2[[#This Row],[Месяц окончания]]=Таблицаx_2[[#This Row],[Месяц]],Таблицаx_2[[#This Row],[Значения числа]],0)</f>
        <v>0</v>
      </c>
      <c r="J895" s="8">
        <f>IF(AND(Таблицаx_2[[#This Row],[Месяц окончания]]=Таблицаx_2[[#This Row],[Месяц]],Таблицаx_2[[#This Row],[id]]=A896,EDATE(Таблицаx_2[[#This Row],[Месяц]],1)=D896),F896,0)</f>
        <v>0</v>
      </c>
      <c r="K895" s="8">
        <f>IF(AND(Таблицаx_2[[#This Row],[Месяц окончания]]=Таблицаx_2[[#This Row],[Месяц]],Таблицаx_2[[#This Row],[id]]=A896,EDATE(Таблицаx_2[[#This Row],[Месяц]],2)=D896),F896,0)</f>
        <v>0</v>
      </c>
    </row>
    <row r="896" spans="1:11" ht="12.75" hidden="1" customHeight="1" x14ac:dyDescent="0.2">
      <c r="A896" s="8">
        <v>676</v>
      </c>
      <c r="B896" s="8" t="s">
        <v>45</v>
      </c>
      <c r="C896" s="8" t="s">
        <v>10</v>
      </c>
      <c r="D896" s="12">
        <v>44927</v>
      </c>
      <c r="E896" s="8">
        <v>547400</v>
      </c>
      <c r="F896" s="10">
        <f>IF(ISTEXT(Таблицаx_2[[#This Row],[Значение]]), 0, Таблицаx_2[[#This Row],[Значение]])</f>
        <v>547400</v>
      </c>
      <c r="G896" s="12">
        <v>45170</v>
      </c>
      <c r="H896" s="10" t="str">
        <f>IFERROR(VLOOKUP(Таблицаx_2[[#This Row],[id]],prolongations!A:C,2,)," ")</f>
        <v>сентябрь 2023</v>
      </c>
      <c r="I896" s="10">
        <f>IF(Таблицаx_2[[#This Row],[Месяц окончания]]=Таблицаx_2[[#This Row],[Месяц]],Таблицаx_2[[#This Row],[Значения числа]],0)</f>
        <v>0</v>
      </c>
      <c r="J896" s="8">
        <f>IF(AND(Таблицаx_2[[#This Row],[Месяц окончания]]=Таблицаx_2[[#This Row],[Месяц]],Таблицаx_2[[#This Row],[id]]=A897,EDATE(Таблицаx_2[[#This Row],[Месяц]],1)=D897),F897,0)</f>
        <v>0</v>
      </c>
      <c r="K896" s="8">
        <f>IF(AND(Таблицаx_2[[#This Row],[Месяц окончания]]=Таблицаx_2[[#This Row],[Месяц]],Таблицаx_2[[#This Row],[id]]=A897,EDATE(Таблицаx_2[[#This Row],[Месяц]],2)=D897),F897,0)</f>
        <v>0</v>
      </c>
    </row>
    <row r="897" spans="1:11" ht="12.75" hidden="1" customHeight="1" x14ac:dyDescent="0.2">
      <c r="A897" s="8">
        <v>676</v>
      </c>
      <c r="B897" s="8" t="s">
        <v>45</v>
      </c>
      <c r="C897" s="8" t="s">
        <v>10</v>
      </c>
      <c r="D897" s="12">
        <v>44958</v>
      </c>
      <c r="E897" s="8">
        <v>547400</v>
      </c>
      <c r="F897" s="10">
        <f>IF(ISTEXT(Таблицаx_2[[#This Row],[Значение]]), 0, Таблицаx_2[[#This Row],[Значение]])</f>
        <v>547400</v>
      </c>
      <c r="G897" s="12">
        <v>45170</v>
      </c>
      <c r="H897" s="10" t="str">
        <f>IFERROR(VLOOKUP(Таблицаx_2[[#This Row],[id]],prolongations!A:C,2,)," ")</f>
        <v>сентябрь 2023</v>
      </c>
      <c r="I897" s="10">
        <f>IF(Таблицаx_2[[#This Row],[Месяц окончания]]=Таблицаx_2[[#This Row],[Месяц]],Таблицаx_2[[#This Row],[Значения числа]],0)</f>
        <v>0</v>
      </c>
      <c r="J897" s="8">
        <f>IF(AND(Таблицаx_2[[#This Row],[Месяц окончания]]=Таблицаx_2[[#This Row],[Месяц]],Таблицаx_2[[#This Row],[id]]=A898,EDATE(Таблицаx_2[[#This Row],[Месяц]],1)=D898),F898,0)</f>
        <v>0</v>
      </c>
      <c r="K897" s="8">
        <f>IF(AND(Таблицаx_2[[#This Row],[Месяц окончания]]=Таблицаx_2[[#This Row],[Месяц]],Таблицаx_2[[#This Row],[id]]=A898,EDATE(Таблицаx_2[[#This Row],[Месяц]],2)=D898),F898,0)</f>
        <v>0</v>
      </c>
    </row>
    <row r="898" spans="1:11" ht="12.75" hidden="1" customHeight="1" x14ac:dyDescent="0.2">
      <c r="A898" s="8">
        <v>676</v>
      </c>
      <c r="B898" s="8" t="s">
        <v>45</v>
      </c>
      <c r="C898" s="8" t="s">
        <v>10</v>
      </c>
      <c r="D898" s="12">
        <v>44986</v>
      </c>
      <c r="E898" s="8">
        <v>539295.25</v>
      </c>
      <c r="F898" s="10">
        <f>IF(ISTEXT(Таблицаx_2[[#This Row],[Значение]]), 0, Таблицаx_2[[#This Row],[Значение]])</f>
        <v>539295.25</v>
      </c>
      <c r="G898" s="12">
        <v>45170</v>
      </c>
      <c r="H898" s="10" t="str">
        <f>IFERROR(VLOOKUP(Таблицаx_2[[#This Row],[id]],prolongations!A:C,2,)," ")</f>
        <v>сентябрь 2023</v>
      </c>
      <c r="I898" s="10">
        <f>IF(Таблицаx_2[[#This Row],[Месяц окончания]]=Таблицаx_2[[#This Row],[Месяц]],Таблицаx_2[[#This Row],[Значения числа]],0)</f>
        <v>0</v>
      </c>
      <c r="J898" s="8">
        <f>IF(AND(Таблицаx_2[[#This Row],[Месяц окончания]]=Таблицаx_2[[#This Row],[Месяц]],Таблицаx_2[[#This Row],[id]]=A899,EDATE(Таблицаx_2[[#This Row],[Месяц]],1)=D899),F899,0)</f>
        <v>0</v>
      </c>
      <c r="K898" s="8">
        <f>IF(AND(Таблицаx_2[[#This Row],[Месяц окончания]]=Таблицаx_2[[#This Row],[Месяц]],Таблицаx_2[[#This Row],[id]]=A899,EDATE(Таблицаx_2[[#This Row],[Месяц]],2)=D899),F899,0)</f>
        <v>0</v>
      </c>
    </row>
    <row r="899" spans="1:11" ht="12.75" hidden="1" customHeight="1" x14ac:dyDescent="0.2">
      <c r="A899" s="8">
        <v>676</v>
      </c>
      <c r="B899" s="8" t="s">
        <v>45</v>
      </c>
      <c r="C899" s="8" t="s">
        <v>10</v>
      </c>
      <c r="D899" s="12">
        <v>45017</v>
      </c>
      <c r="E899" s="8">
        <v>539295.25</v>
      </c>
      <c r="F899" s="10">
        <f>IF(ISTEXT(Таблицаx_2[[#This Row],[Значение]]), 0, Таблицаx_2[[#This Row],[Значение]])</f>
        <v>539295.25</v>
      </c>
      <c r="G899" s="12">
        <v>45170</v>
      </c>
      <c r="H899" s="10" t="str">
        <f>IFERROR(VLOOKUP(Таблицаx_2[[#This Row],[id]],prolongations!A:C,2,)," ")</f>
        <v>сентябрь 2023</v>
      </c>
      <c r="I899" s="10">
        <f>IF(Таблицаx_2[[#This Row],[Месяц окончания]]=Таблицаx_2[[#This Row],[Месяц]],Таблицаx_2[[#This Row],[Значения числа]],0)</f>
        <v>0</v>
      </c>
      <c r="J899" s="8">
        <f>IF(AND(Таблицаx_2[[#This Row],[Месяц окончания]]=Таблицаx_2[[#This Row],[Месяц]],Таблицаx_2[[#This Row],[id]]=A900,EDATE(Таблицаx_2[[#This Row],[Месяц]],1)=D900),F900,0)</f>
        <v>0</v>
      </c>
      <c r="K899" s="8">
        <f>IF(AND(Таблицаx_2[[#This Row],[Месяц окончания]]=Таблицаx_2[[#This Row],[Месяц]],Таблицаx_2[[#This Row],[id]]=A900,EDATE(Таблицаx_2[[#This Row],[Месяц]],2)=D900),F900,0)</f>
        <v>0</v>
      </c>
    </row>
    <row r="900" spans="1:11" ht="12.75" hidden="1" customHeight="1" x14ac:dyDescent="0.2">
      <c r="A900" s="8">
        <v>676</v>
      </c>
      <c r="B900" s="8" t="s">
        <v>45</v>
      </c>
      <c r="C900" s="8" t="s">
        <v>10</v>
      </c>
      <c r="D900" s="12">
        <v>45047</v>
      </c>
      <c r="E900" s="8">
        <v>539295.25</v>
      </c>
      <c r="F900" s="10">
        <f>IF(ISTEXT(Таблицаx_2[[#This Row],[Значение]]), 0, Таблицаx_2[[#This Row],[Значение]])</f>
        <v>539295.25</v>
      </c>
      <c r="G900" s="12">
        <v>45170</v>
      </c>
      <c r="H900" s="10" t="str">
        <f>IFERROR(VLOOKUP(Таблицаx_2[[#This Row],[id]],prolongations!A:C,2,)," ")</f>
        <v>сентябрь 2023</v>
      </c>
      <c r="I900" s="10">
        <f>IF(Таблицаx_2[[#This Row],[Месяц окончания]]=Таблицаx_2[[#This Row],[Месяц]],Таблицаx_2[[#This Row],[Значения числа]],0)</f>
        <v>0</v>
      </c>
      <c r="J900" s="8">
        <f>IF(AND(Таблицаx_2[[#This Row],[Месяц окончания]]=Таблицаx_2[[#This Row],[Месяц]],Таблицаx_2[[#This Row],[id]]=A901,EDATE(Таблицаx_2[[#This Row],[Месяц]],1)=D901),F901,0)</f>
        <v>0</v>
      </c>
      <c r="K900" s="8">
        <f>IF(AND(Таблицаx_2[[#This Row],[Месяц окончания]]=Таблицаx_2[[#This Row],[Месяц]],Таблицаx_2[[#This Row],[id]]=A901,EDATE(Таблицаx_2[[#This Row],[Месяц]],2)=D901),F901,0)</f>
        <v>0</v>
      </c>
    </row>
    <row r="901" spans="1:11" ht="12.75" hidden="1" customHeight="1" x14ac:dyDescent="0.2">
      <c r="A901" s="8">
        <v>676</v>
      </c>
      <c r="B901" s="8" t="s">
        <v>45</v>
      </c>
      <c r="C901" s="8" t="s">
        <v>10</v>
      </c>
      <c r="D901" s="12">
        <v>45078</v>
      </c>
      <c r="E901" s="8">
        <v>539295.25</v>
      </c>
      <c r="F901" s="10">
        <f>IF(ISTEXT(Таблицаx_2[[#This Row],[Значение]]), 0, Таблицаx_2[[#This Row],[Значение]])</f>
        <v>539295.25</v>
      </c>
      <c r="G901" s="12">
        <v>45170</v>
      </c>
      <c r="H901" s="10" t="str">
        <f>IFERROR(VLOOKUP(Таблицаx_2[[#This Row],[id]],prolongations!A:C,2,)," ")</f>
        <v>сентябрь 2023</v>
      </c>
      <c r="I901" s="10">
        <f>IF(Таблицаx_2[[#This Row],[Месяц окончания]]=Таблицаx_2[[#This Row],[Месяц]],Таблицаx_2[[#This Row],[Значения числа]],0)</f>
        <v>0</v>
      </c>
      <c r="J901" s="8">
        <f>IF(AND(Таблицаx_2[[#This Row],[Месяц окончания]]=Таблицаx_2[[#This Row],[Месяц]],Таблицаx_2[[#This Row],[id]]=A902,EDATE(Таблицаx_2[[#This Row],[Месяц]],1)=D902),F902,0)</f>
        <v>0</v>
      </c>
      <c r="K901" s="8">
        <f>IF(AND(Таблицаx_2[[#This Row],[Месяц окончания]]=Таблицаx_2[[#This Row],[Месяц]],Таблицаx_2[[#This Row],[id]]=A902,EDATE(Таблицаx_2[[#This Row],[Месяц]],2)=D902),F902,0)</f>
        <v>0</v>
      </c>
    </row>
    <row r="902" spans="1:11" ht="12.75" hidden="1" customHeight="1" x14ac:dyDescent="0.2">
      <c r="A902" s="8">
        <v>676</v>
      </c>
      <c r="B902" s="8" t="s">
        <v>45</v>
      </c>
      <c r="C902" s="8" t="s">
        <v>10</v>
      </c>
      <c r="D902" s="12">
        <v>45108</v>
      </c>
      <c r="E902" s="8">
        <v>539295.25</v>
      </c>
      <c r="F902" s="10">
        <f>IF(ISTEXT(Таблицаx_2[[#This Row],[Значение]]), 0, Таблицаx_2[[#This Row],[Значение]])</f>
        <v>539295.25</v>
      </c>
      <c r="G902" s="12">
        <v>45170</v>
      </c>
      <c r="H902" s="10" t="str">
        <f>IFERROR(VLOOKUP(Таблицаx_2[[#This Row],[id]],prolongations!A:C,2,)," ")</f>
        <v>сентябрь 2023</v>
      </c>
      <c r="I902" s="10">
        <f>IF(Таблицаx_2[[#This Row],[Месяц окончания]]=Таблицаx_2[[#This Row],[Месяц]],Таблицаx_2[[#This Row],[Значения числа]],0)</f>
        <v>0</v>
      </c>
      <c r="J902" s="8">
        <f>IF(AND(Таблицаx_2[[#This Row],[Месяц окончания]]=Таблицаx_2[[#This Row],[Месяц]],Таблицаx_2[[#This Row],[id]]=A903,EDATE(Таблицаx_2[[#This Row],[Месяц]],1)=D903),F903,0)</f>
        <v>0</v>
      </c>
      <c r="K902" s="8">
        <f>IF(AND(Таблицаx_2[[#This Row],[Месяц окончания]]=Таблицаx_2[[#This Row],[Месяц]],Таблицаx_2[[#This Row],[id]]=A903,EDATE(Таблицаx_2[[#This Row],[Месяц]],2)=D903),F903,0)</f>
        <v>0</v>
      </c>
    </row>
    <row r="903" spans="1:11" ht="12.75" hidden="1" customHeight="1" x14ac:dyDescent="0.2">
      <c r="A903" s="8">
        <v>676</v>
      </c>
      <c r="B903" s="8" t="s">
        <v>45</v>
      </c>
      <c r="C903" s="8" t="s">
        <v>10</v>
      </c>
      <c r="D903" s="12">
        <v>45139</v>
      </c>
      <c r="E903" s="8">
        <v>539295.25</v>
      </c>
      <c r="F903" s="10">
        <f>IF(ISTEXT(Таблицаx_2[[#This Row],[Значение]]), 0, Таблицаx_2[[#This Row],[Значение]])</f>
        <v>539295.25</v>
      </c>
      <c r="G903" s="12">
        <v>45170</v>
      </c>
      <c r="H903" s="10" t="str">
        <f>IFERROR(VLOOKUP(Таблицаx_2[[#This Row],[id]],prolongations!A:C,2,)," ")</f>
        <v>сентябрь 2023</v>
      </c>
      <c r="I903" s="10">
        <f>IF(Таблицаx_2[[#This Row],[Месяц окончания]]=Таблицаx_2[[#This Row],[Месяц]],Таблицаx_2[[#This Row],[Значения числа]],0)</f>
        <v>0</v>
      </c>
      <c r="J903" s="8">
        <f>IF(AND(Таблицаx_2[[#This Row],[Месяц окончания]]=Таблицаx_2[[#This Row],[Месяц]],Таблицаx_2[[#This Row],[id]]=A904,EDATE(Таблицаx_2[[#This Row],[Месяц]],1)=D904),F904,0)</f>
        <v>0</v>
      </c>
      <c r="K903" s="8">
        <f>IF(AND(Таблицаx_2[[#This Row],[Месяц окончания]]=Таблицаx_2[[#This Row],[Месяц]],Таблицаx_2[[#This Row],[id]]=A904,EDATE(Таблицаx_2[[#This Row],[Месяц]],2)=D904),F904,0)</f>
        <v>0</v>
      </c>
    </row>
    <row r="904" spans="1:11" ht="12.75" hidden="1" customHeight="1" x14ac:dyDescent="0.2">
      <c r="A904" s="8">
        <v>676</v>
      </c>
      <c r="B904" s="8" t="s">
        <v>45</v>
      </c>
      <c r="C904" s="8" t="s">
        <v>10</v>
      </c>
      <c r="D904" s="12">
        <v>45170</v>
      </c>
      <c r="E904" s="8">
        <v>539295.25</v>
      </c>
      <c r="F904" s="10">
        <f>IF(ISTEXT(Таблицаx_2[[#This Row],[Значение]]), 0, Таблицаx_2[[#This Row],[Значение]])</f>
        <v>539295.25</v>
      </c>
      <c r="G904" s="12">
        <v>45170</v>
      </c>
      <c r="H904" s="10" t="str">
        <f>IFERROR(VLOOKUP(Таблицаx_2[[#This Row],[id]],prolongations!A:C,2,)," ")</f>
        <v>сентябрь 2023</v>
      </c>
      <c r="I904" s="10">
        <f>IF(Таблицаx_2[[#This Row],[Месяц окончания]]=Таблицаx_2[[#This Row],[Месяц]],Таблицаx_2[[#This Row],[Значения числа]],0)</f>
        <v>539295.25</v>
      </c>
      <c r="J904" s="8">
        <f>IF(AND(Таблицаx_2[[#This Row],[Месяц окончания]]=Таблицаx_2[[#This Row],[Месяц]],Таблицаx_2[[#This Row],[id]]=A905,EDATE(Таблицаx_2[[#This Row],[Месяц]],1)=D905),F905,0)</f>
        <v>773663.75</v>
      </c>
      <c r="K904" s="8">
        <f>IF(AND(Таблицаx_2[[#This Row],[Месяц окончания]]=Таблицаx_2[[#This Row],[Месяц]],Таблицаx_2[[#This Row],[id]]=A905,EDATE(Таблицаx_2[[#This Row],[Месяц]],2)=D905),F905,0)</f>
        <v>0</v>
      </c>
    </row>
    <row r="905" spans="1:11" ht="12.75" hidden="1" customHeight="1" x14ac:dyDescent="0.2">
      <c r="A905" s="8">
        <v>676</v>
      </c>
      <c r="B905" s="8" t="s">
        <v>45</v>
      </c>
      <c r="C905" s="8" t="s">
        <v>10</v>
      </c>
      <c r="D905" s="12">
        <v>45200</v>
      </c>
      <c r="E905" s="8">
        <v>773663.75</v>
      </c>
      <c r="F905" s="10">
        <f>IF(ISTEXT(Таблицаx_2[[#This Row],[Значение]]), 0, Таблицаx_2[[#This Row],[Значение]])</f>
        <v>773663.75</v>
      </c>
      <c r="G905" s="12">
        <v>45170</v>
      </c>
      <c r="H905" s="10" t="str">
        <f>IFERROR(VLOOKUP(Таблицаx_2[[#This Row],[id]],prolongations!A:C,2,)," ")</f>
        <v>сентябрь 2023</v>
      </c>
      <c r="I905" s="10">
        <f>IF(Таблицаx_2[[#This Row],[Месяц окончания]]=Таблицаx_2[[#This Row],[Месяц]],Таблицаx_2[[#This Row],[Значения числа]],0)</f>
        <v>0</v>
      </c>
      <c r="J905" s="8">
        <f>IF(AND(Таблицаx_2[[#This Row],[Месяц окончания]]=Таблицаx_2[[#This Row],[Месяц]],Таблицаx_2[[#This Row],[id]]=A906,EDATE(Таблицаx_2[[#This Row],[Месяц]],1)=D906),F906,0)</f>
        <v>0</v>
      </c>
      <c r="K905" s="8">
        <f>IF(AND(Таблицаx_2[[#This Row],[Месяц окончания]]=Таблицаx_2[[#This Row],[Месяц]],Таблицаx_2[[#This Row],[id]]=A906,EDATE(Таблицаx_2[[#This Row],[Месяц]],2)=D906),F906,0)</f>
        <v>0</v>
      </c>
    </row>
    <row r="906" spans="1:11" ht="12.75" hidden="1" customHeight="1" x14ac:dyDescent="0.2">
      <c r="A906" s="8">
        <v>676</v>
      </c>
      <c r="B906" s="8" t="s">
        <v>45</v>
      </c>
      <c r="C906" s="8" t="s">
        <v>10</v>
      </c>
      <c r="D906" s="12">
        <v>45231</v>
      </c>
      <c r="E906" s="8">
        <v>776195.25</v>
      </c>
      <c r="F906" s="10">
        <f>IF(ISTEXT(Таблицаx_2[[#This Row],[Значение]]), 0, Таблицаx_2[[#This Row],[Значение]])</f>
        <v>776195.25</v>
      </c>
      <c r="G906" s="12">
        <v>45170</v>
      </c>
      <c r="H906" s="10" t="str">
        <f>IFERROR(VLOOKUP(Таблицаx_2[[#This Row],[id]],prolongations!A:C,2,)," ")</f>
        <v>сентябрь 2023</v>
      </c>
      <c r="I906" s="10">
        <f>IF(Таблицаx_2[[#This Row],[Месяц окончания]]=Таблицаx_2[[#This Row],[Месяц]],Таблицаx_2[[#This Row],[Значения числа]],0)</f>
        <v>0</v>
      </c>
      <c r="J906" s="8">
        <f>IF(AND(Таблицаx_2[[#This Row],[Месяц окончания]]=Таблицаx_2[[#This Row],[Месяц]],Таблицаx_2[[#This Row],[id]]=A907,EDATE(Таблицаx_2[[#This Row],[Месяц]],1)=D907),F907,0)</f>
        <v>0</v>
      </c>
      <c r="K906" s="8">
        <f>IF(AND(Таблицаx_2[[#This Row],[Месяц окончания]]=Таблицаx_2[[#This Row],[Месяц]],Таблицаx_2[[#This Row],[id]]=A907,EDATE(Таблицаx_2[[#This Row],[Месяц]],2)=D907),F907,0)</f>
        <v>0</v>
      </c>
    </row>
    <row r="907" spans="1:11" ht="12.75" hidden="1" customHeight="1" x14ac:dyDescent="0.2">
      <c r="A907" s="8">
        <v>676</v>
      </c>
      <c r="B907" s="8" t="s">
        <v>45</v>
      </c>
      <c r="C907" s="8" t="s">
        <v>10</v>
      </c>
      <c r="D907" s="12">
        <v>45261</v>
      </c>
      <c r="E907" s="8">
        <v>776195.25</v>
      </c>
      <c r="F907" s="10">
        <f>IF(ISTEXT(Таблицаx_2[[#This Row],[Значение]]), 0, Таблицаx_2[[#This Row],[Значение]])</f>
        <v>776195.25</v>
      </c>
      <c r="G907" s="12">
        <v>45170</v>
      </c>
      <c r="H907" s="10" t="str">
        <f>IFERROR(VLOOKUP(Таблицаx_2[[#This Row],[id]],prolongations!A:C,2,)," ")</f>
        <v>сентябрь 2023</v>
      </c>
      <c r="I907" s="10">
        <f>IF(Таблицаx_2[[#This Row],[Месяц окончания]]=Таблицаx_2[[#This Row],[Месяц]],Таблицаx_2[[#This Row],[Значения числа]],0)</f>
        <v>0</v>
      </c>
      <c r="J907" s="8">
        <f>IF(AND(Таблицаx_2[[#This Row],[Месяц окончания]]=Таблицаx_2[[#This Row],[Месяц]],Таблицаx_2[[#This Row],[id]]=A908,EDATE(Таблицаx_2[[#This Row],[Месяц]],1)=D908),F908,0)</f>
        <v>0</v>
      </c>
      <c r="K907" s="8">
        <f>IF(AND(Таблицаx_2[[#This Row],[Месяц окончания]]=Таблицаx_2[[#This Row],[Месяц]],Таблицаx_2[[#This Row],[id]]=A908,EDATE(Таблицаx_2[[#This Row],[Месяц]],2)=D908),F908,0)</f>
        <v>0</v>
      </c>
    </row>
    <row r="908" spans="1:11" ht="12.75" hidden="1" customHeight="1" x14ac:dyDescent="0.2">
      <c r="A908" s="8">
        <v>676</v>
      </c>
      <c r="B908" s="8" t="s">
        <v>45</v>
      </c>
      <c r="C908" s="8" t="s">
        <v>10</v>
      </c>
      <c r="D908" s="12">
        <v>45292</v>
      </c>
      <c r="E908" s="8">
        <v>776195.25</v>
      </c>
      <c r="F908" s="10">
        <f>IF(ISTEXT(Таблицаx_2[[#This Row],[Значение]]), 0, Таблицаx_2[[#This Row],[Значение]])</f>
        <v>776195.25</v>
      </c>
      <c r="G908" s="12">
        <v>45170</v>
      </c>
      <c r="H908" s="10" t="str">
        <f>IFERROR(VLOOKUP(Таблицаx_2[[#This Row],[id]],prolongations!A:C,2,)," ")</f>
        <v>сентябрь 2023</v>
      </c>
      <c r="I908" s="10">
        <f>IF(Таблицаx_2[[#This Row],[Месяц окончания]]=Таблицаx_2[[#This Row],[Месяц]],Таблицаx_2[[#This Row],[Значения числа]],0)</f>
        <v>0</v>
      </c>
      <c r="J908" s="8">
        <f>IF(AND(Таблицаx_2[[#This Row],[Месяц окончания]]=Таблицаx_2[[#This Row],[Месяц]],Таблицаx_2[[#This Row],[id]]=A909,EDATE(Таблицаx_2[[#This Row],[Месяц]],1)=D909),F909,0)</f>
        <v>0</v>
      </c>
      <c r="K908" s="8">
        <f>IF(AND(Таблицаx_2[[#This Row],[Месяц окончания]]=Таблицаx_2[[#This Row],[Месяц]],Таблицаx_2[[#This Row],[id]]=A909,EDATE(Таблицаx_2[[#This Row],[Месяц]],2)=D909),F909,0)</f>
        <v>0</v>
      </c>
    </row>
    <row r="909" spans="1:11" ht="12.75" hidden="1" customHeight="1" x14ac:dyDescent="0.2">
      <c r="A909" s="8">
        <v>676</v>
      </c>
      <c r="B909" s="8" t="s">
        <v>45</v>
      </c>
      <c r="C909" s="8" t="s">
        <v>10</v>
      </c>
      <c r="D909" s="12">
        <v>45323</v>
      </c>
      <c r="E909" s="8">
        <v>771132.25</v>
      </c>
      <c r="F909" s="10">
        <f>IF(ISTEXT(Таблицаx_2[[#This Row],[Значение]]), 0, Таблицаx_2[[#This Row],[Значение]])</f>
        <v>771132.25</v>
      </c>
      <c r="G909" s="12">
        <v>45170</v>
      </c>
      <c r="H909" s="10" t="str">
        <f>IFERROR(VLOOKUP(Таблицаx_2[[#This Row],[id]],prolongations!A:C,2,)," ")</f>
        <v>сентябрь 2023</v>
      </c>
      <c r="I909" s="10">
        <f>IF(Таблицаx_2[[#This Row],[Месяц окончания]]=Таблицаx_2[[#This Row],[Месяц]],Таблицаx_2[[#This Row],[Значения числа]],0)</f>
        <v>0</v>
      </c>
      <c r="J909" s="8">
        <f>IF(AND(Таблицаx_2[[#This Row],[Месяц окончания]]=Таблицаx_2[[#This Row],[Месяц]],Таблицаx_2[[#This Row],[id]]=A910,EDATE(Таблицаx_2[[#This Row],[Месяц]],1)=D910),F910,0)</f>
        <v>0</v>
      </c>
      <c r="K909" s="8">
        <f>IF(AND(Таблицаx_2[[#This Row],[Месяц окончания]]=Таблицаx_2[[#This Row],[Месяц]],Таблицаx_2[[#This Row],[id]]=A910,EDATE(Таблицаx_2[[#This Row],[Месяц]],2)=D910),F910,0)</f>
        <v>0</v>
      </c>
    </row>
    <row r="910" spans="1:11" ht="12.75" hidden="1" customHeight="1" x14ac:dyDescent="0.2">
      <c r="A910" s="8">
        <v>676</v>
      </c>
      <c r="B910" s="8" t="s">
        <v>47</v>
      </c>
      <c r="C910" s="8" t="s">
        <v>10</v>
      </c>
      <c r="D910" s="12">
        <v>44866</v>
      </c>
      <c r="E910" s="8">
        <v>14280</v>
      </c>
      <c r="F910" s="10">
        <f>IF(ISTEXT(Таблицаx_2[[#This Row],[Значение]]), 0, Таблицаx_2[[#This Row],[Значение]])</f>
        <v>14280</v>
      </c>
      <c r="G910" s="12">
        <v>45170</v>
      </c>
      <c r="H910" s="10" t="str">
        <f>IFERROR(VLOOKUP(Таблицаx_2[[#This Row],[id]],prolongations!A:C,2,)," ")</f>
        <v>сентябрь 2023</v>
      </c>
      <c r="I910" s="10">
        <f>IF(Таблицаx_2[[#This Row],[Месяц окончания]]=Таблицаx_2[[#This Row],[Месяц]],Таблицаx_2[[#This Row],[Значения числа]],0)</f>
        <v>0</v>
      </c>
      <c r="J910" s="8">
        <f>IF(AND(Таблицаx_2[[#This Row],[Месяц окончания]]=Таблицаx_2[[#This Row],[Месяц]],Таблицаx_2[[#This Row],[id]]=A911,EDATE(Таблицаx_2[[#This Row],[Месяц]],1)=D911),F911,0)</f>
        <v>0</v>
      </c>
      <c r="K910" s="8">
        <f>IF(AND(Таблицаx_2[[#This Row],[Месяц окончания]]=Таблицаx_2[[#This Row],[Месяц]],Таблицаx_2[[#This Row],[id]]=A911,EDATE(Таблицаx_2[[#This Row],[Месяц]],2)=D911),F911,0)</f>
        <v>0</v>
      </c>
    </row>
    <row r="911" spans="1:11" ht="12.75" hidden="1" customHeight="1" x14ac:dyDescent="0.2">
      <c r="A911" s="8">
        <v>676</v>
      </c>
      <c r="B911" s="8" t="s">
        <v>47</v>
      </c>
      <c r="C911" s="8" t="s">
        <v>10</v>
      </c>
      <c r="D911" s="12">
        <v>44896</v>
      </c>
      <c r="E911" s="8">
        <v>124916</v>
      </c>
      <c r="F911" s="10">
        <f>IF(ISTEXT(Таблицаx_2[[#This Row],[Значение]]), 0, Таблицаx_2[[#This Row],[Значение]])</f>
        <v>124916</v>
      </c>
      <c r="G911" s="12">
        <v>45170</v>
      </c>
      <c r="H911" s="10" t="str">
        <f>IFERROR(VLOOKUP(Таблицаx_2[[#This Row],[id]],prolongations!A:C,2,)," ")</f>
        <v>сентябрь 2023</v>
      </c>
      <c r="I911" s="10">
        <f>IF(Таблицаx_2[[#This Row],[Месяц окончания]]=Таблицаx_2[[#This Row],[Месяц]],Таблицаx_2[[#This Row],[Значения числа]],0)</f>
        <v>0</v>
      </c>
      <c r="J911" s="8">
        <f>IF(AND(Таблицаx_2[[#This Row],[Месяц окончания]]=Таблицаx_2[[#This Row],[Месяц]],Таблицаx_2[[#This Row],[id]]=A912,EDATE(Таблицаx_2[[#This Row],[Месяц]],1)=D912),F912,0)</f>
        <v>0</v>
      </c>
      <c r="K911" s="8">
        <f>IF(AND(Таблицаx_2[[#This Row],[Месяц окончания]]=Таблицаx_2[[#This Row],[Месяц]],Таблицаx_2[[#This Row],[id]]=A912,EDATE(Таблицаx_2[[#This Row],[Месяц]],2)=D912),F912,0)</f>
        <v>0</v>
      </c>
    </row>
    <row r="912" spans="1:11" ht="12.75" hidden="1" customHeight="1" x14ac:dyDescent="0.2">
      <c r="A912" s="8">
        <v>676</v>
      </c>
      <c r="B912" s="8" t="s">
        <v>47</v>
      </c>
      <c r="C912" s="8" t="s">
        <v>10</v>
      </c>
      <c r="D912" s="12">
        <v>44927</v>
      </c>
      <c r="E912" s="8" t="s">
        <v>48</v>
      </c>
      <c r="F912" s="10">
        <f>IF(ISTEXT(Таблицаx_2[[#This Row],[Значение]]), 0, Таблицаx_2[[#This Row],[Значение]])</f>
        <v>0</v>
      </c>
      <c r="G912" s="12">
        <v>45170</v>
      </c>
      <c r="H912" s="10" t="str">
        <f>IFERROR(VLOOKUP(Таблицаx_2[[#This Row],[id]],prolongations!A:C,2,)," ")</f>
        <v>сентябрь 2023</v>
      </c>
      <c r="I912" s="10">
        <f>IF(Таблицаx_2[[#This Row],[Месяц окончания]]=Таблицаx_2[[#This Row],[Месяц]],Таблицаx_2[[#This Row],[Значения числа]],0)</f>
        <v>0</v>
      </c>
      <c r="J912" s="8">
        <f>IF(AND(Таблицаx_2[[#This Row],[Месяц окончания]]=Таблицаx_2[[#This Row],[Месяц]],Таблицаx_2[[#This Row],[id]]=A913,EDATE(Таблицаx_2[[#This Row],[Месяц]],1)=D913),F913,0)</f>
        <v>0</v>
      </c>
      <c r="K912" s="8">
        <f>IF(AND(Таблицаx_2[[#This Row],[Месяц окончания]]=Таблицаx_2[[#This Row],[Месяц]],Таблицаx_2[[#This Row],[id]]=A913,EDATE(Таблицаx_2[[#This Row],[Месяц]],2)=D913),F913,0)</f>
        <v>0</v>
      </c>
    </row>
    <row r="913" spans="1:11" ht="12.75" hidden="1" customHeight="1" x14ac:dyDescent="0.2">
      <c r="A913" s="8">
        <v>676</v>
      </c>
      <c r="B913" s="8" t="s">
        <v>47</v>
      </c>
      <c r="C913" s="8" t="s">
        <v>10</v>
      </c>
      <c r="D913" s="12">
        <v>44958</v>
      </c>
      <c r="E913" s="8" t="s">
        <v>48</v>
      </c>
      <c r="F913" s="10">
        <f>IF(ISTEXT(Таблицаx_2[[#This Row],[Значение]]), 0, Таблицаx_2[[#This Row],[Значение]])</f>
        <v>0</v>
      </c>
      <c r="G913" s="12">
        <v>45170</v>
      </c>
      <c r="H913" s="10" t="str">
        <f>IFERROR(VLOOKUP(Таблицаx_2[[#This Row],[id]],prolongations!A:C,2,)," ")</f>
        <v>сентябрь 2023</v>
      </c>
      <c r="I913" s="10">
        <f>IF(Таблицаx_2[[#This Row],[Месяц окончания]]=Таблицаx_2[[#This Row],[Месяц]],Таблицаx_2[[#This Row],[Значения числа]],0)</f>
        <v>0</v>
      </c>
      <c r="J913" s="8">
        <f>IF(AND(Таблицаx_2[[#This Row],[Месяц окончания]]=Таблицаx_2[[#This Row],[Месяц]],Таблицаx_2[[#This Row],[id]]=A914,EDATE(Таблицаx_2[[#This Row],[Месяц]],1)=D914),F914,0)</f>
        <v>0</v>
      </c>
      <c r="K913" s="8">
        <f>IF(AND(Таблицаx_2[[#This Row],[Месяц окончания]]=Таблицаx_2[[#This Row],[Месяц]],Таблицаx_2[[#This Row],[id]]=A914,EDATE(Таблицаx_2[[#This Row],[Месяц]],2)=D914),F914,0)</f>
        <v>0</v>
      </c>
    </row>
    <row r="914" spans="1:11" ht="12.75" hidden="1" customHeight="1" x14ac:dyDescent="0.2">
      <c r="A914" s="8">
        <v>676</v>
      </c>
      <c r="B914" s="8" t="s">
        <v>47</v>
      </c>
      <c r="C914" s="8" t="s">
        <v>10</v>
      </c>
      <c r="D914" s="12">
        <v>44986</v>
      </c>
      <c r="E914" s="8">
        <v>33464.5</v>
      </c>
      <c r="F914" s="10">
        <f>IF(ISTEXT(Таблицаx_2[[#This Row],[Значение]]), 0, Таблицаx_2[[#This Row],[Значение]])</f>
        <v>33464.5</v>
      </c>
      <c r="G914" s="12">
        <v>45170</v>
      </c>
      <c r="H914" s="10" t="str">
        <f>IFERROR(VLOOKUP(Таблицаx_2[[#This Row],[id]],prolongations!A:C,2,)," ")</f>
        <v>сентябрь 2023</v>
      </c>
      <c r="I914" s="10">
        <f>IF(Таблицаx_2[[#This Row],[Месяц окончания]]=Таблицаx_2[[#This Row],[Месяц]],Таблицаx_2[[#This Row],[Значения числа]],0)</f>
        <v>0</v>
      </c>
      <c r="J914" s="8">
        <f>IF(AND(Таблицаx_2[[#This Row],[Месяц окончания]]=Таблицаx_2[[#This Row],[Месяц]],Таблицаx_2[[#This Row],[id]]=A915,EDATE(Таблицаx_2[[#This Row],[Месяц]],1)=D915),F915,0)</f>
        <v>0</v>
      </c>
      <c r="K914" s="8">
        <f>IF(AND(Таблицаx_2[[#This Row],[Месяц окончания]]=Таблицаx_2[[#This Row],[Месяц]],Таблицаx_2[[#This Row],[id]]=A915,EDATE(Таблицаx_2[[#This Row],[Месяц]],2)=D915),F915,0)</f>
        <v>0</v>
      </c>
    </row>
    <row r="915" spans="1:11" ht="12.75" hidden="1" customHeight="1" x14ac:dyDescent="0.2">
      <c r="A915" s="8">
        <v>676</v>
      </c>
      <c r="B915" s="8" t="s">
        <v>47</v>
      </c>
      <c r="C915" s="8" t="s">
        <v>10</v>
      </c>
      <c r="D915" s="12">
        <v>45017</v>
      </c>
      <c r="E915" s="8">
        <v>55683.5</v>
      </c>
      <c r="F915" s="10">
        <f>IF(ISTEXT(Таблицаx_2[[#This Row],[Значение]]), 0, Таблицаx_2[[#This Row],[Значение]])</f>
        <v>55683.5</v>
      </c>
      <c r="G915" s="12">
        <v>45170</v>
      </c>
      <c r="H915" s="10" t="str">
        <f>IFERROR(VLOOKUP(Таблицаx_2[[#This Row],[id]],prolongations!A:C,2,)," ")</f>
        <v>сентябрь 2023</v>
      </c>
      <c r="I915" s="10">
        <f>IF(Таблицаx_2[[#This Row],[Месяц окончания]]=Таблицаx_2[[#This Row],[Месяц]],Таблицаx_2[[#This Row],[Значения числа]],0)</f>
        <v>0</v>
      </c>
      <c r="J915" s="8">
        <f>IF(AND(Таблицаx_2[[#This Row],[Месяц окончания]]=Таблицаx_2[[#This Row],[Месяц]],Таблицаx_2[[#This Row],[id]]=A916,EDATE(Таблицаx_2[[#This Row],[Месяц]],1)=D916),F916,0)</f>
        <v>0</v>
      </c>
      <c r="K915" s="8">
        <f>IF(AND(Таблицаx_2[[#This Row],[Месяц окончания]]=Таблицаx_2[[#This Row],[Месяц]],Таблицаx_2[[#This Row],[id]]=A916,EDATE(Таблицаx_2[[#This Row],[Месяц]],2)=D916),F916,0)</f>
        <v>0</v>
      </c>
    </row>
    <row r="916" spans="1:11" ht="12.75" hidden="1" customHeight="1" x14ac:dyDescent="0.2">
      <c r="A916" s="8">
        <v>676</v>
      </c>
      <c r="B916" s="8" t="s">
        <v>47</v>
      </c>
      <c r="C916" s="8" t="s">
        <v>10</v>
      </c>
      <c r="D916" s="12">
        <v>45047</v>
      </c>
      <c r="E916" s="8">
        <v>10157.5</v>
      </c>
      <c r="F916" s="10">
        <f>IF(ISTEXT(Таблицаx_2[[#This Row],[Значение]]), 0, Таблицаx_2[[#This Row],[Значение]])</f>
        <v>10157.5</v>
      </c>
      <c r="G916" s="12">
        <v>45170</v>
      </c>
      <c r="H916" s="10" t="str">
        <f>IFERROR(VLOOKUP(Таблицаx_2[[#This Row],[id]],prolongations!A:C,2,)," ")</f>
        <v>сентябрь 2023</v>
      </c>
      <c r="I916" s="10">
        <f>IF(Таблицаx_2[[#This Row],[Месяц окончания]]=Таблицаx_2[[#This Row],[Месяц]],Таблицаx_2[[#This Row],[Значения числа]],0)</f>
        <v>0</v>
      </c>
      <c r="J916" s="8">
        <f>IF(AND(Таблицаx_2[[#This Row],[Месяц окончания]]=Таблицаx_2[[#This Row],[Месяц]],Таблицаx_2[[#This Row],[id]]=A917,EDATE(Таблицаx_2[[#This Row],[Месяц]],1)=D917),F917,0)</f>
        <v>0</v>
      </c>
      <c r="K916" s="8">
        <f>IF(AND(Таблицаx_2[[#This Row],[Месяц окончания]]=Таблицаx_2[[#This Row],[Месяц]],Таблицаx_2[[#This Row],[id]]=A917,EDATE(Таблицаx_2[[#This Row],[Месяц]],2)=D917),F917,0)</f>
        <v>0</v>
      </c>
    </row>
    <row r="917" spans="1:11" ht="12.75" hidden="1" customHeight="1" x14ac:dyDescent="0.2">
      <c r="A917" s="8">
        <v>676</v>
      </c>
      <c r="B917" s="8" t="s">
        <v>47</v>
      </c>
      <c r="C917" s="8" t="s">
        <v>10</v>
      </c>
      <c r="D917" s="12">
        <v>45078</v>
      </c>
      <c r="E917" s="8" t="s">
        <v>48</v>
      </c>
      <c r="F917" s="10">
        <f>IF(ISTEXT(Таблицаx_2[[#This Row],[Значение]]), 0, Таблицаx_2[[#This Row],[Значение]])</f>
        <v>0</v>
      </c>
      <c r="G917" s="12">
        <v>45170</v>
      </c>
      <c r="H917" s="10" t="str">
        <f>IFERROR(VLOOKUP(Таблицаx_2[[#This Row],[id]],prolongations!A:C,2,)," ")</f>
        <v>сентябрь 2023</v>
      </c>
      <c r="I917" s="10">
        <f>IF(Таблицаx_2[[#This Row],[Месяц окончания]]=Таблицаx_2[[#This Row],[Месяц]],Таблицаx_2[[#This Row],[Значения числа]],0)</f>
        <v>0</v>
      </c>
      <c r="J917" s="8">
        <f>IF(AND(Таблицаx_2[[#This Row],[Месяц окончания]]=Таблицаx_2[[#This Row],[Месяц]],Таблицаx_2[[#This Row],[id]]=A918,EDATE(Таблицаx_2[[#This Row],[Месяц]],1)=D918),F918,0)</f>
        <v>0</v>
      </c>
      <c r="K917" s="8">
        <f>IF(AND(Таблицаx_2[[#This Row],[Месяц окончания]]=Таблицаx_2[[#This Row],[Месяц]],Таблицаx_2[[#This Row],[id]]=A918,EDATE(Таблицаx_2[[#This Row],[Месяц]],2)=D918),F918,0)</f>
        <v>0</v>
      </c>
    </row>
    <row r="918" spans="1:11" ht="12.75" hidden="1" customHeight="1" x14ac:dyDescent="0.2">
      <c r="A918" s="8">
        <v>676</v>
      </c>
      <c r="B918" s="8" t="s">
        <v>47</v>
      </c>
      <c r="C918" s="8" t="s">
        <v>10</v>
      </c>
      <c r="D918" s="12">
        <v>45108</v>
      </c>
      <c r="E918" s="8">
        <v>5975.5</v>
      </c>
      <c r="F918" s="10">
        <f>IF(ISTEXT(Таблицаx_2[[#This Row],[Значение]]), 0, Таблицаx_2[[#This Row],[Значение]])</f>
        <v>5975.5</v>
      </c>
      <c r="G918" s="12">
        <v>45170</v>
      </c>
      <c r="H918" s="10" t="str">
        <f>IFERROR(VLOOKUP(Таблицаx_2[[#This Row],[id]],prolongations!A:C,2,)," ")</f>
        <v>сентябрь 2023</v>
      </c>
      <c r="I918" s="10">
        <f>IF(Таблицаx_2[[#This Row],[Месяц окончания]]=Таблицаx_2[[#This Row],[Месяц]],Таблицаx_2[[#This Row],[Значения числа]],0)</f>
        <v>0</v>
      </c>
      <c r="J918" s="8">
        <f>IF(AND(Таблицаx_2[[#This Row],[Месяц окончания]]=Таблицаx_2[[#This Row],[Месяц]],Таблицаx_2[[#This Row],[id]]=A919,EDATE(Таблицаx_2[[#This Row],[Месяц]],1)=D919),F919,0)</f>
        <v>0</v>
      </c>
      <c r="K918" s="8">
        <f>IF(AND(Таблицаx_2[[#This Row],[Месяц окончания]]=Таблицаx_2[[#This Row],[Месяц]],Таблицаx_2[[#This Row],[id]]=A919,EDATE(Таблицаx_2[[#This Row],[Месяц]],2)=D919),F919,0)</f>
        <v>0</v>
      </c>
    </row>
    <row r="919" spans="1:11" ht="12.75" hidden="1" customHeight="1" x14ac:dyDescent="0.2">
      <c r="A919" s="8">
        <v>676</v>
      </c>
      <c r="B919" s="8" t="s">
        <v>47</v>
      </c>
      <c r="C919" s="8" t="s">
        <v>10</v>
      </c>
      <c r="D919" s="12">
        <v>45139</v>
      </c>
      <c r="E919" s="8">
        <v>58246.25</v>
      </c>
      <c r="F919" s="10">
        <f>IF(ISTEXT(Таблицаx_2[[#This Row],[Значение]]), 0, Таблицаx_2[[#This Row],[Значение]])</f>
        <v>58246.25</v>
      </c>
      <c r="G919" s="12">
        <v>45170</v>
      </c>
      <c r="H919" s="10" t="str">
        <f>IFERROR(VLOOKUP(Таблицаx_2[[#This Row],[id]],prolongations!A:C,2,)," ")</f>
        <v>сентябрь 2023</v>
      </c>
      <c r="I919" s="10">
        <f>IF(Таблицаx_2[[#This Row],[Месяц окончания]]=Таблицаx_2[[#This Row],[Месяц]],Таблицаx_2[[#This Row],[Значения числа]],0)</f>
        <v>0</v>
      </c>
      <c r="J919" s="8">
        <f>IF(AND(Таблицаx_2[[#This Row],[Месяц окончания]]=Таблицаx_2[[#This Row],[Месяц]],Таблицаx_2[[#This Row],[id]]=A920,EDATE(Таблицаx_2[[#This Row],[Месяц]],1)=D920),F920,0)</f>
        <v>0</v>
      </c>
      <c r="K919" s="8">
        <f>IF(AND(Таблицаx_2[[#This Row],[Месяц окончания]]=Таблицаx_2[[#This Row],[Месяц]],Таблицаx_2[[#This Row],[id]]=A920,EDATE(Таблицаx_2[[#This Row],[Месяц]],2)=D920),F920,0)</f>
        <v>0</v>
      </c>
    </row>
    <row r="920" spans="1:11" ht="12.75" hidden="1" customHeight="1" x14ac:dyDescent="0.2">
      <c r="A920" s="8">
        <v>676</v>
      </c>
      <c r="B920" s="8" t="s">
        <v>47</v>
      </c>
      <c r="C920" s="8" t="s">
        <v>10</v>
      </c>
      <c r="D920" s="12">
        <v>45170</v>
      </c>
      <c r="E920" s="8">
        <v>16728</v>
      </c>
      <c r="F920" s="10">
        <f>IF(ISTEXT(Таблицаx_2[[#This Row],[Значение]]), 0, Таблицаx_2[[#This Row],[Значение]])</f>
        <v>16728</v>
      </c>
      <c r="G920" s="12">
        <v>45170</v>
      </c>
      <c r="H920" s="10" t="str">
        <f>IFERROR(VLOOKUP(Таблицаx_2[[#This Row],[id]],prolongations!A:C,2,)," ")</f>
        <v>сентябрь 2023</v>
      </c>
      <c r="I920" s="10">
        <f>IF(Таблицаx_2[[#This Row],[Месяц окончания]]=Таблицаx_2[[#This Row],[Месяц]],Таблицаx_2[[#This Row],[Значения числа]],0)</f>
        <v>16728</v>
      </c>
      <c r="J920" s="8">
        <f>IF(AND(Таблицаx_2[[#This Row],[Месяц окончания]]=Таблицаx_2[[#This Row],[Месяц]],Таблицаx_2[[#This Row],[id]]=A921,EDATE(Таблицаx_2[[#This Row],[Месяц]],1)=D921),F921,0)</f>
        <v>0</v>
      </c>
      <c r="K920" s="8">
        <f>IF(AND(Таблицаx_2[[#This Row],[Месяц окончания]]=Таблицаx_2[[#This Row],[Месяц]],Таблицаx_2[[#This Row],[id]]=A921,EDATE(Таблицаx_2[[#This Row],[Месяц]],2)=D921),F921,0)</f>
        <v>0</v>
      </c>
    </row>
    <row r="921" spans="1:11" ht="12.75" hidden="1" customHeight="1" x14ac:dyDescent="0.2">
      <c r="A921" s="8">
        <v>676</v>
      </c>
      <c r="B921" s="8" t="s">
        <v>47</v>
      </c>
      <c r="C921" s="8" t="s">
        <v>10</v>
      </c>
      <c r="D921" s="12">
        <v>45200</v>
      </c>
      <c r="E921" s="8" t="s">
        <v>48</v>
      </c>
      <c r="F921" s="10">
        <f>IF(ISTEXT(Таблицаx_2[[#This Row],[Значение]]), 0, Таблицаx_2[[#This Row],[Значение]])</f>
        <v>0</v>
      </c>
      <c r="G921" s="12">
        <v>45170</v>
      </c>
      <c r="H921" s="10" t="str">
        <f>IFERROR(VLOOKUP(Таблицаx_2[[#This Row],[id]],prolongations!A:C,2,)," ")</f>
        <v>сентябрь 2023</v>
      </c>
      <c r="I921" s="10">
        <f>IF(Таблицаx_2[[#This Row],[Месяц окончания]]=Таблицаx_2[[#This Row],[Месяц]],Таблицаx_2[[#This Row],[Значения числа]],0)</f>
        <v>0</v>
      </c>
      <c r="J921" s="8">
        <f>IF(AND(Таблицаx_2[[#This Row],[Месяц окончания]]=Таблицаx_2[[#This Row],[Месяц]],Таблицаx_2[[#This Row],[id]]=A922,EDATE(Таблицаx_2[[#This Row],[Месяц]],1)=D922),F922,0)</f>
        <v>0</v>
      </c>
      <c r="K921" s="8">
        <f>IF(AND(Таблицаx_2[[#This Row],[Месяц окончания]]=Таблицаx_2[[#This Row],[Месяц]],Таблицаx_2[[#This Row],[id]]=A922,EDATE(Таблицаx_2[[#This Row],[Месяц]],2)=D922),F922,0)</f>
        <v>0</v>
      </c>
    </row>
    <row r="922" spans="1:11" ht="12.75" hidden="1" customHeight="1" x14ac:dyDescent="0.2">
      <c r="A922" s="8">
        <v>676</v>
      </c>
      <c r="B922" s="8" t="s">
        <v>47</v>
      </c>
      <c r="C922" s="8" t="s">
        <v>10</v>
      </c>
      <c r="D922" s="12">
        <v>45231</v>
      </c>
      <c r="E922" s="8" t="s">
        <v>48</v>
      </c>
      <c r="F922" s="10">
        <f>IF(ISTEXT(Таблицаx_2[[#This Row],[Значение]]), 0, Таблицаx_2[[#This Row],[Значение]])</f>
        <v>0</v>
      </c>
      <c r="G922" s="12">
        <v>45170</v>
      </c>
      <c r="H922" s="10" t="str">
        <f>IFERROR(VLOOKUP(Таблицаx_2[[#This Row],[id]],prolongations!A:C,2,)," ")</f>
        <v>сентябрь 2023</v>
      </c>
      <c r="I922" s="10">
        <f>IF(Таблицаx_2[[#This Row],[Месяц окончания]]=Таблицаx_2[[#This Row],[Месяц]],Таблицаx_2[[#This Row],[Значения числа]],0)</f>
        <v>0</v>
      </c>
      <c r="J922" s="8">
        <f>IF(AND(Таблицаx_2[[#This Row],[Месяц окончания]]=Таблицаx_2[[#This Row],[Месяц]],Таблицаx_2[[#This Row],[id]]=A923,EDATE(Таблицаx_2[[#This Row],[Месяц]],1)=D923),F923,0)</f>
        <v>0</v>
      </c>
      <c r="K922" s="8">
        <f>IF(AND(Таблицаx_2[[#This Row],[Месяц окончания]]=Таблицаx_2[[#This Row],[Месяц]],Таблицаx_2[[#This Row],[id]]=A923,EDATE(Таблицаx_2[[#This Row],[Месяц]],2)=D923),F923,0)</f>
        <v>0</v>
      </c>
    </row>
    <row r="923" spans="1:11" ht="12.75" hidden="1" customHeight="1" x14ac:dyDescent="0.2">
      <c r="A923" s="8">
        <v>676</v>
      </c>
      <c r="B923" s="8" t="s">
        <v>47</v>
      </c>
      <c r="C923" s="8" t="s">
        <v>10</v>
      </c>
      <c r="D923" s="12">
        <v>45261</v>
      </c>
      <c r="E923" s="8" t="s">
        <v>48</v>
      </c>
      <c r="F923" s="10">
        <f>IF(ISTEXT(Таблицаx_2[[#This Row],[Значение]]), 0, Таблицаx_2[[#This Row],[Значение]])</f>
        <v>0</v>
      </c>
      <c r="G923" s="12">
        <v>45170</v>
      </c>
      <c r="H923" s="10" t="str">
        <f>IFERROR(VLOOKUP(Таблицаx_2[[#This Row],[id]],prolongations!A:C,2,)," ")</f>
        <v>сентябрь 2023</v>
      </c>
      <c r="I923" s="10">
        <f>IF(Таблицаx_2[[#This Row],[Месяц окончания]]=Таблицаx_2[[#This Row],[Месяц]],Таблицаx_2[[#This Row],[Значения числа]],0)</f>
        <v>0</v>
      </c>
      <c r="J923" s="8">
        <f>IF(AND(Таблицаx_2[[#This Row],[Месяц окончания]]=Таблицаx_2[[#This Row],[Месяц]],Таблицаx_2[[#This Row],[id]]=A924,EDATE(Таблицаx_2[[#This Row],[Месяц]],1)=D924),F924,0)</f>
        <v>0</v>
      </c>
      <c r="K923" s="8">
        <f>IF(AND(Таблицаx_2[[#This Row],[Месяц окончания]]=Таблицаx_2[[#This Row],[Месяц]],Таблицаx_2[[#This Row],[id]]=A924,EDATE(Таблицаx_2[[#This Row],[Месяц]],2)=D924),F924,0)</f>
        <v>0</v>
      </c>
    </row>
    <row r="924" spans="1:11" ht="12.75" hidden="1" customHeight="1" x14ac:dyDescent="0.2">
      <c r="A924" s="8">
        <v>676</v>
      </c>
      <c r="B924" s="8" t="s">
        <v>47</v>
      </c>
      <c r="C924" s="8" t="s">
        <v>10</v>
      </c>
      <c r="D924" s="12">
        <v>45292</v>
      </c>
      <c r="E924" s="8" t="s">
        <v>48</v>
      </c>
      <c r="F924" s="10">
        <f>IF(ISTEXT(Таблицаx_2[[#This Row],[Значение]]), 0, Таблицаx_2[[#This Row],[Значение]])</f>
        <v>0</v>
      </c>
      <c r="G924" s="12">
        <v>45170</v>
      </c>
      <c r="H924" s="10" t="str">
        <f>IFERROR(VLOOKUP(Таблицаx_2[[#This Row],[id]],prolongations!A:C,2,)," ")</f>
        <v>сентябрь 2023</v>
      </c>
      <c r="I924" s="10">
        <f>IF(Таблицаx_2[[#This Row],[Месяц окончания]]=Таблицаx_2[[#This Row],[Месяц]],Таблицаx_2[[#This Row],[Значения числа]],0)</f>
        <v>0</v>
      </c>
      <c r="J924" s="8">
        <f>IF(AND(Таблицаx_2[[#This Row],[Месяц окончания]]=Таблицаx_2[[#This Row],[Месяц]],Таблицаx_2[[#This Row],[id]]=A925,EDATE(Таблицаx_2[[#This Row],[Месяц]],1)=D925),F925,0)</f>
        <v>0</v>
      </c>
      <c r="K924" s="8">
        <f>IF(AND(Таблицаx_2[[#This Row],[Месяц окончания]]=Таблицаx_2[[#This Row],[Месяц]],Таблицаx_2[[#This Row],[id]]=A925,EDATE(Таблицаx_2[[#This Row],[Месяц]],2)=D925),F925,0)</f>
        <v>0</v>
      </c>
    </row>
    <row r="925" spans="1:11" ht="12.75" hidden="1" customHeight="1" x14ac:dyDescent="0.2">
      <c r="A925" s="8">
        <v>676</v>
      </c>
      <c r="B925" s="8" t="s">
        <v>47</v>
      </c>
      <c r="C925" s="8" t="s">
        <v>10</v>
      </c>
      <c r="D925" s="12">
        <v>45323</v>
      </c>
      <c r="E925" s="8" t="s">
        <v>48</v>
      </c>
      <c r="F925" s="10">
        <f>IF(ISTEXT(Таблицаx_2[[#This Row],[Значение]]), 0, Таблицаx_2[[#This Row],[Значение]])</f>
        <v>0</v>
      </c>
      <c r="G925" s="12">
        <v>45170</v>
      </c>
      <c r="H925" s="10" t="str">
        <f>IFERROR(VLOOKUP(Таблицаx_2[[#This Row],[id]],prolongations!A:C,2,)," ")</f>
        <v>сентябрь 2023</v>
      </c>
      <c r="I925" s="10">
        <f>IF(Таблицаx_2[[#This Row],[Месяц окончания]]=Таблицаx_2[[#This Row],[Месяц]],Таблицаx_2[[#This Row],[Значения числа]],0)</f>
        <v>0</v>
      </c>
      <c r="J925" s="8">
        <f>IF(AND(Таблицаx_2[[#This Row],[Месяц окончания]]=Таблицаx_2[[#This Row],[Месяц]],Таблицаx_2[[#This Row],[id]]=A926,EDATE(Таблицаx_2[[#This Row],[Месяц]],1)=D926),F926,0)</f>
        <v>0</v>
      </c>
      <c r="K925" s="8">
        <f>IF(AND(Таблицаx_2[[#This Row],[Месяц окончания]]=Таблицаx_2[[#This Row],[Месяц]],Таблицаx_2[[#This Row],[id]]=A926,EDATE(Таблицаx_2[[#This Row],[Месяц]],2)=D926),F926,0)</f>
        <v>0</v>
      </c>
    </row>
    <row r="926" spans="1:11" ht="12.75" hidden="1" customHeight="1" x14ac:dyDescent="0.2">
      <c r="A926" s="8">
        <v>876</v>
      </c>
      <c r="B926" s="8"/>
      <c r="C926" s="8" t="s">
        <v>4</v>
      </c>
      <c r="D926" s="12">
        <v>45108</v>
      </c>
      <c r="E926" s="8">
        <v>48245</v>
      </c>
      <c r="F926" s="10">
        <f>IF(ISTEXT(Таблицаx_2[[#This Row],[Значение]]), 0, Таблицаx_2[[#This Row],[Значение]])</f>
        <v>48245</v>
      </c>
      <c r="G926" s="12">
        <v>45170</v>
      </c>
      <c r="H926" s="10" t="str">
        <f>IFERROR(VLOOKUP(Таблицаx_2[[#This Row],[id]],prolongations!A:C,2,)," ")</f>
        <v>сентябрь 2023</v>
      </c>
      <c r="I926" s="10">
        <f>IF(Таблицаx_2[[#This Row],[Месяц окончания]]=Таблицаx_2[[#This Row],[Месяц]],Таблицаx_2[[#This Row],[Значения числа]],0)</f>
        <v>0</v>
      </c>
      <c r="J926" s="8">
        <f>IF(AND(Таблицаx_2[[#This Row],[Месяц окончания]]=Таблицаx_2[[#This Row],[Месяц]],Таблицаx_2[[#This Row],[id]]=A927,EDATE(Таблицаx_2[[#This Row],[Месяц]],1)=D927),F927,0)</f>
        <v>0</v>
      </c>
      <c r="K926" s="8">
        <f>IF(AND(Таблицаx_2[[#This Row],[Месяц окончания]]=Таблицаx_2[[#This Row],[Месяц]],Таблицаx_2[[#This Row],[id]]=A927,EDATE(Таблицаx_2[[#This Row],[Месяц]],2)=D927),F927,0)</f>
        <v>0</v>
      </c>
    </row>
    <row r="927" spans="1:11" ht="12.75" hidden="1" customHeight="1" x14ac:dyDescent="0.2">
      <c r="A927" s="8">
        <v>876</v>
      </c>
      <c r="B927" s="8"/>
      <c r="C927" s="8" t="s">
        <v>4</v>
      </c>
      <c r="D927" s="12">
        <v>45139</v>
      </c>
      <c r="E927" s="8">
        <v>42145</v>
      </c>
      <c r="F927" s="10">
        <f>IF(ISTEXT(Таблицаx_2[[#This Row],[Значение]]), 0, Таблицаx_2[[#This Row],[Значение]])</f>
        <v>42145</v>
      </c>
      <c r="G927" s="12">
        <v>45170</v>
      </c>
      <c r="H927" s="10" t="str">
        <f>IFERROR(VLOOKUP(Таблицаx_2[[#This Row],[id]],prolongations!A:C,2,)," ")</f>
        <v>сентябрь 2023</v>
      </c>
      <c r="I927" s="10">
        <f>IF(Таблицаx_2[[#This Row],[Месяц окончания]]=Таблицаx_2[[#This Row],[Месяц]],Таблицаx_2[[#This Row],[Значения числа]],0)</f>
        <v>0</v>
      </c>
      <c r="J927" s="8">
        <f>IF(AND(Таблицаx_2[[#This Row],[Месяц окончания]]=Таблицаx_2[[#This Row],[Месяц]],Таблицаx_2[[#This Row],[id]]=A928,EDATE(Таблицаx_2[[#This Row],[Месяц]],1)=D928),F928,0)</f>
        <v>0</v>
      </c>
      <c r="K927" s="8">
        <f>IF(AND(Таблицаx_2[[#This Row],[Месяц окончания]]=Таблицаx_2[[#This Row],[Месяц]],Таблицаx_2[[#This Row],[id]]=A928,EDATE(Таблицаx_2[[#This Row],[Месяц]],2)=D928),F928,0)</f>
        <v>0</v>
      </c>
    </row>
    <row r="928" spans="1:11" ht="12.75" hidden="1" customHeight="1" x14ac:dyDescent="0.2">
      <c r="A928" s="8">
        <v>876</v>
      </c>
      <c r="B928" s="8"/>
      <c r="C928" s="8" t="s">
        <v>4</v>
      </c>
      <c r="D928" s="12">
        <v>45170</v>
      </c>
      <c r="E928" s="8">
        <v>34090</v>
      </c>
      <c r="F928" s="10">
        <f>IF(ISTEXT(Таблицаx_2[[#This Row],[Значение]]), 0, Таблицаx_2[[#This Row],[Значение]])</f>
        <v>34090</v>
      </c>
      <c r="G928" s="12">
        <v>45170</v>
      </c>
      <c r="H928" s="10" t="str">
        <f>IFERROR(VLOOKUP(Таблицаx_2[[#This Row],[id]],prolongations!A:C,2,)," ")</f>
        <v>сентябрь 2023</v>
      </c>
      <c r="I928" s="10">
        <f>IF(Таблицаx_2[[#This Row],[Месяц окончания]]=Таблицаx_2[[#This Row],[Месяц]],Таблицаx_2[[#This Row],[Значения числа]],0)</f>
        <v>34090</v>
      </c>
      <c r="J928" s="8">
        <f>IF(AND(Таблицаx_2[[#This Row],[Месяц окончания]]=Таблицаx_2[[#This Row],[Месяц]],Таблицаx_2[[#This Row],[id]]=A929,EDATE(Таблицаx_2[[#This Row],[Месяц]],1)=D929),F929,0)</f>
        <v>0</v>
      </c>
      <c r="K928" s="8">
        <f>IF(AND(Таблицаx_2[[#This Row],[Месяц окончания]]=Таблицаx_2[[#This Row],[Месяц]],Таблицаx_2[[#This Row],[id]]=A929,EDATE(Таблицаx_2[[#This Row],[Месяц]],2)=D929),F929,0)</f>
        <v>0</v>
      </c>
    </row>
    <row r="929" spans="1:11" ht="12.75" hidden="1" customHeight="1" x14ac:dyDescent="0.2">
      <c r="A929" s="8">
        <v>877</v>
      </c>
      <c r="B929" s="8" t="s">
        <v>45</v>
      </c>
      <c r="C929" s="8" t="s">
        <v>4</v>
      </c>
      <c r="D929" s="12">
        <v>45108</v>
      </c>
      <c r="E929" s="8">
        <v>47925</v>
      </c>
      <c r="F929" s="10">
        <f>IF(ISTEXT(Таблицаx_2[[#This Row],[Значение]]), 0, Таблицаx_2[[#This Row],[Значение]])</f>
        <v>47925</v>
      </c>
      <c r="G929" s="12">
        <v>45170</v>
      </c>
      <c r="H929" s="10" t="str">
        <f>IFERROR(VLOOKUP(Таблицаx_2[[#This Row],[id]],prolongations!A:C,2,)," ")</f>
        <v>сентябрь 2023</v>
      </c>
      <c r="I929" s="10">
        <f>IF(Таблицаx_2[[#This Row],[Месяц окончания]]=Таблицаx_2[[#This Row],[Месяц]],Таблицаx_2[[#This Row],[Значения числа]],0)</f>
        <v>0</v>
      </c>
      <c r="J929" s="8">
        <f>IF(AND(Таблицаx_2[[#This Row],[Месяц окончания]]=Таблицаx_2[[#This Row],[Месяц]],Таблицаx_2[[#This Row],[id]]=A930,EDATE(Таблицаx_2[[#This Row],[Месяц]],1)=D930),F930,0)</f>
        <v>0</v>
      </c>
      <c r="K929" s="8">
        <f>IF(AND(Таблицаx_2[[#This Row],[Месяц окончания]]=Таблицаx_2[[#This Row],[Месяц]],Таблицаx_2[[#This Row],[id]]=A930,EDATE(Таблицаx_2[[#This Row],[Месяц]],2)=D930),F930,0)</f>
        <v>0</v>
      </c>
    </row>
    <row r="930" spans="1:11" ht="12.75" hidden="1" customHeight="1" x14ac:dyDescent="0.2">
      <c r="A930" s="8">
        <v>877</v>
      </c>
      <c r="B930" s="8" t="s">
        <v>45</v>
      </c>
      <c r="C930" s="8" t="s">
        <v>4</v>
      </c>
      <c r="D930" s="12">
        <v>45139</v>
      </c>
      <c r="E930" s="8">
        <v>33250</v>
      </c>
      <c r="F930" s="10">
        <f>IF(ISTEXT(Таблицаx_2[[#This Row],[Значение]]), 0, Таблицаx_2[[#This Row],[Значение]])</f>
        <v>33250</v>
      </c>
      <c r="G930" s="12">
        <v>45170</v>
      </c>
      <c r="H930" s="10" t="str">
        <f>IFERROR(VLOOKUP(Таблицаx_2[[#This Row],[id]],prolongations!A:C,2,)," ")</f>
        <v>сентябрь 2023</v>
      </c>
      <c r="I930" s="10">
        <f>IF(Таблицаx_2[[#This Row],[Месяц окончания]]=Таблицаx_2[[#This Row],[Месяц]],Таблицаx_2[[#This Row],[Значения числа]],0)</f>
        <v>0</v>
      </c>
      <c r="J930" s="8">
        <f>IF(AND(Таблицаx_2[[#This Row],[Месяц окончания]]=Таблицаx_2[[#This Row],[Месяц]],Таблицаx_2[[#This Row],[id]]=A931,EDATE(Таблицаx_2[[#This Row],[Месяц]],1)=D931),F931,0)</f>
        <v>0</v>
      </c>
      <c r="K930" s="8">
        <f>IF(AND(Таблицаx_2[[#This Row],[Месяц окончания]]=Таблицаx_2[[#This Row],[Месяц]],Таблицаx_2[[#This Row],[id]]=A931,EDATE(Таблицаx_2[[#This Row],[Месяц]],2)=D931),F931,0)</f>
        <v>0</v>
      </c>
    </row>
    <row r="931" spans="1:11" ht="12.75" hidden="1" customHeight="1" x14ac:dyDescent="0.2">
      <c r="A931" s="8">
        <v>877</v>
      </c>
      <c r="B931" s="8" t="s">
        <v>45</v>
      </c>
      <c r="C931" s="8" t="s">
        <v>4</v>
      </c>
      <c r="D931" s="12">
        <v>45170</v>
      </c>
      <c r="E931" s="8">
        <v>33725</v>
      </c>
      <c r="F931" s="10">
        <f>IF(ISTEXT(Таблицаx_2[[#This Row],[Значение]]), 0, Таблицаx_2[[#This Row],[Значение]])</f>
        <v>33725</v>
      </c>
      <c r="G931" s="12">
        <v>45170</v>
      </c>
      <c r="H931" s="10" t="str">
        <f>IFERROR(VLOOKUP(Таблицаx_2[[#This Row],[id]],prolongations!A:C,2,)," ")</f>
        <v>сентябрь 2023</v>
      </c>
      <c r="I931" s="10">
        <f>IF(Таблицаx_2[[#This Row],[Месяц окончания]]=Таблицаx_2[[#This Row],[Месяц]],Таблицаx_2[[#This Row],[Значения числа]],0)</f>
        <v>33725</v>
      </c>
      <c r="J931" s="8">
        <f>IF(AND(Таблицаx_2[[#This Row],[Месяц окончания]]=Таблицаx_2[[#This Row],[Месяц]],Таблицаx_2[[#This Row],[id]]=A932,EDATE(Таблицаx_2[[#This Row],[Месяц]],1)=D932),F932,0)</f>
        <v>0</v>
      </c>
      <c r="K931" s="8">
        <f>IF(AND(Таблицаx_2[[#This Row],[Месяц окончания]]=Таблицаx_2[[#This Row],[Месяц]],Таблицаx_2[[#This Row],[id]]=A932,EDATE(Таблицаx_2[[#This Row],[Месяц]],2)=D932),F932,0)</f>
        <v>0</v>
      </c>
    </row>
    <row r="932" spans="1:11" ht="12.75" hidden="1" customHeight="1" x14ac:dyDescent="0.2">
      <c r="A932" s="8">
        <v>878</v>
      </c>
      <c r="B932" s="8"/>
      <c r="C932" s="8" t="s">
        <v>4</v>
      </c>
      <c r="D932" s="12">
        <v>45108</v>
      </c>
      <c r="E932" s="8">
        <v>50285</v>
      </c>
      <c r="F932" s="10">
        <f>IF(ISTEXT(Таблицаx_2[[#This Row],[Значение]]), 0, Таблицаx_2[[#This Row],[Значение]])</f>
        <v>50285</v>
      </c>
      <c r="G932" s="12">
        <v>45170</v>
      </c>
      <c r="H932" s="10" t="str">
        <f>IFERROR(VLOOKUP(Таблицаx_2[[#This Row],[id]],prolongations!A:C,2,)," ")</f>
        <v>сентябрь 2023</v>
      </c>
      <c r="I932" s="10">
        <f>IF(Таблицаx_2[[#This Row],[Месяц окончания]]=Таблицаx_2[[#This Row],[Месяц]],Таблицаx_2[[#This Row],[Значения числа]],0)</f>
        <v>0</v>
      </c>
      <c r="J932" s="8">
        <f>IF(AND(Таблицаx_2[[#This Row],[Месяц окончания]]=Таблицаx_2[[#This Row],[Месяц]],Таблицаx_2[[#This Row],[id]]=A933,EDATE(Таблицаx_2[[#This Row],[Месяц]],1)=D933),F933,0)</f>
        <v>0</v>
      </c>
      <c r="K932" s="8">
        <f>IF(AND(Таблицаx_2[[#This Row],[Месяц окончания]]=Таблицаx_2[[#This Row],[Месяц]],Таблицаx_2[[#This Row],[id]]=A933,EDATE(Таблицаx_2[[#This Row],[Месяц]],2)=D933),F933,0)</f>
        <v>0</v>
      </c>
    </row>
    <row r="933" spans="1:11" ht="12.75" hidden="1" customHeight="1" x14ac:dyDescent="0.2">
      <c r="A933" s="8">
        <v>878</v>
      </c>
      <c r="B933" s="8"/>
      <c r="C933" s="8" t="s">
        <v>4</v>
      </c>
      <c r="D933" s="12">
        <v>45139</v>
      </c>
      <c r="E933" s="8">
        <v>39180</v>
      </c>
      <c r="F933" s="10">
        <f>IF(ISTEXT(Таблицаx_2[[#This Row],[Значение]]), 0, Таблицаx_2[[#This Row],[Значение]])</f>
        <v>39180</v>
      </c>
      <c r="G933" s="12">
        <v>45170</v>
      </c>
      <c r="H933" s="10" t="str">
        <f>IFERROR(VLOOKUP(Таблицаx_2[[#This Row],[id]],prolongations!A:C,2,)," ")</f>
        <v>сентябрь 2023</v>
      </c>
      <c r="I933" s="10">
        <f>IF(Таблицаx_2[[#This Row],[Месяц окончания]]=Таблицаx_2[[#This Row],[Месяц]],Таблицаx_2[[#This Row],[Значения числа]],0)</f>
        <v>0</v>
      </c>
      <c r="J933" s="8">
        <f>IF(AND(Таблицаx_2[[#This Row],[Месяц окончания]]=Таблицаx_2[[#This Row],[Месяц]],Таблицаx_2[[#This Row],[id]]=A934,EDATE(Таблицаx_2[[#This Row],[Месяц]],1)=D934),F934,0)</f>
        <v>0</v>
      </c>
      <c r="K933" s="8">
        <f>IF(AND(Таблицаx_2[[#This Row],[Месяц окончания]]=Таблицаx_2[[#This Row],[Месяц]],Таблицаx_2[[#This Row],[id]]=A934,EDATE(Таблицаx_2[[#This Row],[Месяц]],2)=D934),F934,0)</f>
        <v>0</v>
      </c>
    </row>
    <row r="934" spans="1:11" ht="12.75" hidden="1" customHeight="1" x14ac:dyDescent="0.2">
      <c r="A934" s="8">
        <v>878</v>
      </c>
      <c r="B934" s="8"/>
      <c r="C934" s="8" t="s">
        <v>4</v>
      </c>
      <c r="D934" s="12">
        <v>45170</v>
      </c>
      <c r="E934" s="8">
        <v>33200</v>
      </c>
      <c r="F934" s="10">
        <f>IF(ISTEXT(Таблицаx_2[[#This Row],[Значение]]), 0, Таблицаx_2[[#This Row],[Значение]])</f>
        <v>33200</v>
      </c>
      <c r="G934" s="12">
        <v>45170</v>
      </c>
      <c r="H934" s="10" t="str">
        <f>IFERROR(VLOOKUP(Таблицаx_2[[#This Row],[id]],prolongations!A:C,2,)," ")</f>
        <v>сентябрь 2023</v>
      </c>
      <c r="I934" s="10">
        <f>IF(Таблицаx_2[[#This Row],[Месяц окончания]]=Таблицаx_2[[#This Row],[Месяц]],Таблицаx_2[[#This Row],[Значения числа]],0)</f>
        <v>33200</v>
      </c>
      <c r="J934" s="8">
        <f>IF(AND(Таблицаx_2[[#This Row],[Месяц окончания]]=Таблицаx_2[[#This Row],[Месяц]],Таблицаx_2[[#This Row],[id]]=A935,EDATE(Таблицаx_2[[#This Row],[Месяц]],1)=D935),F935,0)</f>
        <v>0</v>
      </c>
      <c r="K934" s="8">
        <f>IF(AND(Таблицаx_2[[#This Row],[Месяц окончания]]=Таблицаx_2[[#This Row],[Месяц]],Таблицаx_2[[#This Row],[id]]=A935,EDATE(Таблицаx_2[[#This Row],[Месяц]],2)=D935),F935,0)</f>
        <v>0</v>
      </c>
    </row>
    <row r="935" spans="1:11" ht="12.75" hidden="1" customHeight="1" x14ac:dyDescent="0.2">
      <c r="A935" s="8">
        <v>668</v>
      </c>
      <c r="B935" s="8" t="s">
        <v>45</v>
      </c>
      <c r="C935" s="8" t="s">
        <v>8</v>
      </c>
      <c r="D935" s="12">
        <v>44866</v>
      </c>
      <c r="E935" s="8">
        <v>27950</v>
      </c>
      <c r="F935" s="10">
        <f>IF(ISTEXT(Таблицаx_2[[#This Row],[Значение]]), 0, Таблицаx_2[[#This Row],[Значение]])</f>
        <v>27950</v>
      </c>
      <c r="G935" s="12">
        <v>45170</v>
      </c>
      <c r="H935" s="10" t="str">
        <f>IFERROR(VLOOKUP(Таблицаx_2[[#This Row],[id]],prolongations!A:C,2,)," ")</f>
        <v>сентябрь 2023</v>
      </c>
      <c r="I935" s="10">
        <f>IF(Таблицаx_2[[#This Row],[Месяц окончания]]=Таблицаx_2[[#This Row],[Месяц]],Таблицаx_2[[#This Row],[Значения числа]],0)</f>
        <v>0</v>
      </c>
      <c r="J935" s="8">
        <f>IF(AND(Таблицаx_2[[#This Row],[Месяц окончания]]=Таблицаx_2[[#This Row],[Месяц]],Таблицаx_2[[#This Row],[id]]=A936,EDATE(Таблицаx_2[[#This Row],[Месяц]],1)=D936),F936,0)</f>
        <v>0</v>
      </c>
      <c r="K935" s="8">
        <f>IF(AND(Таблицаx_2[[#This Row],[Месяц окончания]]=Таблицаx_2[[#This Row],[Месяц]],Таблицаx_2[[#This Row],[id]]=A936,EDATE(Таблицаx_2[[#This Row],[Месяц]],2)=D936),F936,0)</f>
        <v>0</v>
      </c>
    </row>
    <row r="936" spans="1:11" ht="12.75" hidden="1" customHeight="1" x14ac:dyDescent="0.2">
      <c r="A936" s="8">
        <v>668</v>
      </c>
      <c r="B936" s="8" t="s">
        <v>45</v>
      </c>
      <c r="C936" s="8" t="s">
        <v>8</v>
      </c>
      <c r="D936" s="12">
        <v>44896</v>
      </c>
      <c r="E936" s="8">
        <v>30225</v>
      </c>
      <c r="F936" s="10">
        <f>IF(ISTEXT(Таблицаx_2[[#This Row],[Значение]]), 0, Таблицаx_2[[#This Row],[Значение]])</f>
        <v>30225</v>
      </c>
      <c r="G936" s="12">
        <v>45170</v>
      </c>
      <c r="H936" s="10" t="str">
        <f>IFERROR(VLOOKUP(Таблицаx_2[[#This Row],[id]],prolongations!A:C,2,)," ")</f>
        <v>сентябрь 2023</v>
      </c>
      <c r="I936" s="10">
        <f>IF(Таблицаx_2[[#This Row],[Месяц окончания]]=Таблицаx_2[[#This Row],[Месяц]],Таблицаx_2[[#This Row],[Значения числа]],0)</f>
        <v>0</v>
      </c>
      <c r="J936" s="8">
        <f>IF(AND(Таблицаx_2[[#This Row],[Месяц окончания]]=Таблицаx_2[[#This Row],[Месяц]],Таблицаx_2[[#This Row],[id]]=A937,EDATE(Таблицаx_2[[#This Row],[Месяц]],1)=D937),F937,0)</f>
        <v>0</v>
      </c>
      <c r="K936" s="8">
        <f>IF(AND(Таблицаx_2[[#This Row],[Месяц окончания]]=Таблицаx_2[[#This Row],[Месяц]],Таблицаx_2[[#This Row],[id]]=A937,EDATE(Таблицаx_2[[#This Row],[Месяц]],2)=D937),F937,0)</f>
        <v>0</v>
      </c>
    </row>
    <row r="937" spans="1:11" ht="12.75" hidden="1" customHeight="1" x14ac:dyDescent="0.2">
      <c r="A937" s="8">
        <v>668</v>
      </c>
      <c r="B937" s="8" t="s">
        <v>45</v>
      </c>
      <c r="C937" s="8" t="s">
        <v>8</v>
      </c>
      <c r="D937" s="12">
        <v>44927</v>
      </c>
      <c r="E937" s="8">
        <v>30225</v>
      </c>
      <c r="F937" s="10">
        <f>IF(ISTEXT(Таблицаx_2[[#This Row],[Значение]]), 0, Таблицаx_2[[#This Row],[Значение]])</f>
        <v>30225</v>
      </c>
      <c r="G937" s="12">
        <v>45170</v>
      </c>
      <c r="H937" s="10" t="str">
        <f>IFERROR(VLOOKUP(Таблицаx_2[[#This Row],[id]],prolongations!A:C,2,)," ")</f>
        <v>сентябрь 2023</v>
      </c>
      <c r="I937" s="10">
        <f>IF(Таблицаx_2[[#This Row],[Месяц окончания]]=Таблицаx_2[[#This Row],[Месяц]],Таблицаx_2[[#This Row],[Значения числа]],0)</f>
        <v>0</v>
      </c>
      <c r="J937" s="8">
        <f>IF(AND(Таблицаx_2[[#This Row],[Месяц окончания]]=Таблицаx_2[[#This Row],[Месяц]],Таблицаx_2[[#This Row],[id]]=A938,EDATE(Таблицаx_2[[#This Row],[Месяц]],1)=D938),F938,0)</f>
        <v>0</v>
      </c>
      <c r="K937" s="8">
        <f>IF(AND(Таблицаx_2[[#This Row],[Месяц окончания]]=Таблицаx_2[[#This Row],[Месяц]],Таблицаx_2[[#This Row],[id]]=A938,EDATE(Таблицаx_2[[#This Row],[Месяц]],2)=D938),F938,0)</f>
        <v>0</v>
      </c>
    </row>
    <row r="938" spans="1:11" ht="12.75" hidden="1" customHeight="1" x14ac:dyDescent="0.2">
      <c r="A938" s="8">
        <v>668</v>
      </c>
      <c r="B938" s="8" t="s">
        <v>45</v>
      </c>
      <c r="C938" s="8" t="s">
        <v>8</v>
      </c>
      <c r="D938" s="12">
        <v>44958</v>
      </c>
      <c r="E938" s="8">
        <v>30225</v>
      </c>
      <c r="F938" s="10">
        <f>IF(ISTEXT(Таблицаx_2[[#This Row],[Значение]]), 0, Таблицаx_2[[#This Row],[Значение]])</f>
        <v>30225</v>
      </c>
      <c r="G938" s="12">
        <v>45170</v>
      </c>
      <c r="H938" s="10" t="str">
        <f>IFERROR(VLOOKUP(Таблицаx_2[[#This Row],[id]],prolongations!A:C,2,)," ")</f>
        <v>сентябрь 2023</v>
      </c>
      <c r="I938" s="10">
        <f>IF(Таблицаx_2[[#This Row],[Месяц окончания]]=Таблицаx_2[[#This Row],[Месяц]],Таблицаx_2[[#This Row],[Значения числа]],0)</f>
        <v>0</v>
      </c>
      <c r="J938" s="8">
        <f>IF(AND(Таблицаx_2[[#This Row],[Месяц окончания]]=Таблицаx_2[[#This Row],[Месяц]],Таблицаx_2[[#This Row],[id]]=A939,EDATE(Таблицаx_2[[#This Row],[Месяц]],1)=D939),F939,0)</f>
        <v>0</v>
      </c>
      <c r="K938" s="8">
        <f>IF(AND(Таблицаx_2[[#This Row],[Месяц окончания]]=Таблицаx_2[[#This Row],[Месяц]],Таблицаx_2[[#This Row],[id]]=A939,EDATE(Таблицаx_2[[#This Row],[Месяц]],2)=D939),F939,0)</f>
        <v>0</v>
      </c>
    </row>
    <row r="939" spans="1:11" ht="12.75" hidden="1" customHeight="1" x14ac:dyDescent="0.2">
      <c r="A939" s="8">
        <v>668</v>
      </c>
      <c r="B939" s="8" t="s">
        <v>45</v>
      </c>
      <c r="C939" s="8" t="s">
        <v>8</v>
      </c>
      <c r="D939" s="12">
        <v>44986</v>
      </c>
      <c r="E939" s="8">
        <v>30225</v>
      </c>
      <c r="F939" s="10">
        <f>IF(ISTEXT(Таблицаx_2[[#This Row],[Значение]]), 0, Таблицаx_2[[#This Row],[Значение]])</f>
        <v>30225</v>
      </c>
      <c r="G939" s="12">
        <v>45170</v>
      </c>
      <c r="H939" s="10" t="str">
        <f>IFERROR(VLOOKUP(Таблицаx_2[[#This Row],[id]],prolongations!A:C,2,)," ")</f>
        <v>сентябрь 2023</v>
      </c>
      <c r="I939" s="10">
        <f>IF(Таблицаx_2[[#This Row],[Месяц окончания]]=Таблицаx_2[[#This Row],[Месяц]],Таблицаx_2[[#This Row],[Значения числа]],0)</f>
        <v>0</v>
      </c>
      <c r="J939" s="8">
        <f>IF(AND(Таблицаx_2[[#This Row],[Месяц окончания]]=Таблицаx_2[[#This Row],[Месяц]],Таблицаx_2[[#This Row],[id]]=A940,EDATE(Таблицаx_2[[#This Row],[Месяц]],1)=D940),F940,0)</f>
        <v>0</v>
      </c>
      <c r="K939" s="8">
        <f>IF(AND(Таблицаx_2[[#This Row],[Месяц окончания]]=Таблицаx_2[[#This Row],[Месяц]],Таблицаx_2[[#This Row],[id]]=A940,EDATE(Таблицаx_2[[#This Row],[Месяц]],2)=D940),F940,0)</f>
        <v>0</v>
      </c>
    </row>
    <row r="940" spans="1:11" ht="12.75" hidden="1" customHeight="1" x14ac:dyDescent="0.2">
      <c r="A940" s="8">
        <v>668</v>
      </c>
      <c r="B940" s="8" t="s">
        <v>45</v>
      </c>
      <c r="C940" s="8" t="s">
        <v>8</v>
      </c>
      <c r="D940" s="12">
        <v>45017</v>
      </c>
      <c r="E940" s="8">
        <v>30225</v>
      </c>
      <c r="F940" s="10">
        <f>IF(ISTEXT(Таблицаx_2[[#This Row],[Значение]]), 0, Таблицаx_2[[#This Row],[Значение]])</f>
        <v>30225</v>
      </c>
      <c r="G940" s="12">
        <v>45170</v>
      </c>
      <c r="H940" s="10" t="str">
        <f>IFERROR(VLOOKUP(Таблицаx_2[[#This Row],[id]],prolongations!A:C,2,)," ")</f>
        <v>сентябрь 2023</v>
      </c>
      <c r="I940" s="10">
        <f>IF(Таблицаx_2[[#This Row],[Месяц окончания]]=Таблицаx_2[[#This Row],[Месяц]],Таблицаx_2[[#This Row],[Значения числа]],0)</f>
        <v>0</v>
      </c>
      <c r="J940" s="8">
        <f>IF(AND(Таблицаx_2[[#This Row],[Месяц окончания]]=Таблицаx_2[[#This Row],[Месяц]],Таблицаx_2[[#This Row],[id]]=A941,EDATE(Таблицаx_2[[#This Row],[Месяц]],1)=D941),F941,0)</f>
        <v>0</v>
      </c>
      <c r="K940" s="8">
        <f>IF(AND(Таблицаx_2[[#This Row],[Месяц окончания]]=Таблицаx_2[[#This Row],[Месяц]],Таблицаx_2[[#This Row],[id]]=A941,EDATE(Таблицаx_2[[#This Row],[Месяц]],2)=D941),F941,0)</f>
        <v>0</v>
      </c>
    </row>
    <row r="941" spans="1:11" ht="12.75" hidden="1" customHeight="1" x14ac:dyDescent="0.2">
      <c r="A941" s="8">
        <v>668</v>
      </c>
      <c r="B941" s="8" t="s">
        <v>45</v>
      </c>
      <c r="C941" s="8" t="s">
        <v>8</v>
      </c>
      <c r="D941" s="12">
        <v>45047</v>
      </c>
      <c r="E941" s="8">
        <v>30225</v>
      </c>
      <c r="F941" s="10">
        <f>IF(ISTEXT(Таблицаx_2[[#This Row],[Значение]]), 0, Таблицаx_2[[#This Row],[Значение]])</f>
        <v>30225</v>
      </c>
      <c r="G941" s="12">
        <v>45170</v>
      </c>
      <c r="H941" s="10" t="str">
        <f>IFERROR(VLOOKUP(Таблицаx_2[[#This Row],[id]],prolongations!A:C,2,)," ")</f>
        <v>сентябрь 2023</v>
      </c>
      <c r="I941" s="10">
        <f>IF(Таблицаx_2[[#This Row],[Месяц окончания]]=Таблицаx_2[[#This Row],[Месяц]],Таблицаx_2[[#This Row],[Значения числа]],0)</f>
        <v>0</v>
      </c>
      <c r="J941" s="8">
        <f>IF(AND(Таблицаx_2[[#This Row],[Месяц окончания]]=Таблицаx_2[[#This Row],[Месяц]],Таблицаx_2[[#This Row],[id]]=A942,EDATE(Таблицаx_2[[#This Row],[Месяц]],1)=D942),F942,0)</f>
        <v>0</v>
      </c>
      <c r="K941" s="8">
        <f>IF(AND(Таблицаx_2[[#This Row],[Месяц окончания]]=Таблицаx_2[[#This Row],[Месяц]],Таблицаx_2[[#This Row],[id]]=A942,EDATE(Таблицаx_2[[#This Row],[Месяц]],2)=D942),F942,0)</f>
        <v>0</v>
      </c>
    </row>
    <row r="942" spans="1:11" ht="12.75" hidden="1" customHeight="1" x14ac:dyDescent="0.2">
      <c r="A942" s="8">
        <v>668</v>
      </c>
      <c r="B942" s="8" t="s">
        <v>45</v>
      </c>
      <c r="C942" s="8" t="s">
        <v>8</v>
      </c>
      <c r="D942" s="12">
        <v>45078</v>
      </c>
      <c r="E942" s="8">
        <v>30225</v>
      </c>
      <c r="F942" s="10">
        <f>IF(ISTEXT(Таблицаx_2[[#This Row],[Значение]]), 0, Таблицаx_2[[#This Row],[Значение]])</f>
        <v>30225</v>
      </c>
      <c r="G942" s="12">
        <v>45170</v>
      </c>
      <c r="H942" s="10" t="str">
        <f>IFERROR(VLOOKUP(Таблицаx_2[[#This Row],[id]],prolongations!A:C,2,)," ")</f>
        <v>сентябрь 2023</v>
      </c>
      <c r="I942" s="10">
        <f>IF(Таблицаx_2[[#This Row],[Месяц окончания]]=Таблицаx_2[[#This Row],[Месяц]],Таблицаx_2[[#This Row],[Значения числа]],0)</f>
        <v>0</v>
      </c>
      <c r="J942" s="8">
        <f>IF(AND(Таблицаx_2[[#This Row],[Месяц окончания]]=Таблицаx_2[[#This Row],[Месяц]],Таблицаx_2[[#This Row],[id]]=A943,EDATE(Таблицаx_2[[#This Row],[Месяц]],1)=D943),F943,0)</f>
        <v>0</v>
      </c>
      <c r="K942" s="8">
        <f>IF(AND(Таблицаx_2[[#This Row],[Месяц окончания]]=Таблицаx_2[[#This Row],[Месяц]],Таблицаx_2[[#This Row],[id]]=A943,EDATE(Таблицаx_2[[#This Row],[Месяц]],2)=D943),F943,0)</f>
        <v>0</v>
      </c>
    </row>
    <row r="943" spans="1:11" ht="12.75" hidden="1" customHeight="1" x14ac:dyDescent="0.2">
      <c r="A943" s="8">
        <v>668</v>
      </c>
      <c r="B943" s="8" t="s">
        <v>45</v>
      </c>
      <c r="C943" s="8" t="s">
        <v>8</v>
      </c>
      <c r="D943" s="12">
        <v>45108</v>
      </c>
      <c r="E943" s="8">
        <v>30225</v>
      </c>
      <c r="F943" s="10">
        <f>IF(ISTEXT(Таблицаx_2[[#This Row],[Значение]]), 0, Таблицаx_2[[#This Row],[Значение]])</f>
        <v>30225</v>
      </c>
      <c r="G943" s="12">
        <v>45170</v>
      </c>
      <c r="H943" s="10" t="str">
        <f>IFERROR(VLOOKUP(Таблицаx_2[[#This Row],[id]],prolongations!A:C,2,)," ")</f>
        <v>сентябрь 2023</v>
      </c>
      <c r="I943" s="10">
        <f>IF(Таблицаx_2[[#This Row],[Месяц окончания]]=Таблицаx_2[[#This Row],[Месяц]],Таблицаx_2[[#This Row],[Значения числа]],0)</f>
        <v>0</v>
      </c>
      <c r="J943" s="8">
        <f>IF(AND(Таблицаx_2[[#This Row],[Месяц окончания]]=Таблицаx_2[[#This Row],[Месяц]],Таблицаx_2[[#This Row],[id]]=A944,EDATE(Таблицаx_2[[#This Row],[Месяц]],1)=D944),F944,0)</f>
        <v>0</v>
      </c>
      <c r="K943" s="8">
        <f>IF(AND(Таблицаx_2[[#This Row],[Месяц окончания]]=Таблицаx_2[[#This Row],[Месяц]],Таблицаx_2[[#This Row],[id]]=A944,EDATE(Таблицаx_2[[#This Row],[Месяц]],2)=D944),F944,0)</f>
        <v>0</v>
      </c>
    </row>
    <row r="944" spans="1:11" ht="12.75" hidden="1" customHeight="1" x14ac:dyDescent="0.2">
      <c r="A944" s="8">
        <v>668</v>
      </c>
      <c r="B944" s="8" t="s">
        <v>45</v>
      </c>
      <c r="C944" s="8" t="s">
        <v>8</v>
      </c>
      <c r="D944" s="12">
        <v>45139</v>
      </c>
      <c r="E944" s="8">
        <v>34875</v>
      </c>
      <c r="F944" s="10">
        <f>IF(ISTEXT(Таблицаx_2[[#This Row],[Значение]]), 0, Таблицаx_2[[#This Row],[Значение]])</f>
        <v>34875</v>
      </c>
      <c r="G944" s="12">
        <v>45170</v>
      </c>
      <c r="H944" s="10" t="str">
        <f>IFERROR(VLOOKUP(Таблицаx_2[[#This Row],[id]],prolongations!A:C,2,)," ")</f>
        <v>сентябрь 2023</v>
      </c>
      <c r="I944" s="10">
        <f>IF(Таблицаx_2[[#This Row],[Месяц окончания]]=Таблицаx_2[[#This Row],[Месяц]],Таблицаx_2[[#This Row],[Значения числа]],0)</f>
        <v>0</v>
      </c>
      <c r="J944" s="8">
        <f>IF(AND(Таблицаx_2[[#This Row],[Месяц окончания]]=Таблицаx_2[[#This Row],[Месяц]],Таблицаx_2[[#This Row],[id]]=A945,EDATE(Таблицаx_2[[#This Row],[Месяц]],1)=D945),F945,0)</f>
        <v>0</v>
      </c>
      <c r="K944" s="8">
        <f>IF(AND(Таблицаx_2[[#This Row],[Месяц окончания]]=Таблицаx_2[[#This Row],[Месяц]],Таблицаx_2[[#This Row],[id]]=A945,EDATE(Таблицаx_2[[#This Row],[Месяц]],2)=D945),F945,0)</f>
        <v>0</v>
      </c>
    </row>
    <row r="945" spans="1:11" ht="12.75" hidden="1" customHeight="1" x14ac:dyDescent="0.2">
      <c r="A945" s="8">
        <v>668</v>
      </c>
      <c r="B945" s="8" t="s">
        <v>45</v>
      </c>
      <c r="C945" s="8" t="s">
        <v>8</v>
      </c>
      <c r="D945" s="12">
        <v>45170</v>
      </c>
      <c r="E945" s="8">
        <v>53625</v>
      </c>
      <c r="F945" s="10">
        <f>IF(ISTEXT(Таблицаx_2[[#This Row],[Значение]]), 0, Таблицаx_2[[#This Row],[Значение]])</f>
        <v>53625</v>
      </c>
      <c r="G945" s="12">
        <v>45170</v>
      </c>
      <c r="H945" s="10" t="str">
        <f>IFERROR(VLOOKUP(Таблицаx_2[[#This Row],[id]],prolongations!A:C,2,)," ")</f>
        <v>сентябрь 2023</v>
      </c>
      <c r="I945" s="10">
        <f>IF(Таблицаx_2[[#This Row],[Месяц окончания]]=Таблицаx_2[[#This Row],[Месяц]],Таблицаx_2[[#This Row],[Значения числа]],0)</f>
        <v>53625</v>
      </c>
      <c r="J945" s="8">
        <f>IF(AND(Таблицаx_2[[#This Row],[Месяц окончания]]=Таблицаx_2[[#This Row],[Месяц]],Таблицаx_2[[#This Row],[id]]=A946,EDATE(Таблицаx_2[[#This Row],[Месяц]],1)=D946),F946,0)</f>
        <v>53625</v>
      </c>
      <c r="K945" s="8">
        <f>IF(AND(Таблицаx_2[[#This Row],[Месяц окончания]]=Таблицаx_2[[#This Row],[Месяц]],Таблицаx_2[[#This Row],[id]]=A946,EDATE(Таблицаx_2[[#This Row],[Месяц]],2)=D946),F946,0)</f>
        <v>0</v>
      </c>
    </row>
    <row r="946" spans="1:11" ht="12.75" hidden="1" customHeight="1" x14ac:dyDescent="0.2">
      <c r="A946" s="8">
        <v>668</v>
      </c>
      <c r="B946" s="8" t="s">
        <v>45</v>
      </c>
      <c r="C946" s="8" t="s">
        <v>8</v>
      </c>
      <c r="D946" s="12">
        <v>45200</v>
      </c>
      <c r="E946" s="8">
        <v>53625</v>
      </c>
      <c r="F946" s="10">
        <f>IF(ISTEXT(Таблицаx_2[[#This Row],[Значение]]), 0, Таблицаx_2[[#This Row],[Значение]])</f>
        <v>53625</v>
      </c>
      <c r="G946" s="12">
        <v>45170</v>
      </c>
      <c r="H946" s="10" t="str">
        <f>IFERROR(VLOOKUP(Таблицаx_2[[#This Row],[id]],prolongations!A:C,2,)," ")</f>
        <v>сентябрь 2023</v>
      </c>
      <c r="I946" s="10">
        <f>IF(Таблицаx_2[[#This Row],[Месяц окончания]]=Таблицаx_2[[#This Row],[Месяц]],Таблицаx_2[[#This Row],[Значения числа]],0)</f>
        <v>0</v>
      </c>
      <c r="J946" s="8">
        <f>IF(AND(Таблицаx_2[[#This Row],[Месяц окончания]]=Таблицаx_2[[#This Row],[Месяц]],Таблицаx_2[[#This Row],[id]]=A947,EDATE(Таблицаx_2[[#This Row],[Месяц]],1)=D947),F947,0)</f>
        <v>0</v>
      </c>
      <c r="K946" s="8">
        <f>IF(AND(Таблицаx_2[[#This Row],[Месяц окончания]]=Таблицаx_2[[#This Row],[Месяц]],Таблицаx_2[[#This Row],[id]]=A947,EDATE(Таблицаx_2[[#This Row],[Месяц]],2)=D947),F947,0)</f>
        <v>0</v>
      </c>
    </row>
    <row r="947" spans="1:11" ht="12.75" hidden="1" customHeight="1" x14ac:dyDescent="0.2">
      <c r="A947" s="8">
        <v>668</v>
      </c>
      <c r="B947" s="8" t="s">
        <v>45</v>
      </c>
      <c r="C947" s="8" t="s">
        <v>8</v>
      </c>
      <c r="D947" s="12">
        <v>45231</v>
      </c>
      <c r="E947" s="8">
        <v>53625</v>
      </c>
      <c r="F947" s="10">
        <f>IF(ISTEXT(Таблицаx_2[[#This Row],[Значение]]), 0, Таблицаx_2[[#This Row],[Значение]])</f>
        <v>53625</v>
      </c>
      <c r="G947" s="12">
        <v>45170</v>
      </c>
      <c r="H947" s="10" t="str">
        <f>IFERROR(VLOOKUP(Таблицаx_2[[#This Row],[id]],prolongations!A:C,2,)," ")</f>
        <v>сентябрь 2023</v>
      </c>
      <c r="I947" s="10">
        <f>IF(Таблицаx_2[[#This Row],[Месяц окончания]]=Таблицаx_2[[#This Row],[Месяц]],Таблицаx_2[[#This Row],[Значения числа]],0)</f>
        <v>0</v>
      </c>
      <c r="J947" s="8">
        <f>IF(AND(Таблицаx_2[[#This Row],[Месяц окончания]]=Таблицаx_2[[#This Row],[Месяц]],Таблицаx_2[[#This Row],[id]]=A948,EDATE(Таблицаx_2[[#This Row],[Месяц]],1)=D948),F948,0)</f>
        <v>0</v>
      </c>
      <c r="K947" s="8">
        <f>IF(AND(Таблицаx_2[[#This Row],[Месяц окончания]]=Таблицаx_2[[#This Row],[Месяц]],Таблицаx_2[[#This Row],[id]]=A948,EDATE(Таблицаx_2[[#This Row],[Месяц]],2)=D948),F948,0)</f>
        <v>0</v>
      </c>
    </row>
    <row r="948" spans="1:11" ht="12.75" hidden="1" customHeight="1" x14ac:dyDescent="0.2">
      <c r="A948" s="8">
        <v>668</v>
      </c>
      <c r="B948" s="8" t="s">
        <v>45</v>
      </c>
      <c r="C948" s="8" t="s">
        <v>8</v>
      </c>
      <c r="D948" s="12">
        <v>45261</v>
      </c>
      <c r="E948" s="8">
        <v>53625</v>
      </c>
      <c r="F948" s="10">
        <f>IF(ISTEXT(Таблицаx_2[[#This Row],[Значение]]), 0, Таблицаx_2[[#This Row],[Значение]])</f>
        <v>53625</v>
      </c>
      <c r="G948" s="12">
        <v>45170</v>
      </c>
      <c r="H948" s="10" t="str">
        <f>IFERROR(VLOOKUP(Таблицаx_2[[#This Row],[id]],prolongations!A:C,2,)," ")</f>
        <v>сентябрь 2023</v>
      </c>
      <c r="I948" s="10">
        <f>IF(Таблицаx_2[[#This Row],[Месяц окончания]]=Таблицаx_2[[#This Row],[Месяц]],Таблицаx_2[[#This Row],[Значения числа]],0)</f>
        <v>0</v>
      </c>
      <c r="J948" s="8">
        <f>IF(AND(Таблицаx_2[[#This Row],[Месяц окончания]]=Таблицаx_2[[#This Row],[Месяц]],Таблицаx_2[[#This Row],[id]]=A949,EDATE(Таблицаx_2[[#This Row],[Месяц]],1)=D949),F949,0)</f>
        <v>0</v>
      </c>
      <c r="K948" s="8">
        <f>IF(AND(Таблицаx_2[[#This Row],[Месяц окончания]]=Таблицаx_2[[#This Row],[Месяц]],Таблицаx_2[[#This Row],[id]]=A949,EDATE(Таблицаx_2[[#This Row],[Месяц]],2)=D949),F949,0)</f>
        <v>0</v>
      </c>
    </row>
    <row r="949" spans="1:11" ht="12.75" hidden="1" customHeight="1" x14ac:dyDescent="0.2">
      <c r="A949" s="8">
        <v>668</v>
      </c>
      <c r="B949" s="8" t="s">
        <v>45</v>
      </c>
      <c r="C949" s="8" t="s">
        <v>8</v>
      </c>
      <c r="D949" s="12">
        <v>45292</v>
      </c>
      <c r="E949" s="8">
        <v>53625</v>
      </c>
      <c r="F949" s="10">
        <f>IF(ISTEXT(Таблицаx_2[[#This Row],[Значение]]), 0, Таблицаx_2[[#This Row],[Значение]])</f>
        <v>53625</v>
      </c>
      <c r="G949" s="12">
        <v>45170</v>
      </c>
      <c r="H949" s="10" t="str">
        <f>IFERROR(VLOOKUP(Таблицаx_2[[#This Row],[id]],prolongations!A:C,2,)," ")</f>
        <v>сентябрь 2023</v>
      </c>
      <c r="I949" s="10">
        <f>IF(Таблицаx_2[[#This Row],[Месяц окончания]]=Таблицаx_2[[#This Row],[Месяц]],Таблицаx_2[[#This Row],[Значения числа]],0)</f>
        <v>0</v>
      </c>
      <c r="J949" s="8">
        <f>IF(AND(Таблицаx_2[[#This Row],[Месяц окончания]]=Таблицаx_2[[#This Row],[Месяц]],Таблицаx_2[[#This Row],[id]]=A950,EDATE(Таблицаx_2[[#This Row],[Месяц]],1)=D950),F950,0)</f>
        <v>0</v>
      </c>
      <c r="K949" s="8">
        <f>IF(AND(Таблицаx_2[[#This Row],[Месяц окончания]]=Таблицаx_2[[#This Row],[Месяц]],Таблицаx_2[[#This Row],[id]]=A950,EDATE(Таблицаx_2[[#This Row],[Месяц]],2)=D950),F950,0)</f>
        <v>0</v>
      </c>
    </row>
    <row r="950" spans="1:11" ht="12.75" hidden="1" customHeight="1" x14ac:dyDescent="0.2">
      <c r="A950" s="8">
        <v>668</v>
      </c>
      <c r="B950" s="8" t="s">
        <v>45</v>
      </c>
      <c r="C950" s="8" t="s">
        <v>8</v>
      </c>
      <c r="D950" s="12">
        <v>45323</v>
      </c>
      <c r="E950" s="8">
        <v>53625</v>
      </c>
      <c r="F950" s="10">
        <f>IF(ISTEXT(Таблицаx_2[[#This Row],[Значение]]), 0, Таблицаx_2[[#This Row],[Значение]])</f>
        <v>53625</v>
      </c>
      <c r="G950" s="12">
        <v>45170</v>
      </c>
      <c r="H950" s="10" t="str">
        <f>IFERROR(VLOOKUP(Таблицаx_2[[#This Row],[id]],prolongations!A:C,2,)," ")</f>
        <v>сентябрь 2023</v>
      </c>
      <c r="I950" s="10">
        <f>IF(Таблицаx_2[[#This Row],[Месяц окончания]]=Таблицаx_2[[#This Row],[Месяц]],Таблицаx_2[[#This Row],[Значения числа]],0)</f>
        <v>0</v>
      </c>
      <c r="J950" s="8">
        <f>IF(AND(Таблицаx_2[[#This Row],[Месяц окончания]]=Таблицаx_2[[#This Row],[Месяц]],Таблицаx_2[[#This Row],[id]]=A951,EDATE(Таблицаx_2[[#This Row],[Месяц]],1)=D951),F951,0)</f>
        <v>0</v>
      </c>
      <c r="K950" s="8">
        <f>IF(AND(Таблицаx_2[[#This Row],[Месяц окончания]]=Таблицаx_2[[#This Row],[Месяц]],Таблицаx_2[[#This Row],[id]]=A951,EDATE(Таблицаx_2[[#This Row],[Месяц]],2)=D951),F951,0)</f>
        <v>0</v>
      </c>
    </row>
    <row r="951" spans="1:11" ht="12.75" hidden="1" customHeight="1" x14ac:dyDescent="0.2">
      <c r="A951" s="8">
        <v>668</v>
      </c>
      <c r="B951" s="8" t="s">
        <v>47</v>
      </c>
      <c r="C951" s="8" t="s">
        <v>8</v>
      </c>
      <c r="D951" s="12">
        <v>44866</v>
      </c>
      <c r="E951" s="8">
        <v>24401</v>
      </c>
      <c r="F951" s="10">
        <f>IF(ISTEXT(Таблицаx_2[[#This Row],[Значение]]), 0, Таблицаx_2[[#This Row],[Значение]])</f>
        <v>24401</v>
      </c>
      <c r="G951" s="12">
        <v>45170</v>
      </c>
      <c r="H951" s="10" t="str">
        <f>IFERROR(VLOOKUP(Таблицаx_2[[#This Row],[id]],prolongations!A:C,2,)," ")</f>
        <v>сентябрь 2023</v>
      </c>
      <c r="I951" s="10">
        <f>IF(Таблицаx_2[[#This Row],[Месяц окончания]]=Таблицаx_2[[#This Row],[Месяц]],Таблицаx_2[[#This Row],[Значения числа]],0)</f>
        <v>0</v>
      </c>
      <c r="J951" s="8">
        <f>IF(AND(Таблицаx_2[[#This Row],[Месяц окончания]]=Таблицаx_2[[#This Row],[Месяц]],Таблицаx_2[[#This Row],[id]]=A952,EDATE(Таблицаx_2[[#This Row],[Месяц]],1)=D952),F952,0)</f>
        <v>0</v>
      </c>
      <c r="K951" s="8">
        <f>IF(AND(Таблицаx_2[[#This Row],[Месяц окончания]]=Таблицаx_2[[#This Row],[Месяц]],Таблицаx_2[[#This Row],[id]]=A952,EDATE(Таблицаx_2[[#This Row],[Месяц]],2)=D952),F952,0)</f>
        <v>0</v>
      </c>
    </row>
    <row r="952" spans="1:11" ht="12.75" hidden="1" customHeight="1" x14ac:dyDescent="0.2">
      <c r="A952" s="8">
        <v>668</v>
      </c>
      <c r="B952" s="8" t="s">
        <v>47</v>
      </c>
      <c r="C952" s="8" t="s">
        <v>8</v>
      </c>
      <c r="D952" s="12">
        <v>44896</v>
      </c>
      <c r="E952" s="8">
        <v>84490.25</v>
      </c>
      <c r="F952" s="10">
        <f>IF(ISTEXT(Таблицаx_2[[#This Row],[Значение]]), 0, Таблицаx_2[[#This Row],[Значение]])</f>
        <v>84490.25</v>
      </c>
      <c r="G952" s="12">
        <v>45170</v>
      </c>
      <c r="H952" s="10" t="str">
        <f>IFERROR(VLOOKUP(Таблицаx_2[[#This Row],[id]],prolongations!A:C,2,)," ")</f>
        <v>сентябрь 2023</v>
      </c>
      <c r="I952" s="10">
        <f>IF(Таблицаx_2[[#This Row],[Месяц окончания]]=Таблицаx_2[[#This Row],[Месяц]],Таблицаx_2[[#This Row],[Значения числа]],0)</f>
        <v>0</v>
      </c>
      <c r="J952" s="8">
        <f>IF(AND(Таблицаx_2[[#This Row],[Месяц окончания]]=Таблицаx_2[[#This Row],[Месяц]],Таблицаx_2[[#This Row],[id]]=A953,EDATE(Таблицаx_2[[#This Row],[Месяц]],1)=D953),F953,0)</f>
        <v>0</v>
      </c>
      <c r="K952" s="8">
        <f>IF(AND(Таблицаx_2[[#This Row],[Месяц окончания]]=Таблицаx_2[[#This Row],[Месяц]],Таблицаx_2[[#This Row],[id]]=A953,EDATE(Таблицаx_2[[#This Row],[Месяц]],2)=D953),F953,0)</f>
        <v>0</v>
      </c>
    </row>
    <row r="953" spans="1:11" ht="12.75" hidden="1" customHeight="1" x14ac:dyDescent="0.2">
      <c r="A953" s="8">
        <v>668</v>
      </c>
      <c r="B953" s="8" t="s">
        <v>47</v>
      </c>
      <c r="C953" s="8" t="s">
        <v>8</v>
      </c>
      <c r="D953" s="12">
        <v>44927</v>
      </c>
      <c r="E953" s="8">
        <v>79787.5</v>
      </c>
      <c r="F953" s="10">
        <f>IF(ISTEXT(Таблицаx_2[[#This Row],[Значение]]), 0, Таблицаx_2[[#This Row],[Значение]])</f>
        <v>79787.5</v>
      </c>
      <c r="G953" s="12">
        <v>45170</v>
      </c>
      <c r="H953" s="10" t="str">
        <f>IFERROR(VLOOKUP(Таблицаx_2[[#This Row],[id]],prolongations!A:C,2,)," ")</f>
        <v>сентябрь 2023</v>
      </c>
      <c r="I953" s="10">
        <f>IF(Таблицаx_2[[#This Row],[Месяц окончания]]=Таблицаx_2[[#This Row],[Месяц]],Таблицаx_2[[#This Row],[Значения числа]],0)</f>
        <v>0</v>
      </c>
      <c r="J953" s="8">
        <f>IF(AND(Таблицаx_2[[#This Row],[Месяц окончания]]=Таблицаx_2[[#This Row],[Месяц]],Таблицаx_2[[#This Row],[id]]=A954,EDATE(Таблицаx_2[[#This Row],[Месяц]],1)=D954),F954,0)</f>
        <v>0</v>
      </c>
      <c r="K953" s="8">
        <f>IF(AND(Таблицаx_2[[#This Row],[Месяц окончания]]=Таблицаx_2[[#This Row],[Месяц]],Таблицаx_2[[#This Row],[id]]=A954,EDATE(Таблицаx_2[[#This Row],[Месяц]],2)=D954),F954,0)</f>
        <v>0</v>
      </c>
    </row>
    <row r="954" spans="1:11" ht="12.75" hidden="1" customHeight="1" x14ac:dyDescent="0.2">
      <c r="A954" s="8">
        <v>668</v>
      </c>
      <c r="B954" s="8" t="s">
        <v>47</v>
      </c>
      <c r="C954" s="8" t="s">
        <v>8</v>
      </c>
      <c r="D954" s="12">
        <v>44958</v>
      </c>
      <c r="E954" s="8">
        <v>68172</v>
      </c>
      <c r="F954" s="10">
        <f>IF(ISTEXT(Таблицаx_2[[#This Row],[Значение]]), 0, Таблицаx_2[[#This Row],[Значение]])</f>
        <v>68172</v>
      </c>
      <c r="G954" s="12">
        <v>45170</v>
      </c>
      <c r="H954" s="10" t="str">
        <f>IFERROR(VLOOKUP(Таблицаx_2[[#This Row],[id]],prolongations!A:C,2,)," ")</f>
        <v>сентябрь 2023</v>
      </c>
      <c r="I954" s="10">
        <f>IF(Таблицаx_2[[#This Row],[Месяц окончания]]=Таблицаx_2[[#This Row],[Месяц]],Таблицаx_2[[#This Row],[Значения числа]],0)</f>
        <v>0</v>
      </c>
      <c r="J954" s="8">
        <f>IF(AND(Таблицаx_2[[#This Row],[Месяц окончания]]=Таблицаx_2[[#This Row],[Месяц]],Таблицаx_2[[#This Row],[id]]=A955,EDATE(Таблицаx_2[[#This Row],[Месяц]],1)=D955),F955,0)</f>
        <v>0</v>
      </c>
      <c r="K954" s="8">
        <f>IF(AND(Таблицаx_2[[#This Row],[Месяц окончания]]=Таблицаx_2[[#This Row],[Месяц]],Таблицаx_2[[#This Row],[id]]=A955,EDATE(Таблицаx_2[[#This Row],[Месяц]],2)=D955),F955,0)</f>
        <v>0</v>
      </c>
    </row>
    <row r="955" spans="1:11" ht="12.75" hidden="1" customHeight="1" x14ac:dyDescent="0.2">
      <c r="A955" s="8">
        <v>668</v>
      </c>
      <c r="B955" s="8" t="s">
        <v>47</v>
      </c>
      <c r="C955" s="8" t="s">
        <v>8</v>
      </c>
      <c r="D955" s="12">
        <v>44986</v>
      </c>
      <c r="E955" s="8">
        <v>70716.75</v>
      </c>
      <c r="F955" s="10">
        <f>IF(ISTEXT(Таблицаx_2[[#This Row],[Значение]]), 0, Таблицаx_2[[#This Row],[Значение]])</f>
        <v>70716.75</v>
      </c>
      <c r="G955" s="12">
        <v>45170</v>
      </c>
      <c r="H955" s="10" t="str">
        <f>IFERROR(VLOOKUP(Таблицаx_2[[#This Row],[id]],prolongations!A:C,2,)," ")</f>
        <v>сентябрь 2023</v>
      </c>
      <c r="I955" s="10">
        <f>IF(Таблицаx_2[[#This Row],[Месяц окончания]]=Таблицаx_2[[#This Row],[Месяц]],Таблицаx_2[[#This Row],[Значения числа]],0)</f>
        <v>0</v>
      </c>
      <c r="J955" s="8">
        <f>IF(AND(Таблицаx_2[[#This Row],[Месяц окончания]]=Таблицаx_2[[#This Row],[Месяц]],Таблицаx_2[[#This Row],[id]]=A956,EDATE(Таблицаx_2[[#This Row],[Месяц]],1)=D956),F956,0)</f>
        <v>0</v>
      </c>
      <c r="K955" s="8">
        <f>IF(AND(Таблицаx_2[[#This Row],[Месяц окончания]]=Таблицаx_2[[#This Row],[Месяц]],Таблицаx_2[[#This Row],[id]]=A956,EDATE(Таблицаx_2[[#This Row],[Месяц]],2)=D956),F956,0)</f>
        <v>0</v>
      </c>
    </row>
    <row r="956" spans="1:11" ht="12.75" hidden="1" customHeight="1" x14ac:dyDescent="0.2">
      <c r="A956" s="8">
        <v>668</v>
      </c>
      <c r="B956" s="8" t="s">
        <v>47</v>
      </c>
      <c r="C956" s="8" t="s">
        <v>8</v>
      </c>
      <c r="D956" s="12">
        <v>45017</v>
      </c>
      <c r="E956" s="8">
        <v>67463</v>
      </c>
      <c r="F956" s="10">
        <f>IF(ISTEXT(Таблицаx_2[[#This Row],[Значение]]), 0, Таблицаx_2[[#This Row],[Значение]])</f>
        <v>67463</v>
      </c>
      <c r="G956" s="12">
        <v>45170</v>
      </c>
      <c r="H956" s="10" t="str">
        <f>IFERROR(VLOOKUP(Таблицаx_2[[#This Row],[id]],prolongations!A:C,2,)," ")</f>
        <v>сентябрь 2023</v>
      </c>
      <c r="I956" s="10">
        <f>IF(Таблицаx_2[[#This Row],[Месяц окончания]]=Таблицаx_2[[#This Row],[Месяц]],Таблицаx_2[[#This Row],[Значения числа]],0)</f>
        <v>0</v>
      </c>
      <c r="J956" s="8">
        <f>IF(AND(Таблицаx_2[[#This Row],[Месяц окончания]]=Таблицаx_2[[#This Row],[Месяц]],Таблицаx_2[[#This Row],[id]]=A957,EDATE(Таблицаx_2[[#This Row],[Месяц]],1)=D957),F957,0)</f>
        <v>0</v>
      </c>
      <c r="K956" s="8">
        <f>IF(AND(Таблицаx_2[[#This Row],[Месяц окончания]]=Таблицаx_2[[#This Row],[Месяц]],Таблицаx_2[[#This Row],[id]]=A957,EDATE(Таблицаx_2[[#This Row],[Месяц]],2)=D957),F957,0)</f>
        <v>0</v>
      </c>
    </row>
    <row r="957" spans="1:11" ht="12.75" hidden="1" customHeight="1" x14ac:dyDescent="0.2">
      <c r="A957" s="8">
        <v>668</v>
      </c>
      <c r="B957" s="8" t="s">
        <v>47</v>
      </c>
      <c r="C957" s="8" t="s">
        <v>8</v>
      </c>
      <c r="D957" s="12">
        <v>45047</v>
      </c>
      <c r="E957" s="8">
        <v>76278</v>
      </c>
      <c r="F957" s="10">
        <f>IF(ISTEXT(Таблицаx_2[[#This Row],[Значение]]), 0, Таблицаx_2[[#This Row],[Значение]])</f>
        <v>76278</v>
      </c>
      <c r="G957" s="12">
        <v>45170</v>
      </c>
      <c r="H957" s="10" t="str">
        <f>IFERROR(VLOOKUP(Таблицаx_2[[#This Row],[id]],prolongations!A:C,2,)," ")</f>
        <v>сентябрь 2023</v>
      </c>
      <c r="I957" s="10">
        <f>IF(Таблицаx_2[[#This Row],[Месяц окончания]]=Таблицаx_2[[#This Row],[Месяц]],Таблицаx_2[[#This Row],[Значения числа]],0)</f>
        <v>0</v>
      </c>
      <c r="J957" s="8">
        <f>IF(AND(Таблицаx_2[[#This Row],[Месяц окончания]]=Таблицаx_2[[#This Row],[Месяц]],Таблицаx_2[[#This Row],[id]]=A958,EDATE(Таблицаx_2[[#This Row],[Месяц]],1)=D958),F958,0)</f>
        <v>0</v>
      </c>
      <c r="K957" s="8">
        <f>IF(AND(Таблицаx_2[[#This Row],[Месяц окончания]]=Таблицаx_2[[#This Row],[Месяц]],Таблицаx_2[[#This Row],[id]]=A958,EDATE(Таблицаx_2[[#This Row],[Месяц]],2)=D958),F958,0)</f>
        <v>0</v>
      </c>
    </row>
    <row r="958" spans="1:11" ht="12.75" hidden="1" customHeight="1" x14ac:dyDescent="0.2">
      <c r="A958" s="8">
        <v>668</v>
      </c>
      <c r="B958" s="8" t="s">
        <v>47</v>
      </c>
      <c r="C958" s="8" t="s">
        <v>8</v>
      </c>
      <c r="D958" s="12">
        <v>45078</v>
      </c>
      <c r="E958" s="8">
        <v>79066</v>
      </c>
      <c r="F958" s="10">
        <f>IF(ISTEXT(Таблицаx_2[[#This Row],[Значение]]), 0, Таблицаx_2[[#This Row],[Значение]])</f>
        <v>79066</v>
      </c>
      <c r="G958" s="12">
        <v>45170</v>
      </c>
      <c r="H958" s="10" t="str">
        <f>IFERROR(VLOOKUP(Таблицаx_2[[#This Row],[id]],prolongations!A:C,2,)," ")</f>
        <v>сентябрь 2023</v>
      </c>
      <c r="I958" s="10">
        <f>IF(Таблицаx_2[[#This Row],[Месяц окончания]]=Таблицаx_2[[#This Row],[Месяц]],Таблицаx_2[[#This Row],[Значения числа]],0)</f>
        <v>0</v>
      </c>
      <c r="J958" s="8">
        <f>IF(AND(Таблицаx_2[[#This Row],[Месяц окончания]]=Таблицаx_2[[#This Row],[Месяц]],Таблицаx_2[[#This Row],[id]]=A959,EDATE(Таблицаx_2[[#This Row],[Месяц]],1)=D959),F959,0)</f>
        <v>0</v>
      </c>
      <c r="K958" s="8">
        <f>IF(AND(Таблицаx_2[[#This Row],[Месяц окончания]]=Таблицаx_2[[#This Row],[Месяц]],Таблицаx_2[[#This Row],[id]]=A959,EDATE(Таблицаx_2[[#This Row],[Месяц]],2)=D959),F959,0)</f>
        <v>0</v>
      </c>
    </row>
    <row r="959" spans="1:11" ht="12.75" hidden="1" customHeight="1" x14ac:dyDescent="0.2">
      <c r="A959" s="8">
        <v>668</v>
      </c>
      <c r="B959" s="8" t="s">
        <v>47</v>
      </c>
      <c r="C959" s="8" t="s">
        <v>8</v>
      </c>
      <c r="D959" s="12">
        <v>45108</v>
      </c>
      <c r="E959" s="8">
        <v>81477.5</v>
      </c>
      <c r="F959" s="10">
        <f>IF(ISTEXT(Таблицаx_2[[#This Row],[Значение]]), 0, Таблицаx_2[[#This Row],[Значение]])</f>
        <v>81477.5</v>
      </c>
      <c r="G959" s="12">
        <v>45170</v>
      </c>
      <c r="H959" s="10" t="str">
        <f>IFERROR(VLOOKUP(Таблицаx_2[[#This Row],[id]],prolongations!A:C,2,)," ")</f>
        <v>сентябрь 2023</v>
      </c>
      <c r="I959" s="10">
        <f>IF(Таблицаx_2[[#This Row],[Месяц окончания]]=Таблицаx_2[[#This Row],[Месяц]],Таблицаx_2[[#This Row],[Значения числа]],0)</f>
        <v>0</v>
      </c>
      <c r="J959" s="8">
        <f>IF(AND(Таблицаx_2[[#This Row],[Месяц окончания]]=Таблицаx_2[[#This Row],[Месяц]],Таблицаx_2[[#This Row],[id]]=A960,EDATE(Таблицаx_2[[#This Row],[Месяц]],1)=D960),F960,0)</f>
        <v>0</v>
      </c>
      <c r="K959" s="8">
        <f>IF(AND(Таблицаx_2[[#This Row],[Месяц окончания]]=Таблицаx_2[[#This Row],[Месяц]],Таблицаx_2[[#This Row],[id]]=A960,EDATE(Таблицаx_2[[#This Row],[Месяц]],2)=D960),F960,0)</f>
        <v>0</v>
      </c>
    </row>
    <row r="960" spans="1:11" ht="12.75" hidden="1" customHeight="1" x14ac:dyDescent="0.2">
      <c r="A960" s="8">
        <v>668</v>
      </c>
      <c r="B960" s="8" t="s">
        <v>47</v>
      </c>
      <c r="C960" s="8" t="s">
        <v>8</v>
      </c>
      <c r="D960" s="12">
        <v>45139</v>
      </c>
      <c r="E960" s="8">
        <v>73912.5</v>
      </c>
      <c r="F960" s="10">
        <f>IF(ISTEXT(Таблицаx_2[[#This Row],[Значение]]), 0, Таблицаx_2[[#This Row],[Значение]])</f>
        <v>73912.5</v>
      </c>
      <c r="G960" s="12">
        <v>45170</v>
      </c>
      <c r="H960" s="10" t="str">
        <f>IFERROR(VLOOKUP(Таблицаx_2[[#This Row],[id]],prolongations!A:C,2,)," ")</f>
        <v>сентябрь 2023</v>
      </c>
      <c r="I960" s="10">
        <f>IF(Таблицаx_2[[#This Row],[Месяц окончания]]=Таблицаx_2[[#This Row],[Месяц]],Таблицаx_2[[#This Row],[Значения числа]],0)</f>
        <v>0</v>
      </c>
      <c r="J960" s="8">
        <f>IF(AND(Таблицаx_2[[#This Row],[Месяц окончания]]=Таблицаx_2[[#This Row],[Месяц]],Таблицаx_2[[#This Row],[id]]=A961,EDATE(Таблицаx_2[[#This Row],[Месяц]],1)=D961),F961,0)</f>
        <v>0</v>
      </c>
      <c r="K960" s="8">
        <f>IF(AND(Таблицаx_2[[#This Row],[Месяц окончания]]=Таблицаx_2[[#This Row],[Месяц]],Таблицаx_2[[#This Row],[id]]=A961,EDATE(Таблицаx_2[[#This Row],[Месяц]],2)=D961),F961,0)</f>
        <v>0</v>
      </c>
    </row>
    <row r="961" spans="1:11" ht="12.75" hidden="1" customHeight="1" x14ac:dyDescent="0.2">
      <c r="A961" s="8">
        <v>668</v>
      </c>
      <c r="B961" s="8" t="s">
        <v>47</v>
      </c>
      <c r="C961" s="8" t="s">
        <v>8</v>
      </c>
      <c r="D961" s="12">
        <v>45170</v>
      </c>
      <c r="E961" s="8">
        <v>70875</v>
      </c>
      <c r="F961" s="10">
        <f>IF(ISTEXT(Таблицаx_2[[#This Row],[Значение]]), 0, Таблицаx_2[[#This Row],[Значение]])</f>
        <v>70875</v>
      </c>
      <c r="G961" s="12">
        <v>45170</v>
      </c>
      <c r="H961" s="10" t="str">
        <f>IFERROR(VLOOKUP(Таблицаx_2[[#This Row],[id]],prolongations!A:C,2,)," ")</f>
        <v>сентябрь 2023</v>
      </c>
      <c r="I961" s="10">
        <f>IF(Таблицаx_2[[#This Row],[Месяц окончания]]=Таблицаx_2[[#This Row],[Месяц]],Таблицаx_2[[#This Row],[Значения числа]],0)</f>
        <v>70875</v>
      </c>
      <c r="J961" s="8">
        <f>IF(AND(Таблицаx_2[[#This Row],[Месяц окончания]]=Таблицаx_2[[#This Row],[Месяц]],Таблицаx_2[[#This Row],[id]]=A962,EDATE(Таблицаx_2[[#This Row],[Месяц]],1)=D962),F962,0)</f>
        <v>70875</v>
      </c>
      <c r="K961" s="8">
        <f>IF(AND(Таблицаx_2[[#This Row],[Месяц окончания]]=Таблицаx_2[[#This Row],[Месяц]],Таблицаx_2[[#This Row],[id]]=A962,EDATE(Таблицаx_2[[#This Row],[Месяц]],2)=D962),F962,0)</f>
        <v>0</v>
      </c>
    </row>
    <row r="962" spans="1:11" ht="12.75" hidden="1" customHeight="1" x14ac:dyDescent="0.2">
      <c r="A962" s="8">
        <v>668</v>
      </c>
      <c r="B962" s="8" t="s">
        <v>47</v>
      </c>
      <c r="C962" s="8" t="s">
        <v>8</v>
      </c>
      <c r="D962" s="12">
        <v>45200</v>
      </c>
      <c r="E962" s="8">
        <v>70875</v>
      </c>
      <c r="F962" s="10">
        <f>IF(ISTEXT(Таблицаx_2[[#This Row],[Значение]]), 0, Таблицаx_2[[#This Row],[Значение]])</f>
        <v>70875</v>
      </c>
      <c r="G962" s="12">
        <v>45170</v>
      </c>
      <c r="H962" s="10" t="str">
        <f>IFERROR(VLOOKUP(Таблицаx_2[[#This Row],[id]],prolongations!A:C,2,)," ")</f>
        <v>сентябрь 2023</v>
      </c>
      <c r="I962" s="10">
        <f>IF(Таблицаx_2[[#This Row],[Месяц окончания]]=Таблицаx_2[[#This Row],[Месяц]],Таблицаx_2[[#This Row],[Значения числа]],0)</f>
        <v>0</v>
      </c>
      <c r="J962" s="8">
        <f>IF(AND(Таблицаx_2[[#This Row],[Месяц окончания]]=Таблицаx_2[[#This Row],[Месяц]],Таблицаx_2[[#This Row],[id]]=A963,EDATE(Таблицаx_2[[#This Row],[Месяц]],1)=D963),F963,0)</f>
        <v>0</v>
      </c>
      <c r="K962" s="8">
        <f>IF(AND(Таблицаx_2[[#This Row],[Месяц окончания]]=Таблицаx_2[[#This Row],[Месяц]],Таблицаx_2[[#This Row],[id]]=A963,EDATE(Таблицаx_2[[#This Row],[Месяц]],2)=D963),F963,0)</f>
        <v>0</v>
      </c>
    </row>
    <row r="963" spans="1:11" ht="12.75" hidden="1" customHeight="1" x14ac:dyDescent="0.2">
      <c r="A963" s="8">
        <v>668</v>
      </c>
      <c r="B963" s="8" t="s">
        <v>47</v>
      </c>
      <c r="C963" s="8" t="s">
        <v>8</v>
      </c>
      <c r="D963" s="12">
        <v>45231</v>
      </c>
      <c r="E963" s="8">
        <v>70875</v>
      </c>
      <c r="F963" s="10">
        <f>IF(ISTEXT(Таблицаx_2[[#This Row],[Значение]]), 0, Таблицаx_2[[#This Row],[Значение]])</f>
        <v>70875</v>
      </c>
      <c r="G963" s="12">
        <v>45170</v>
      </c>
      <c r="H963" s="10" t="str">
        <f>IFERROR(VLOOKUP(Таблицаx_2[[#This Row],[id]],prolongations!A:C,2,)," ")</f>
        <v>сентябрь 2023</v>
      </c>
      <c r="I963" s="10">
        <f>IF(Таблицаx_2[[#This Row],[Месяц окончания]]=Таблицаx_2[[#This Row],[Месяц]],Таблицаx_2[[#This Row],[Значения числа]],0)</f>
        <v>0</v>
      </c>
      <c r="J963" s="8">
        <f>IF(AND(Таблицаx_2[[#This Row],[Месяц окончания]]=Таблицаx_2[[#This Row],[Месяц]],Таблицаx_2[[#This Row],[id]]=A964,EDATE(Таблицаx_2[[#This Row],[Месяц]],1)=D964),F964,0)</f>
        <v>0</v>
      </c>
      <c r="K963" s="8">
        <f>IF(AND(Таблицаx_2[[#This Row],[Месяц окончания]]=Таблицаx_2[[#This Row],[Месяц]],Таблицаx_2[[#This Row],[id]]=A964,EDATE(Таблицаx_2[[#This Row],[Месяц]],2)=D964),F964,0)</f>
        <v>0</v>
      </c>
    </row>
    <row r="964" spans="1:11" ht="12.75" hidden="1" customHeight="1" x14ac:dyDescent="0.2">
      <c r="A964" s="8">
        <v>668</v>
      </c>
      <c r="B964" s="8" t="s">
        <v>47</v>
      </c>
      <c r="C964" s="8" t="s">
        <v>8</v>
      </c>
      <c r="D964" s="12">
        <v>45261</v>
      </c>
      <c r="E964" s="8">
        <v>70875</v>
      </c>
      <c r="F964" s="10">
        <f>IF(ISTEXT(Таблицаx_2[[#This Row],[Значение]]), 0, Таблицаx_2[[#This Row],[Значение]])</f>
        <v>70875</v>
      </c>
      <c r="G964" s="12">
        <v>45170</v>
      </c>
      <c r="H964" s="10" t="str">
        <f>IFERROR(VLOOKUP(Таблицаx_2[[#This Row],[id]],prolongations!A:C,2,)," ")</f>
        <v>сентябрь 2023</v>
      </c>
      <c r="I964" s="10">
        <f>IF(Таблицаx_2[[#This Row],[Месяц окончания]]=Таблицаx_2[[#This Row],[Месяц]],Таблицаx_2[[#This Row],[Значения числа]],0)</f>
        <v>0</v>
      </c>
      <c r="J964" s="8">
        <f>IF(AND(Таблицаx_2[[#This Row],[Месяц окончания]]=Таблицаx_2[[#This Row],[Месяц]],Таблицаx_2[[#This Row],[id]]=A965,EDATE(Таблицаx_2[[#This Row],[Месяц]],1)=D965),F965,0)</f>
        <v>0</v>
      </c>
      <c r="K964" s="8">
        <f>IF(AND(Таблицаx_2[[#This Row],[Месяц окончания]]=Таблицаx_2[[#This Row],[Месяц]],Таблицаx_2[[#This Row],[id]]=A965,EDATE(Таблицаx_2[[#This Row],[Месяц]],2)=D965),F965,0)</f>
        <v>0</v>
      </c>
    </row>
    <row r="965" spans="1:11" ht="12.75" hidden="1" customHeight="1" x14ac:dyDescent="0.2">
      <c r="A965" s="8">
        <v>668</v>
      </c>
      <c r="B965" s="8" t="s">
        <v>47</v>
      </c>
      <c r="C965" s="8" t="s">
        <v>8</v>
      </c>
      <c r="D965" s="12">
        <v>45292</v>
      </c>
      <c r="E965" s="8">
        <v>70875</v>
      </c>
      <c r="F965" s="10">
        <f>IF(ISTEXT(Таблицаx_2[[#This Row],[Значение]]), 0, Таблицаx_2[[#This Row],[Значение]])</f>
        <v>70875</v>
      </c>
      <c r="G965" s="12">
        <v>45170</v>
      </c>
      <c r="H965" s="10" t="str">
        <f>IFERROR(VLOOKUP(Таблицаx_2[[#This Row],[id]],prolongations!A:C,2,)," ")</f>
        <v>сентябрь 2023</v>
      </c>
      <c r="I965" s="10">
        <f>IF(Таблицаx_2[[#This Row],[Месяц окончания]]=Таблицаx_2[[#This Row],[Месяц]],Таблицаx_2[[#This Row],[Значения числа]],0)</f>
        <v>0</v>
      </c>
      <c r="J965" s="8">
        <f>IF(AND(Таблицаx_2[[#This Row],[Месяц окончания]]=Таблицаx_2[[#This Row],[Месяц]],Таблицаx_2[[#This Row],[id]]=A966,EDATE(Таблицаx_2[[#This Row],[Месяц]],1)=D966),F966,0)</f>
        <v>0</v>
      </c>
      <c r="K965" s="8">
        <f>IF(AND(Таблицаx_2[[#This Row],[Месяц окончания]]=Таблицаx_2[[#This Row],[Месяц]],Таблицаx_2[[#This Row],[id]]=A966,EDATE(Таблицаx_2[[#This Row],[Месяц]],2)=D966),F966,0)</f>
        <v>0</v>
      </c>
    </row>
    <row r="966" spans="1:11" ht="12.75" hidden="1" customHeight="1" x14ac:dyDescent="0.2">
      <c r="A966" s="8">
        <v>668</v>
      </c>
      <c r="B966" s="8" t="s">
        <v>47</v>
      </c>
      <c r="C966" s="8" t="s">
        <v>8</v>
      </c>
      <c r="D966" s="12">
        <v>45323</v>
      </c>
      <c r="E966" s="8">
        <v>70875</v>
      </c>
      <c r="F966" s="10">
        <f>IF(ISTEXT(Таблицаx_2[[#This Row],[Значение]]), 0, Таблицаx_2[[#This Row],[Значение]])</f>
        <v>70875</v>
      </c>
      <c r="G966" s="12">
        <v>45170</v>
      </c>
      <c r="H966" s="10" t="str">
        <f>IFERROR(VLOOKUP(Таблицаx_2[[#This Row],[id]],prolongations!A:C,2,)," ")</f>
        <v>сентябрь 2023</v>
      </c>
      <c r="I966" s="10">
        <f>IF(Таблицаx_2[[#This Row],[Месяц окончания]]=Таблицаx_2[[#This Row],[Месяц]],Таблицаx_2[[#This Row],[Значения числа]],0)</f>
        <v>0</v>
      </c>
      <c r="J966" s="8">
        <f>IF(AND(Таблицаx_2[[#This Row],[Месяц окончания]]=Таблицаx_2[[#This Row],[Месяц]],Таблицаx_2[[#This Row],[id]]=A967,EDATE(Таблицаx_2[[#This Row],[Месяц]],1)=D967),F967,0)</f>
        <v>0</v>
      </c>
      <c r="K966" s="8">
        <f>IF(AND(Таблицаx_2[[#This Row],[Месяц окончания]]=Таблицаx_2[[#This Row],[Месяц]],Таблицаx_2[[#This Row],[id]]=A967,EDATE(Таблицаx_2[[#This Row],[Месяц]],2)=D967),F967,0)</f>
        <v>0</v>
      </c>
    </row>
    <row r="967" spans="1:11" ht="12.75" hidden="1" customHeight="1" x14ac:dyDescent="0.2">
      <c r="A967" s="8">
        <v>821</v>
      </c>
      <c r="B967" s="8" t="s">
        <v>45</v>
      </c>
      <c r="C967" s="8" t="s">
        <v>8</v>
      </c>
      <c r="D967" s="12">
        <v>44986</v>
      </c>
      <c r="E967" s="8">
        <v>101230</v>
      </c>
      <c r="F967" s="10">
        <f>IF(ISTEXT(Таблицаx_2[[#This Row],[Значение]]), 0, Таблицаx_2[[#This Row],[Значение]])</f>
        <v>101230</v>
      </c>
      <c r="G967" s="12">
        <v>45170</v>
      </c>
      <c r="H967" s="10" t="str">
        <f>IFERROR(VLOOKUP(Таблицаx_2[[#This Row],[id]],prolongations!A:C,2,)," ")</f>
        <v>сентябрь 2023</v>
      </c>
      <c r="I967" s="10">
        <f>IF(Таблицаx_2[[#This Row],[Месяц окончания]]=Таблицаx_2[[#This Row],[Месяц]],Таблицаx_2[[#This Row],[Значения числа]],0)</f>
        <v>0</v>
      </c>
      <c r="J967" s="8">
        <f>IF(AND(Таблицаx_2[[#This Row],[Месяц окончания]]=Таблицаx_2[[#This Row],[Месяц]],Таблицаx_2[[#This Row],[id]]=A968,EDATE(Таблицаx_2[[#This Row],[Месяц]],1)=D968),F968,0)</f>
        <v>0</v>
      </c>
      <c r="K967" s="8">
        <f>IF(AND(Таблицаx_2[[#This Row],[Месяц окончания]]=Таблицаx_2[[#This Row],[Месяц]],Таблицаx_2[[#This Row],[id]]=A968,EDATE(Таблицаx_2[[#This Row],[Месяц]],2)=D968),F968,0)</f>
        <v>0</v>
      </c>
    </row>
    <row r="968" spans="1:11" ht="12.75" hidden="1" customHeight="1" x14ac:dyDescent="0.2">
      <c r="A968" s="8">
        <v>821</v>
      </c>
      <c r="B968" s="8" t="s">
        <v>45</v>
      </c>
      <c r="C968" s="8" t="s">
        <v>8</v>
      </c>
      <c r="D968" s="12">
        <v>45017</v>
      </c>
      <c r="E968" s="8">
        <v>101230</v>
      </c>
      <c r="F968" s="10">
        <f>IF(ISTEXT(Таблицаx_2[[#This Row],[Значение]]), 0, Таблицаx_2[[#This Row],[Значение]])</f>
        <v>101230</v>
      </c>
      <c r="G968" s="12">
        <v>45170</v>
      </c>
      <c r="H968" s="10" t="str">
        <f>IFERROR(VLOOKUP(Таблицаx_2[[#This Row],[id]],prolongations!A:C,2,)," ")</f>
        <v>сентябрь 2023</v>
      </c>
      <c r="I968" s="10">
        <f>IF(Таблицаx_2[[#This Row],[Месяц окончания]]=Таблицаx_2[[#This Row],[Месяц]],Таблицаx_2[[#This Row],[Значения числа]],0)</f>
        <v>0</v>
      </c>
      <c r="J968" s="8">
        <f>IF(AND(Таблицаx_2[[#This Row],[Месяц окончания]]=Таблицаx_2[[#This Row],[Месяц]],Таблицаx_2[[#This Row],[id]]=A969,EDATE(Таблицаx_2[[#This Row],[Месяц]],1)=D969),F969,0)</f>
        <v>0</v>
      </c>
      <c r="K968" s="8">
        <f>IF(AND(Таблицаx_2[[#This Row],[Месяц окончания]]=Таблицаx_2[[#This Row],[Месяц]],Таблицаx_2[[#This Row],[id]]=A969,EDATE(Таблицаx_2[[#This Row],[Месяц]],2)=D969),F969,0)</f>
        <v>0</v>
      </c>
    </row>
    <row r="969" spans="1:11" ht="12.75" hidden="1" customHeight="1" x14ac:dyDescent="0.2">
      <c r="A969" s="8">
        <v>821</v>
      </c>
      <c r="B969" s="8" t="s">
        <v>45</v>
      </c>
      <c r="C969" s="8" t="s">
        <v>8</v>
      </c>
      <c r="D969" s="12">
        <v>45047</v>
      </c>
      <c r="E969" s="8">
        <v>101230</v>
      </c>
      <c r="F969" s="10">
        <f>IF(ISTEXT(Таблицаx_2[[#This Row],[Значение]]), 0, Таблицаx_2[[#This Row],[Значение]])</f>
        <v>101230</v>
      </c>
      <c r="G969" s="12">
        <v>45170</v>
      </c>
      <c r="H969" s="10" t="str">
        <f>IFERROR(VLOOKUP(Таблицаx_2[[#This Row],[id]],prolongations!A:C,2,)," ")</f>
        <v>сентябрь 2023</v>
      </c>
      <c r="I969" s="10">
        <f>IF(Таблицаx_2[[#This Row],[Месяц окончания]]=Таблицаx_2[[#This Row],[Месяц]],Таблицаx_2[[#This Row],[Значения числа]],0)</f>
        <v>0</v>
      </c>
      <c r="J969" s="8">
        <f>IF(AND(Таблицаx_2[[#This Row],[Месяц окончания]]=Таблицаx_2[[#This Row],[Месяц]],Таблицаx_2[[#This Row],[id]]=A970,EDATE(Таблицаx_2[[#This Row],[Месяц]],1)=D970),F970,0)</f>
        <v>0</v>
      </c>
      <c r="K969" s="8">
        <f>IF(AND(Таблицаx_2[[#This Row],[Месяц окончания]]=Таблицаx_2[[#This Row],[Месяц]],Таблицаx_2[[#This Row],[id]]=A970,EDATE(Таблицаx_2[[#This Row],[Месяц]],2)=D970),F970,0)</f>
        <v>0</v>
      </c>
    </row>
    <row r="970" spans="1:11" ht="12.75" hidden="1" customHeight="1" x14ac:dyDescent="0.2">
      <c r="A970" s="8">
        <v>821</v>
      </c>
      <c r="B970" s="8" t="s">
        <v>45</v>
      </c>
      <c r="C970" s="8" t="s">
        <v>8</v>
      </c>
      <c r="D970" s="12">
        <v>45078</v>
      </c>
      <c r="E970" s="8">
        <v>101230</v>
      </c>
      <c r="F970" s="10">
        <f>IF(ISTEXT(Таблицаx_2[[#This Row],[Значение]]), 0, Таблицаx_2[[#This Row],[Значение]])</f>
        <v>101230</v>
      </c>
      <c r="G970" s="12">
        <v>45170</v>
      </c>
      <c r="H970" s="10" t="str">
        <f>IFERROR(VLOOKUP(Таблицаx_2[[#This Row],[id]],prolongations!A:C,2,)," ")</f>
        <v>сентябрь 2023</v>
      </c>
      <c r="I970" s="10">
        <f>IF(Таблицаx_2[[#This Row],[Месяц окончания]]=Таблицаx_2[[#This Row],[Месяц]],Таблицаx_2[[#This Row],[Значения числа]],0)</f>
        <v>0</v>
      </c>
      <c r="J970" s="8">
        <f>IF(AND(Таблицаx_2[[#This Row],[Месяц окончания]]=Таблицаx_2[[#This Row],[Месяц]],Таблицаx_2[[#This Row],[id]]=A971,EDATE(Таблицаx_2[[#This Row],[Месяц]],1)=D971),F971,0)</f>
        <v>0</v>
      </c>
      <c r="K970" s="8">
        <f>IF(AND(Таблицаx_2[[#This Row],[Месяц окончания]]=Таблицаx_2[[#This Row],[Месяц]],Таблицаx_2[[#This Row],[id]]=A971,EDATE(Таблицаx_2[[#This Row],[Месяц]],2)=D971),F971,0)</f>
        <v>0</v>
      </c>
    </row>
    <row r="971" spans="1:11" ht="12.75" hidden="1" customHeight="1" x14ac:dyDescent="0.2">
      <c r="A971" s="8">
        <v>821</v>
      </c>
      <c r="B971" s="8" t="s">
        <v>45</v>
      </c>
      <c r="C971" s="8" t="s">
        <v>8</v>
      </c>
      <c r="D971" s="12">
        <v>45108</v>
      </c>
      <c r="E971" s="8">
        <v>101230</v>
      </c>
      <c r="F971" s="10">
        <f>IF(ISTEXT(Таблицаx_2[[#This Row],[Значение]]), 0, Таблицаx_2[[#This Row],[Значение]])</f>
        <v>101230</v>
      </c>
      <c r="G971" s="12">
        <v>45170</v>
      </c>
      <c r="H971" s="10" t="str">
        <f>IFERROR(VLOOKUP(Таблицаx_2[[#This Row],[id]],prolongations!A:C,2,)," ")</f>
        <v>сентябрь 2023</v>
      </c>
      <c r="I971" s="10">
        <f>IF(Таблицаx_2[[#This Row],[Месяц окончания]]=Таблицаx_2[[#This Row],[Месяц]],Таблицаx_2[[#This Row],[Значения числа]],0)</f>
        <v>0</v>
      </c>
      <c r="J971" s="8">
        <f>IF(AND(Таблицаx_2[[#This Row],[Месяц окончания]]=Таблицаx_2[[#This Row],[Месяц]],Таблицаx_2[[#This Row],[id]]=A972,EDATE(Таблицаx_2[[#This Row],[Месяц]],1)=D972),F972,0)</f>
        <v>0</v>
      </c>
      <c r="K971" s="8">
        <f>IF(AND(Таблицаx_2[[#This Row],[Месяц окончания]]=Таблицаx_2[[#This Row],[Месяц]],Таблицаx_2[[#This Row],[id]]=A972,EDATE(Таблицаx_2[[#This Row],[Месяц]],2)=D972),F972,0)</f>
        <v>0</v>
      </c>
    </row>
    <row r="972" spans="1:11" ht="12.75" hidden="1" customHeight="1" x14ac:dyDescent="0.2">
      <c r="A972" s="8">
        <v>821</v>
      </c>
      <c r="B972" s="8" t="s">
        <v>45</v>
      </c>
      <c r="C972" s="8" t="s">
        <v>8</v>
      </c>
      <c r="D972" s="12">
        <v>45139</v>
      </c>
      <c r="E972" s="8">
        <v>101230</v>
      </c>
      <c r="F972" s="10">
        <f>IF(ISTEXT(Таблицаx_2[[#This Row],[Значение]]), 0, Таблицаx_2[[#This Row],[Значение]])</f>
        <v>101230</v>
      </c>
      <c r="G972" s="12">
        <v>45170</v>
      </c>
      <c r="H972" s="10" t="str">
        <f>IFERROR(VLOOKUP(Таблицаx_2[[#This Row],[id]],prolongations!A:C,2,)," ")</f>
        <v>сентябрь 2023</v>
      </c>
      <c r="I972" s="10">
        <f>IF(Таблицаx_2[[#This Row],[Месяц окончания]]=Таблицаx_2[[#This Row],[Месяц]],Таблицаx_2[[#This Row],[Значения числа]],0)</f>
        <v>0</v>
      </c>
      <c r="J972" s="8">
        <f>IF(AND(Таблицаx_2[[#This Row],[Месяц окончания]]=Таблицаx_2[[#This Row],[Месяц]],Таблицаx_2[[#This Row],[id]]=A973,EDATE(Таблицаx_2[[#This Row],[Месяц]],1)=D973),F973,0)</f>
        <v>0</v>
      </c>
      <c r="K972" s="8">
        <f>IF(AND(Таблицаx_2[[#This Row],[Месяц окончания]]=Таблицаx_2[[#This Row],[Месяц]],Таблицаx_2[[#This Row],[id]]=A973,EDATE(Таблицаx_2[[#This Row],[Месяц]],2)=D973),F973,0)</f>
        <v>0</v>
      </c>
    </row>
    <row r="973" spans="1:11" ht="12.75" hidden="1" customHeight="1" x14ac:dyDescent="0.2">
      <c r="A973" s="8">
        <v>821</v>
      </c>
      <c r="B973" s="8" t="s">
        <v>45</v>
      </c>
      <c r="C973" s="8" t="s">
        <v>8</v>
      </c>
      <c r="D973" s="12">
        <v>45170</v>
      </c>
      <c r="E973" s="8">
        <v>101230</v>
      </c>
      <c r="F973" s="10">
        <f>IF(ISTEXT(Таблицаx_2[[#This Row],[Значение]]), 0, Таблицаx_2[[#This Row],[Значение]])</f>
        <v>101230</v>
      </c>
      <c r="G973" s="12">
        <v>45170</v>
      </c>
      <c r="H973" s="10" t="str">
        <f>IFERROR(VLOOKUP(Таблицаx_2[[#This Row],[id]],prolongations!A:C,2,)," ")</f>
        <v>сентябрь 2023</v>
      </c>
      <c r="I973" s="10">
        <f>IF(Таблицаx_2[[#This Row],[Месяц окончания]]=Таблицаx_2[[#This Row],[Месяц]],Таблицаx_2[[#This Row],[Значения числа]],0)</f>
        <v>101230</v>
      </c>
      <c r="J973" s="8">
        <f>IF(AND(Таблицаx_2[[#This Row],[Месяц окончания]]=Таблицаx_2[[#This Row],[Месяц]],Таблицаx_2[[#This Row],[id]]=A974,EDATE(Таблицаx_2[[#This Row],[Месяц]],1)=D974),F974,0)</f>
        <v>107821.2</v>
      </c>
      <c r="K973" s="8">
        <f>IF(AND(Таблицаx_2[[#This Row],[Месяц окончания]]=Таблицаx_2[[#This Row],[Месяц]],Таблицаx_2[[#This Row],[id]]=A974,EDATE(Таблицаx_2[[#This Row],[Месяц]],2)=D974),F974,0)</f>
        <v>0</v>
      </c>
    </row>
    <row r="974" spans="1:11" ht="12.75" hidden="1" customHeight="1" x14ac:dyDescent="0.2">
      <c r="A974" s="8">
        <v>821</v>
      </c>
      <c r="B974" s="8" t="s">
        <v>45</v>
      </c>
      <c r="C974" s="8" t="s">
        <v>8</v>
      </c>
      <c r="D974" s="12">
        <v>45200</v>
      </c>
      <c r="E974" s="8">
        <v>107821.2</v>
      </c>
      <c r="F974" s="10">
        <f>IF(ISTEXT(Таблицаx_2[[#This Row],[Значение]]), 0, Таблицаx_2[[#This Row],[Значение]])</f>
        <v>107821.2</v>
      </c>
      <c r="G974" s="12">
        <v>45170</v>
      </c>
      <c r="H974" s="10" t="str">
        <f>IFERROR(VLOOKUP(Таблицаx_2[[#This Row],[id]],prolongations!A:C,2,)," ")</f>
        <v>сентябрь 2023</v>
      </c>
      <c r="I974" s="10">
        <f>IF(Таблицаx_2[[#This Row],[Месяц окончания]]=Таблицаx_2[[#This Row],[Месяц]],Таблицаx_2[[#This Row],[Значения числа]],0)</f>
        <v>0</v>
      </c>
      <c r="J974" s="8">
        <f>IF(AND(Таблицаx_2[[#This Row],[Месяц окончания]]=Таблицаx_2[[#This Row],[Месяц]],Таблицаx_2[[#This Row],[id]]=A975,EDATE(Таблицаx_2[[#This Row],[Месяц]],1)=D975),F975,0)</f>
        <v>0</v>
      </c>
      <c r="K974" s="8">
        <f>IF(AND(Таблицаx_2[[#This Row],[Месяц окончания]]=Таблицаx_2[[#This Row],[Месяц]],Таблицаx_2[[#This Row],[id]]=A975,EDATE(Таблицаx_2[[#This Row],[Месяц]],2)=D975),F975,0)</f>
        <v>0</v>
      </c>
    </row>
    <row r="975" spans="1:11" ht="12.75" hidden="1" customHeight="1" x14ac:dyDescent="0.2">
      <c r="A975" s="8">
        <v>821</v>
      </c>
      <c r="B975" s="8" t="s">
        <v>45</v>
      </c>
      <c r="C975" s="8" t="s">
        <v>8</v>
      </c>
      <c r="D975" s="12">
        <v>45231</v>
      </c>
      <c r="E975" s="8">
        <v>106491.2</v>
      </c>
      <c r="F975" s="10">
        <f>IF(ISTEXT(Таблицаx_2[[#This Row],[Значение]]), 0, Таблицаx_2[[#This Row],[Значение]])</f>
        <v>106491.2</v>
      </c>
      <c r="G975" s="12">
        <v>45170</v>
      </c>
      <c r="H975" s="10" t="str">
        <f>IFERROR(VLOOKUP(Таблицаx_2[[#This Row],[id]],prolongations!A:C,2,)," ")</f>
        <v>сентябрь 2023</v>
      </c>
      <c r="I975" s="10">
        <f>IF(Таблицаx_2[[#This Row],[Месяц окончания]]=Таблицаx_2[[#This Row],[Месяц]],Таблицаx_2[[#This Row],[Значения числа]],0)</f>
        <v>0</v>
      </c>
      <c r="J975" s="8">
        <f>IF(AND(Таблицаx_2[[#This Row],[Месяц окончания]]=Таблицаx_2[[#This Row],[Месяц]],Таблицаx_2[[#This Row],[id]]=A976,EDATE(Таблицаx_2[[#This Row],[Месяц]],1)=D976),F976,0)</f>
        <v>0</v>
      </c>
      <c r="K975" s="8">
        <f>IF(AND(Таблицаx_2[[#This Row],[Месяц окончания]]=Таблицаx_2[[#This Row],[Месяц]],Таблицаx_2[[#This Row],[id]]=A976,EDATE(Таблицаx_2[[#This Row],[Месяц]],2)=D976),F976,0)</f>
        <v>0</v>
      </c>
    </row>
    <row r="976" spans="1:11" ht="12.75" hidden="1" customHeight="1" x14ac:dyDescent="0.2">
      <c r="A976" s="8">
        <v>821</v>
      </c>
      <c r="B976" s="8" t="s">
        <v>45</v>
      </c>
      <c r="C976" s="8" t="s">
        <v>8</v>
      </c>
      <c r="D976" s="12">
        <v>45261</v>
      </c>
      <c r="E976" s="8">
        <v>106491.2</v>
      </c>
      <c r="F976" s="10">
        <f>IF(ISTEXT(Таблицаx_2[[#This Row],[Значение]]), 0, Таблицаx_2[[#This Row],[Значение]])</f>
        <v>106491.2</v>
      </c>
      <c r="G976" s="12">
        <v>45170</v>
      </c>
      <c r="H976" s="10" t="str">
        <f>IFERROR(VLOOKUP(Таблицаx_2[[#This Row],[id]],prolongations!A:C,2,)," ")</f>
        <v>сентябрь 2023</v>
      </c>
      <c r="I976" s="10">
        <f>IF(Таблицаx_2[[#This Row],[Месяц окончания]]=Таблицаx_2[[#This Row],[Месяц]],Таблицаx_2[[#This Row],[Значения числа]],0)</f>
        <v>0</v>
      </c>
      <c r="J976" s="8">
        <f>IF(AND(Таблицаx_2[[#This Row],[Месяц окончания]]=Таблицаx_2[[#This Row],[Месяц]],Таблицаx_2[[#This Row],[id]]=A977,EDATE(Таблицаx_2[[#This Row],[Месяц]],1)=D977),F977,0)</f>
        <v>0</v>
      </c>
      <c r="K976" s="8">
        <f>IF(AND(Таблицаx_2[[#This Row],[Месяц окончания]]=Таблицаx_2[[#This Row],[Месяц]],Таблицаx_2[[#This Row],[id]]=A977,EDATE(Таблицаx_2[[#This Row],[Месяц]],2)=D977),F977,0)</f>
        <v>0</v>
      </c>
    </row>
    <row r="977" spans="1:11" ht="12.75" hidden="1" customHeight="1" x14ac:dyDescent="0.2">
      <c r="A977" s="8">
        <v>821</v>
      </c>
      <c r="B977" s="8" t="s">
        <v>45</v>
      </c>
      <c r="C977" s="8" t="s">
        <v>8</v>
      </c>
      <c r="D977" s="12">
        <v>45292</v>
      </c>
      <c r="E977" s="8">
        <v>106491.2</v>
      </c>
      <c r="F977" s="10">
        <f>IF(ISTEXT(Таблицаx_2[[#This Row],[Значение]]), 0, Таблицаx_2[[#This Row],[Значение]])</f>
        <v>106491.2</v>
      </c>
      <c r="G977" s="12">
        <v>45170</v>
      </c>
      <c r="H977" s="10" t="str">
        <f>IFERROR(VLOOKUP(Таблицаx_2[[#This Row],[id]],prolongations!A:C,2,)," ")</f>
        <v>сентябрь 2023</v>
      </c>
      <c r="I977" s="10">
        <f>IF(Таблицаx_2[[#This Row],[Месяц окончания]]=Таблицаx_2[[#This Row],[Месяц]],Таблицаx_2[[#This Row],[Значения числа]],0)</f>
        <v>0</v>
      </c>
      <c r="J977" s="8">
        <f>IF(AND(Таблицаx_2[[#This Row],[Месяц окончания]]=Таблицаx_2[[#This Row],[Месяц]],Таблицаx_2[[#This Row],[id]]=A978,EDATE(Таблицаx_2[[#This Row],[Месяц]],1)=D978),F978,0)</f>
        <v>0</v>
      </c>
      <c r="K977" s="8">
        <f>IF(AND(Таблицаx_2[[#This Row],[Месяц окончания]]=Таблицаx_2[[#This Row],[Месяц]],Таблицаx_2[[#This Row],[id]]=A978,EDATE(Таблицаx_2[[#This Row],[Месяц]],2)=D978),F978,0)</f>
        <v>0</v>
      </c>
    </row>
    <row r="978" spans="1:11" ht="12.75" hidden="1" customHeight="1" x14ac:dyDescent="0.2">
      <c r="A978" s="8">
        <v>821</v>
      </c>
      <c r="B978" s="8" t="s">
        <v>45</v>
      </c>
      <c r="C978" s="8" t="s">
        <v>8</v>
      </c>
      <c r="D978" s="12">
        <v>45323</v>
      </c>
      <c r="E978" s="8">
        <v>106491.2</v>
      </c>
      <c r="F978" s="10">
        <f>IF(ISTEXT(Таблицаx_2[[#This Row],[Значение]]), 0, Таблицаx_2[[#This Row],[Значение]])</f>
        <v>106491.2</v>
      </c>
      <c r="G978" s="12">
        <v>45170</v>
      </c>
      <c r="H978" s="10" t="str">
        <f>IFERROR(VLOOKUP(Таблицаx_2[[#This Row],[id]],prolongations!A:C,2,)," ")</f>
        <v>сентябрь 2023</v>
      </c>
      <c r="I978" s="10">
        <f>IF(Таблицаx_2[[#This Row],[Месяц окончания]]=Таблицаx_2[[#This Row],[Месяц]],Таблицаx_2[[#This Row],[Значения числа]],0)</f>
        <v>0</v>
      </c>
      <c r="J978" s="8">
        <f>IF(AND(Таблицаx_2[[#This Row],[Месяц окончания]]=Таблицаx_2[[#This Row],[Месяц]],Таблицаx_2[[#This Row],[id]]=A979,EDATE(Таблицаx_2[[#This Row],[Месяц]],1)=D979),F979,0)</f>
        <v>0</v>
      </c>
      <c r="K978" s="8">
        <f>IF(AND(Таблицаx_2[[#This Row],[Месяц окончания]]=Таблицаx_2[[#This Row],[Месяц]],Таблицаx_2[[#This Row],[id]]=A979,EDATE(Таблицаx_2[[#This Row],[Месяц]],2)=D979),F979,0)</f>
        <v>0</v>
      </c>
    </row>
    <row r="979" spans="1:11" ht="12.75" hidden="1" customHeight="1" x14ac:dyDescent="0.2">
      <c r="A979" s="8">
        <v>821</v>
      </c>
      <c r="B979" s="8" t="s">
        <v>47</v>
      </c>
      <c r="C979" s="8" t="s">
        <v>8</v>
      </c>
      <c r="D979" s="12">
        <v>44986</v>
      </c>
      <c r="E979" s="8">
        <v>9150</v>
      </c>
      <c r="F979" s="10">
        <f>IF(ISTEXT(Таблицаx_2[[#This Row],[Значение]]), 0, Таблицаx_2[[#This Row],[Значение]])</f>
        <v>9150</v>
      </c>
      <c r="G979" s="12">
        <v>45170</v>
      </c>
      <c r="H979" s="10" t="str">
        <f>IFERROR(VLOOKUP(Таблицаx_2[[#This Row],[id]],prolongations!A:C,2,)," ")</f>
        <v>сентябрь 2023</v>
      </c>
      <c r="I979" s="10">
        <f>IF(Таблицаx_2[[#This Row],[Месяц окончания]]=Таблицаx_2[[#This Row],[Месяц]],Таблицаx_2[[#This Row],[Значения числа]],0)</f>
        <v>0</v>
      </c>
      <c r="J979" s="8">
        <f>IF(AND(Таблицаx_2[[#This Row],[Месяц окончания]]=Таблицаx_2[[#This Row],[Месяц]],Таблицаx_2[[#This Row],[id]]=A980,EDATE(Таблицаx_2[[#This Row],[Месяц]],1)=D980),F980,0)</f>
        <v>0</v>
      </c>
      <c r="K979" s="8">
        <f>IF(AND(Таблицаx_2[[#This Row],[Месяц окончания]]=Таблицаx_2[[#This Row],[Месяц]],Таблицаx_2[[#This Row],[id]]=A980,EDATE(Таблицаx_2[[#This Row],[Месяц]],2)=D980),F980,0)</f>
        <v>0</v>
      </c>
    </row>
    <row r="980" spans="1:11" ht="12.75" hidden="1" customHeight="1" x14ac:dyDescent="0.2">
      <c r="A980" s="8">
        <v>821</v>
      </c>
      <c r="B980" s="8" t="s">
        <v>47</v>
      </c>
      <c r="C980" s="8" t="s">
        <v>8</v>
      </c>
      <c r="D980" s="12">
        <v>45017</v>
      </c>
      <c r="E980" s="8">
        <v>9150</v>
      </c>
      <c r="F980" s="10">
        <f>IF(ISTEXT(Таблицаx_2[[#This Row],[Значение]]), 0, Таблицаx_2[[#This Row],[Значение]])</f>
        <v>9150</v>
      </c>
      <c r="G980" s="12">
        <v>45170</v>
      </c>
      <c r="H980" s="10" t="str">
        <f>IFERROR(VLOOKUP(Таблицаx_2[[#This Row],[id]],prolongations!A:C,2,)," ")</f>
        <v>сентябрь 2023</v>
      </c>
      <c r="I980" s="10">
        <f>IF(Таблицаx_2[[#This Row],[Месяц окончания]]=Таблицаx_2[[#This Row],[Месяц]],Таблицаx_2[[#This Row],[Значения числа]],0)</f>
        <v>0</v>
      </c>
      <c r="J980" s="8">
        <f>IF(AND(Таблицаx_2[[#This Row],[Месяц окончания]]=Таблицаx_2[[#This Row],[Месяц]],Таблицаx_2[[#This Row],[id]]=A981,EDATE(Таблицаx_2[[#This Row],[Месяц]],1)=D981),F981,0)</f>
        <v>0</v>
      </c>
      <c r="K980" s="8">
        <f>IF(AND(Таблицаx_2[[#This Row],[Месяц окончания]]=Таблицаx_2[[#This Row],[Месяц]],Таблицаx_2[[#This Row],[id]]=A981,EDATE(Таблицаx_2[[#This Row],[Месяц]],2)=D981),F981,0)</f>
        <v>0</v>
      </c>
    </row>
    <row r="981" spans="1:11" ht="12.75" hidden="1" customHeight="1" x14ac:dyDescent="0.2">
      <c r="A981" s="8">
        <v>821</v>
      </c>
      <c r="B981" s="8" t="s">
        <v>47</v>
      </c>
      <c r="C981" s="8" t="s">
        <v>8</v>
      </c>
      <c r="D981" s="12">
        <v>45047</v>
      </c>
      <c r="E981" s="8">
        <v>9150</v>
      </c>
      <c r="F981" s="10">
        <f>IF(ISTEXT(Таблицаx_2[[#This Row],[Значение]]), 0, Таблицаx_2[[#This Row],[Значение]])</f>
        <v>9150</v>
      </c>
      <c r="G981" s="12">
        <v>45170</v>
      </c>
      <c r="H981" s="10" t="str">
        <f>IFERROR(VLOOKUP(Таблицаx_2[[#This Row],[id]],prolongations!A:C,2,)," ")</f>
        <v>сентябрь 2023</v>
      </c>
      <c r="I981" s="10">
        <f>IF(Таблицаx_2[[#This Row],[Месяц окончания]]=Таблицаx_2[[#This Row],[Месяц]],Таблицаx_2[[#This Row],[Значения числа]],0)</f>
        <v>0</v>
      </c>
      <c r="J981" s="8">
        <f>IF(AND(Таблицаx_2[[#This Row],[Месяц окончания]]=Таблицаx_2[[#This Row],[Месяц]],Таблицаx_2[[#This Row],[id]]=A982,EDATE(Таблицаx_2[[#This Row],[Месяц]],1)=D982),F982,0)</f>
        <v>0</v>
      </c>
      <c r="K981" s="8">
        <f>IF(AND(Таблицаx_2[[#This Row],[Месяц окончания]]=Таблицаx_2[[#This Row],[Месяц]],Таблицаx_2[[#This Row],[id]]=A982,EDATE(Таблицаx_2[[#This Row],[Месяц]],2)=D982),F982,0)</f>
        <v>0</v>
      </c>
    </row>
    <row r="982" spans="1:11" ht="12.75" hidden="1" customHeight="1" x14ac:dyDescent="0.2">
      <c r="A982" s="8">
        <v>821</v>
      </c>
      <c r="B982" s="8" t="s">
        <v>47</v>
      </c>
      <c r="C982" s="8" t="s">
        <v>8</v>
      </c>
      <c r="D982" s="12">
        <v>45078</v>
      </c>
      <c r="E982" s="8">
        <v>9150</v>
      </c>
      <c r="F982" s="10">
        <f>IF(ISTEXT(Таблицаx_2[[#This Row],[Значение]]), 0, Таблицаx_2[[#This Row],[Значение]])</f>
        <v>9150</v>
      </c>
      <c r="G982" s="12">
        <v>45170</v>
      </c>
      <c r="H982" s="10" t="str">
        <f>IFERROR(VLOOKUP(Таблицаx_2[[#This Row],[id]],prolongations!A:C,2,)," ")</f>
        <v>сентябрь 2023</v>
      </c>
      <c r="I982" s="10">
        <f>IF(Таблицаx_2[[#This Row],[Месяц окончания]]=Таблицаx_2[[#This Row],[Месяц]],Таблицаx_2[[#This Row],[Значения числа]],0)</f>
        <v>0</v>
      </c>
      <c r="J982" s="8">
        <f>IF(AND(Таблицаx_2[[#This Row],[Месяц окончания]]=Таблицаx_2[[#This Row],[Месяц]],Таблицаx_2[[#This Row],[id]]=A983,EDATE(Таблицаx_2[[#This Row],[Месяц]],1)=D983),F983,0)</f>
        <v>0</v>
      </c>
      <c r="K982" s="8">
        <f>IF(AND(Таблицаx_2[[#This Row],[Месяц окончания]]=Таблицаx_2[[#This Row],[Месяц]],Таблицаx_2[[#This Row],[id]]=A983,EDATE(Таблицаx_2[[#This Row],[Месяц]],2)=D983),F983,0)</f>
        <v>0</v>
      </c>
    </row>
    <row r="983" spans="1:11" ht="12.75" hidden="1" customHeight="1" x14ac:dyDescent="0.2">
      <c r="A983" s="8">
        <v>821</v>
      </c>
      <c r="B983" s="8" t="s">
        <v>47</v>
      </c>
      <c r="C983" s="8" t="s">
        <v>8</v>
      </c>
      <c r="D983" s="12">
        <v>45108</v>
      </c>
      <c r="E983" s="8">
        <v>9150</v>
      </c>
      <c r="F983" s="10">
        <f>IF(ISTEXT(Таблицаx_2[[#This Row],[Значение]]), 0, Таблицаx_2[[#This Row],[Значение]])</f>
        <v>9150</v>
      </c>
      <c r="G983" s="12">
        <v>45170</v>
      </c>
      <c r="H983" s="10" t="str">
        <f>IFERROR(VLOOKUP(Таблицаx_2[[#This Row],[id]],prolongations!A:C,2,)," ")</f>
        <v>сентябрь 2023</v>
      </c>
      <c r="I983" s="10">
        <f>IF(Таблицаx_2[[#This Row],[Месяц окончания]]=Таблицаx_2[[#This Row],[Месяц]],Таблицаx_2[[#This Row],[Значения числа]],0)</f>
        <v>0</v>
      </c>
      <c r="J983" s="8">
        <f>IF(AND(Таблицаx_2[[#This Row],[Месяц окончания]]=Таблицаx_2[[#This Row],[Месяц]],Таблицаx_2[[#This Row],[id]]=A984,EDATE(Таблицаx_2[[#This Row],[Месяц]],1)=D984),F984,0)</f>
        <v>0</v>
      </c>
      <c r="K983" s="8">
        <f>IF(AND(Таблицаx_2[[#This Row],[Месяц окончания]]=Таблицаx_2[[#This Row],[Месяц]],Таблицаx_2[[#This Row],[id]]=A984,EDATE(Таблицаx_2[[#This Row],[Месяц]],2)=D984),F984,0)</f>
        <v>0</v>
      </c>
    </row>
    <row r="984" spans="1:11" ht="12.75" hidden="1" customHeight="1" x14ac:dyDescent="0.2">
      <c r="A984" s="8">
        <v>821</v>
      </c>
      <c r="B984" s="8" t="s">
        <v>47</v>
      </c>
      <c r="C984" s="8" t="s">
        <v>8</v>
      </c>
      <c r="D984" s="12">
        <v>45139</v>
      </c>
      <c r="E984" s="8">
        <v>9150</v>
      </c>
      <c r="F984" s="10">
        <f>IF(ISTEXT(Таблицаx_2[[#This Row],[Значение]]), 0, Таблицаx_2[[#This Row],[Значение]])</f>
        <v>9150</v>
      </c>
      <c r="G984" s="12">
        <v>45170</v>
      </c>
      <c r="H984" s="10" t="str">
        <f>IFERROR(VLOOKUP(Таблицаx_2[[#This Row],[id]],prolongations!A:C,2,)," ")</f>
        <v>сентябрь 2023</v>
      </c>
      <c r="I984" s="10">
        <f>IF(Таблицаx_2[[#This Row],[Месяц окончания]]=Таблицаx_2[[#This Row],[Месяц]],Таблицаx_2[[#This Row],[Значения числа]],0)</f>
        <v>0</v>
      </c>
      <c r="J984" s="8">
        <f>IF(AND(Таблицаx_2[[#This Row],[Месяц окончания]]=Таблицаx_2[[#This Row],[Месяц]],Таблицаx_2[[#This Row],[id]]=A985,EDATE(Таблицаx_2[[#This Row],[Месяц]],1)=D985),F985,0)</f>
        <v>0</v>
      </c>
      <c r="K984" s="8">
        <f>IF(AND(Таблицаx_2[[#This Row],[Месяц окончания]]=Таблицаx_2[[#This Row],[Месяц]],Таблицаx_2[[#This Row],[id]]=A985,EDATE(Таблицаx_2[[#This Row],[Месяц]],2)=D985),F985,0)</f>
        <v>0</v>
      </c>
    </row>
    <row r="985" spans="1:11" ht="12.75" hidden="1" customHeight="1" x14ac:dyDescent="0.2">
      <c r="A985" s="8">
        <v>821</v>
      </c>
      <c r="B985" s="8" t="s">
        <v>47</v>
      </c>
      <c r="C985" s="8" t="s">
        <v>8</v>
      </c>
      <c r="D985" s="12">
        <v>45170</v>
      </c>
      <c r="E985" s="8">
        <v>9150</v>
      </c>
      <c r="F985" s="10">
        <f>IF(ISTEXT(Таблицаx_2[[#This Row],[Значение]]), 0, Таблицаx_2[[#This Row],[Значение]])</f>
        <v>9150</v>
      </c>
      <c r="G985" s="12">
        <v>45170</v>
      </c>
      <c r="H985" s="10" t="str">
        <f>IFERROR(VLOOKUP(Таблицаx_2[[#This Row],[id]],prolongations!A:C,2,)," ")</f>
        <v>сентябрь 2023</v>
      </c>
      <c r="I985" s="10">
        <f>IF(Таблицаx_2[[#This Row],[Месяц окончания]]=Таблицаx_2[[#This Row],[Месяц]],Таблицаx_2[[#This Row],[Значения числа]],0)</f>
        <v>9150</v>
      </c>
      <c r="J985" s="8">
        <f>IF(AND(Таблицаx_2[[#This Row],[Месяц окончания]]=Таблицаx_2[[#This Row],[Месяц]],Таблицаx_2[[#This Row],[id]]=A986,EDATE(Таблицаx_2[[#This Row],[Месяц]],1)=D986),F986,0)</f>
        <v>0</v>
      </c>
      <c r="K985" s="8">
        <f>IF(AND(Таблицаx_2[[#This Row],[Месяц окончания]]=Таблицаx_2[[#This Row],[Месяц]],Таблицаx_2[[#This Row],[id]]=A986,EDATE(Таблицаx_2[[#This Row],[Месяц]],2)=D986),F986,0)</f>
        <v>0</v>
      </c>
    </row>
    <row r="986" spans="1:11" ht="12.75" hidden="1" customHeight="1" x14ac:dyDescent="0.2">
      <c r="A986" s="8">
        <v>921</v>
      </c>
      <c r="B986" s="8"/>
      <c r="C986" s="8" t="s">
        <v>10</v>
      </c>
      <c r="D986" s="12">
        <v>45078</v>
      </c>
      <c r="E986" s="8">
        <v>49035</v>
      </c>
      <c r="F986" s="10">
        <f>IF(ISTEXT(Таблицаx_2[[#This Row],[Значение]]), 0, Таблицаx_2[[#This Row],[Значение]])</f>
        <v>49035</v>
      </c>
      <c r="G986" s="12">
        <v>45170</v>
      </c>
      <c r="H986" s="10" t="str">
        <f>IFERROR(VLOOKUP(Таблицаx_2[[#This Row],[id]],prolongations!A:C,2,)," ")</f>
        <v>сентябрь 2023</v>
      </c>
      <c r="I986" s="10">
        <f>IF(Таблицаx_2[[#This Row],[Месяц окончания]]=Таблицаx_2[[#This Row],[Месяц]],Таблицаx_2[[#This Row],[Значения числа]],0)</f>
        <v>0</v>
      </c>
      <c r="J986" s="8">
        <f>IF(AND(Таблицаx_2[[#This Row],[Месяц окончания]]=Таблицаx_2[[#This Row],[Месяц]],Таблицаx_2[[#This Row],[id]]=A987,EDATE(Таблицаx_2[[#This Row],[Месяц]],1)=D987),F987,0)</f>
        <v>0</v>
      </c>
      <c r="K986" s="8">
        <f>IF(AND(Таблицаx_2[[#This Row],[Месяц окончания]]=Таблицаx_2[[#This Row],[Месяц]],Таблицаx_2[[#This Row],[id]]=A987,EDATE(Таблицаx_2[[#This Row],[Месяц]],2)=D987),F987,0)</f>
        <v>0</v>
      </c>
    </row>
    <row r="987" spans="1:11" ht="12.75" hidden="1" customHeight="1" x14ac:dyDescent="0.2">
      <c r="A987" s="8">
        <v>921</v>
      </c>
      <c r="B987" s="8"/>
      <c r="C987" s="8" t="s">
        <v>10</v>
      </c>
      <c r="D987" s="12">
        <v>45108</v>
      </c>
      <c r="E987" s="8">
        <v>49940</v>
      </c>
      <c r="F987" s="10">
        <f>IF(ISTEXT(Таблицаx_2[[#This Row],[Значение]]), 0, Таблицаx_2[[#This Row],[Значение]])</f>
        <v>49940</v>
      </c>
      <c r="G987" s="12">
        <v>45170</v>
      </c>
      <c r="H987" s="10" t="str">
        <f>IFERROR(VLOOKUP(Таблицаx_2[[#This Row],[id]],prolongations!A:C,2,)," ")</f>
        <v>сентябрь 2023</v>
      </c>
      <c r="I987" s="10">
        <f>IF(Таблицаx_2[[#This Row],[Месяц окончания]]=Таблицаx_2[[#This Row],[Месяц]],Таблицаx_2[[#This Row],[Значения числа]],0)</f>
        <v>0</v>
      </c>
      <c r="J987" s="8">
        <f>IF(AND(Таблицаx_2[[#This Row],[Месяц окончания]]=Таблицаx_2[[#This Row],[Месяц]],Таблицаx_2[[#This Row],[id]]=A988,EDATE(Таблицаx_2[[#This Row],[Месяц]],1)=D988),F988,0)</f>
        <v>0</v>
      </c>
      <c r="K987" s="8">
        <f>IF(AND(Таблицаx_2[[#This Row],[Месяц окончания]]=Таблицаx_2[[#This Row],[Месяц]],Таблицаx_2[[#This Row],[id]]=A988,EDATE(Таблицаx_2[[#This Row],[Месяц]],2)=D988),F988,0)</f>
        <v>0</v>
      </c>
    </row>
    <row r="988" spans="1:11" ht="12.75" hidden="1" customHeight="1" x14ac:dyDescent="0.2">
      <c r="A988" s="8">
        <v>921</v>
      </c>
      <c r="B988" s="8"/>
      <c r="C988" s="8" t="s">
        <v>10</v>
      </c>
      <c r="D988" s="12">
        <v>45139</v>
      </c>
      <c r="E988" s="8" t="s">
        <v>46</v>
      </c>
      <c r="F988" s="10">
        <f>IF(ISTEXT(Таблицаx_2[[#This Row],[Значение]]), 0, Таблицаx_2[[#This Row],[Значение]])</f>
        <v>0</v>
      </c>
      <c r="G988" s="12">
        <v>45170</v>
      </c>
      <c r="H988" s="10" t="str">
        <f>IFERROR(VLOOKUP(Таблицаx_2[[#This Row],[id]],prolongations!A:C,2,)," ")</f>
        <v>сентябрь 2023</v>
      </c>
      <c r="I988" s="10">
        <f>IF(Таблицаx_2[[#This Row],[Месяц окончания]]=Таблицаx_2[[#This Row],[Месяц]],Таблицаx_2[[#This Row],[Значения числа]],0)</f>
        <v>0</v>
      </c>
      <c r="J988" s="8">
        <f>IF(AND(Таблицаx_2[[#This Row],[Месяц окончания]]=Таблицаx_2[[#This Row],[Месяц]],Таблицаx_2[[#This Row],[id]]=A989,EDATE(Таблицаx_2[[#This Row],[Месяц]],1)=D989),F989,0)</f>
        <v>0</v>
      </c>
      <c r="K988" s="8">
        <f>IF(AND(Таблицаx_2[[#This Row],[Месяц окончания]]=Таблицаx_2[[#This Row],[Месяц]],Таблицаx_2[[#This Row],[id]]=A989,EDATE(Таблицаx_2[[#This Row],[Месяц]],2)=D989),F989,0)</f>
        <v>0</v>
      </c>
    </row>
    <row r="989" spans="1:11" ht="12.75" hidden="1" customHeight="1" x14ac:dyDescent="0.2">
      <c r="A989" s="8">
        <v>920</v>
      </c>
      <c r="B989" s="8" t="s">
        <v>45</v>
      </c>
      <c r="C989" s="8" t="s">
        <v>6</v>
      </c>
      <c r="D989" s="12">
        <v>45108</v>
      </c>
      <c r="E989" s="8">
        <v>19678.25</v>
      </c>
      <c r="F989" s="10">
        <f>IF(ISTEXT(Таблицаx_2[[#This Row],[Значение]]), 0, Таблицаx_2[[#This Row],[Значение]])</f>
        <v>19678.25</v>
      </c>
      <c r="G989" s="12">
        <v>45170</v>
      </c>
      <c r="H989" s="10" t="str">
        <f>IFERROR(VLOOKUP(Таблицаx_2[[#This Row],[id]],prolongations!A:C,2,)," ")</f>
        <v>сентябрь 2023</v>
      </c>
      <c r="I989" s="10">
        <f>IF(Таблицаx_2[[#This Row],[Месяц окончания]]=Таблицаx_2[[#This Row],[Месяц]],Таблицаx_2[[#This Row],[Значения числа]],0)</f>
        <v>0</v>
      </c>
      <c r="J989" s="8">
        <f>IF(AND(Таблицаx_2[[#This Row],[Месяц окончания]]=Таблицаx_2[[#This Row],[Месяц]],Таблицаx_2[[#This Row],[id]]=A990,EDATE(Таблицаx_2[[#This Row],[Месяц]],1)=D990),F990,0)</f>
        <v>0</v>
      </c>
      <c r="K989" s="8">
        <f>IF(AND(Таблицаx_2[[#This Row],[Месяц окончания]]=Таблицаx_2[[#This Row],[Месяц]],Таблицаx_2[[#This Row],[id]]=A990,EDATE(Таблицаx_2[[#This Row],[Месяц]],2)=D990),F990,0)</f>
        <v>0</v>
      </c>
    </row>
    <row r="990" spans="1:11" ht="12.75" hidden="1" customHeight="1" x14ac:dyDescent="0.2">
      <c r="A990" s="8">
        <v>920</v>
      </c>
      <c r="B990" s="8" t="s">
        <v>45</v>
      </c>
      <c r="C990" s="8" t="s">
        <v>6</v>
      </c>
      <c r="D990" s="12">
        <v>45139</v>
      </c>
      <c r="E990" s="8">
        <v>15678.25</v>
      </c>
      <c r="F990" s="10">
        <f>IF(ISTEXT(Таблицаx_2[[#This Row],[Значение]]), 0, Таблицаx_2[[#This Row],[Значение]])</f>
        <v>15678.25</v>
      </c>
      <c r="G990" s="12">
        <v>45170</v>
      </c>
      <c r="H990" s="10" t="str">
        <f>IFERROR(VLOOKUP(Таблицаx_2[[#This Row],[id]],prolongations!A:C,2,)," ")</f>
        <v>сентябрь 2023</v>
      </c>
      <c r="I990" s="10">
        <f>IF(Таблицаx_2[[#This Row],[Месяц окончания]]=Таблицаx_2[[#This Row],[Месяц]],Таблицаx_2[[#This Row],[Значения числа]],0)</f>
        <v>0</v>
      </c>
      <c r="J990" s="8">
        <f>IF(AND(Таблицаx_2[[#This Row],[Месяц окончания]]=Таблицаx_2[[#This Row],[Месяц]],Таблицаx_2[[#This Row],[id]]=A991,EDATE(Таблицаx_2[[#This Row],[Месяц]],1)=D991),F991,0)</f>
        <v>0</v>
      </c>
      <c r="K990" s="8">
        <f>IF(AND(Таблицаx_2[[#This Row],[Месяц окончания]]=Таблицаx_2[[#This Row],[Месяц]],Таблицаx_2[[#This Row],[id]]=A991,EDATE(Таблицаx_2[[#This Row],[Месяц]],2)=D991),F991,0)</f>
        <v>0</v>
      </c>
    </row>
    <row r="991" spans="1:11" ht="12.75" hidden="1" customHeight="1" x14ac:dyDescent="0.2">
      <c r="A991" s="8">
        <v>920</v>
      </c>
      <c r="B991" s="8" t="s">
        <v>45</v>
      </c>
      <c r="C991" s="8" t="s">
        <v>6</v>
      </c>
      <c r="D991" s="12">
        <v>45170</v>
      </c>
      <c r="E991" s="8">
        <v>15678.25</v>
      </c>
      <c r="F991" s="10">
        <f>IF(ISTEXT(Таблицаx_2[[#This Row],[Значение]]), 0, Таблицаx_2[[#This Row],[Значение]])</f>
        <v>15678.25</v>
      </c>
      <c r="G991" s="12">
        <v>45170</v>
      </c>
      <c r="H991" s="10" t="str">
        <f>IFERROR(VLOOKUP(Таблицаx_2[[#This Row],[id]],prolongations!A:C,2,)," ")</f>
        <v>сентябрь 2023</v>
      </c>
      <c r="I991" s="10">
        <f>IF(Таблицаx_2[[#This Row],[Месяц окончания]]=Таблицаx_2[[#This Row],[Месяц]],Таблицаx_2[[#This Row],[Значения числа]],0)</f>
        <v>15678.25</v>
      </c>
      <c r="J991" s="8">
        <f>IF(AND(Таблицаx_2[[#This Row],[Месяц окончания]]=Таблицаx_2[[#This Row],[Месяц]],Таблицаx_2[[#This Row],[id]]=A992,EDATE(Таблицаx_2[[#This Row],[Месяц]],1)=D992),F992,0)</f>
        <v>0</v>
      </c>
      <c r="K991" s="8">
        <f>IF(AND(Таблицаx_2[[#This Row],[Месяц окончания]]=Таблицаx_2[[#This Row],[Месяц]],Таблицаx_2[[#This Row],[id]]=A992,EDATE(Таблицаx_2[[#This Row],[Месяц]],2)=D992),F992,0)</f>
        <v>0</v>
      </c>
    </row>
    <row r="992" spans="1:11" ht="12.75" hidden="1" customHeight="1" x14ac:dyDescent="0.2">
      <c r="A992" s="8">
        <v>920</v>
      </c>
      <c r="B992" s="8" t="s">
        <v>47</v>
      </c>
      <c r="C992" s="8" t="s">
        <v>6</v>
      </c>
      <c r="D992" s="12">
        <v>45108</v>
      </c>
      <c r="E992" s="8">
        <v>915</v>
      </c>
      <c r="F992" s="10">
        <f>IF(ISTEXT(Таблицаx_2[[#This Row],[Значение]]), 0, Таблицаx_2[[#This Row],[Значение]])</f>
        <v>915</v>
      </c>
      <c r="G992" s="12">
        <v>45170</v>
      </c>
      <c r="H992" s="10" t="str">
        <f>IFERROR(VLOOKUP(Таблицаx_2[[#This Row],[id]],prolongations!A:C,2,)," ")</f>
        <v>сентябрь 2023</v>
      </c>
      <c r="I992" s="10">
        <f>IF(Таблицаx_2[[#This Row],[Месяц окончания]]=Таблицаx_2[[#This Row],[Месяц]],Таблицаx_2[[#This Row],[Значения числа]],0)</f>
        <v>0</v>
      </c>
      <c r="J992" s="8">
        <f>IF(AND(Таблицаx_2[[#This Row],[Месяц окончания]]=Таблицаx_2[[#This Row],[Месяц]],Таблицаx_2[[#This Row],[id]]=A993,EDATE(Таблицаx_2[[#This Row],[Месяц]],1)=D993),F993,0)</f>
        <v>0</v>
      </c>
      <c r="K992" s="8">
        <f>IF(AND(Таблицаx_2[[#This Row],[Месяц окончания]]=Таблицаx_2[[#This Row],[Месяц]],Таблицаx_2[[#This Row],[id]]=A993,EDATE(Таблицаx_2[[#This Row],[Месяц]],2)=D993),F993,0)</f>
        <v>0</v>
      </c>
    </row>
    <row r="993" spans="1:11" ht="12.75" hidden="1" customHeight="1" x14ac:dyDescent="0.2">
      <c r="A993" s="8">
        <v>920</v>
      </c>
      <c r="B993" s="8" t="s">
        <v>47</v>
      </c>
      <c r="C993" s="8" t="s">
        <v>6</v>
      </c>
      <c r="D993" s="12">
        <v>45139</v>
      </c>
      <c r="E993" s="8">
        <v>610</v>
      </c>
      <c r="F993" s="10">
        <f>IF(ISTEXT(Таблицаx_2[[#This Row],[Значение]]), 0, Таблицаx_2[[#This Row],[Значение]])</f>
        <v>610</v>
      </c>
      <c r="G993" s="12">
        <v>45170</v>
      </c>
      <c r="H993" s="10" t="str">
        <f>IFERROR(VLOOKUP(Таблицаx_2[[#This Row],[id]],prolongations!A:C,2,)," ")</f>
        <v>сентябрь 2023</v>
      </c>
      <c r="I993" s="10">
        <f>IF(Таблицаx_2[[#This Row],[Месяц окончания]]=Таблицаx_2[[#This Row],[Месяц]],Таблицаx_2[[#This Row],[Значения числа]],0)</f>
        <v>0</v>
      </c>
      <c r="J993" s="8">
        <f>IF(AND(Таблицаx_2[[#This Row],[Месяц окончания]]=Таблицаx_2[[#This Row],[Месяц]],Таблицаx_2[[#This Row],[id]]=A994,EDATE(Таблицаx_2[[#This Row],[Месяц]],1)=D994),F994,0)</f>
        <v>0</v>
      </c>
      <c r="K993" s="8">
        <f>IF(AND(Таблицаx_2[[#This Row],[Месяц окончания]]=Таблицаx_2[[#This Row],[Месяц]],Таблицаx_2[[#This Row],[id]]=A994,EDATE(Таблицаx_2[[#This Row],[Месяц]],2)=D994),F994,0)</f>
        <v>0</v>
      </c>
    </row>
    <row r="994" spans="1:11" ht="12.75" hidden="1" customHeight="1" x14ac:dyDescent="0.2">
      <c r="A994" s="8">
        <v>920</v>
      </c>
      <c r="B994" s="8" t="s">
        <v>47</v>
      </c>
      <c r="C994" s="8" t="s">
        <v>6</v>
      </c>
      <c r="D994" s="12">
        <v>45170</v>
      </c>
      <c r="E994" s="8" t="s">
        <v>48</v>
      </c>
      <c r="F994" s="10">
        <f>IF(ISTEXT(Таблицаx_2[[#This Row],[Значение]]), 0, Таблицаx_2[[#This Row],[Значение]])</f>
        <v>0</v>
      </c>
      <c r="G994" s="12">
        <v>45170</v>
      </c>
      <c r="H994" s="10" t="str">
        <f>IFERROR(VLOOKUP(Таблицаx_2[[#This Row],[id]],prolongations!A:C,2,)," ")</f>
        <v>сентябрь 2023</v>
      </c>
      <c r="I994" s="10">
        <f>IF(Таблицаx_2[[#This Row],[Месяц окончания]]=Таблицаx_2[[#This Row],[Месяц]],Таблицаx_2[[#This Row],[Значения числа]],0)</f>
        <v>0</v>
      </c>
      <c r="J994" s="8">
        <f>IF(AND(Таблицаx_2[[#This Row],[Месяц окончания]]=Таблицаx_2[[#This Row],[Месяц]],Таблицаx_2[[#This Row],[id]]=A995,EDATE(Таблицаx_2[[#This Row],[Месяц]],1)=D995),F995,0)</f>
        <v>0</v>
      </c>
      <c r="K994" s="8">
        <f>IF(AND(Таблицаx_2[[#This Row],[Месяц окончания]]=Таблицаx_2[[#This Row],[Месяц]],Таблицаx_2[[#This Row],[id]]=A995,EDATE(Таблицаx_2[[#This Row],[Месяц]],2)=D995),F995,0)</f>
        <v>0</v>
      </c>
    </row>
    <row r="995" spans="1:11" ht="12.75" hidden="1" customHeight="1" x14ac:dyDescent="0.2">
      <c r="A995" s="8">
        <v>361</v>
      </c>
      <c r="B995" s="8" t="s">
        <v>45</v>
      </c>
      <c r="C995" s="8" t="s">
        <v>8</v>
      </c>
      <c r="D995" s="12">
        <v>44866</v>
      </c>
      <c r="E995" s="8">
        <v>148390</v>
      </c>
      <c r="F995" s="10">
        <f>IF(ISTEXT(Таблицаx_2[[#This Row],[Значение]]), 0, Таблицаx_2[[#This Row],[Значение]])</f>
        <v>148390</v>
      </c>
      <c r="G995" s="12">
        <v>45017</v>
      </c>
      <c r="H995" s="10" t="str">
        <f>IFERROR(VLOOKUP(Таблицаx_2[[#This Row],[id]],prolongations!A:C,2,)," ")</f>
        <v>апрель 2023</v>
      </c>
      <c r="I995" s="10">
        <f>IF(Таблицаx_2[[#This Row],[Месяц окончания]]=Таблицаx_2[[#This Row],[Месяц]],Таблицаx_2[[#This Row],[Значения числа]],0)</f>
        <v>0</v>
      </c>
      <c r="J995" s="8">
        <f>IF(AND(Таблицаx_2[[#This Row],[Месяц окончания]]=Таблицаx_2[[#This Row],[Месяц]],Таблицаx_2[[#This Row],[id]]=A996,EDATE(Таблицаx_2[[#This Row],[Месяц]],1)=D996),F996,0)</f>
        <v>0</v>
      </c>
      <c r="K995" s="8">
        <f>IF(AND(Таблицаx_2[[#This Row],[Месяц окончания]]=Таблицаx_2[[#This Row],[Месяц]],Таблицаx_2[[#This Row],[id]]=A996,EDATE(Таблицаx_2[[#This Row],[Месяц]],2)=D996),F996,0)</f>
        <v>0</v>
      </c>
    </row>
    <row r="996" spans="1:11" ht="12.75" hidden="1" customHeight="1" x14ac:dyDescent="0.2">
      <c r="A996" s="8">
        <v>361</v>
      </c>
      <c r="B996" s="8" t="s">
        <v>45</v>
      </c>
      <c r="C996" s="8" t="s">
        <v>8</v>
      </c>
      <c r="D996" s="12">
        <v>44896</v>
      </c>
      <c r="E996" s="8">
        <v>148390</v>
      </c>
      <c r="F996" s="10">
        <f>IF(ISTEXT(Таблицаx_2[[#This Row],[Значение]]), 0, Таблицаx_2[[#This Row],[Значение]])</f>
        <v>148390</v>
      </c>
      <c r="G996" s="12">
        <v>45017</v>
      </c>
      <c r="H996" s="10" t="str">
        <f>IFERROR(VLOOKUP(Таблицаx_2[[#This Row],[id]],prolongations!A:C,2,)," ")</f>
        <v>апрель 2023</v>
      </c>
      <c r="I996" s="10">
        <f>IF(Таблицаx_2[[#This Row],[Месяц окончания]]=Таблицаx_2[[#This Row],[Месяц]],Таблицаx_2[[#This Row],[Значения числа]],0)</f>
        <v>0</v>
      </c>
      <c r="J996" s="8">
        <f>IF(AND(Таблицаx_2[[#This Row],[Месяц окончания]]=Таблицаx_2[[#This Row],[Месяц]],Таблицаx_2[[#This Row],[id]]=A997,EDATE(Таблицаx_2[[#This Row],[Месяц]],1)=D997),F997,0)</f>
        <v>0</v>
      </c>
      <c r="K996" s="8">
        <f>IF(AND(Таблицаx_2[[#This Row],[Месяц окончания]]=Таблицаx_2[[#This Row],[Месяц]],Таблицаx_2[[#This Row],[id]]=A997,EDATE(Таблицаx_2[[#This Row],[Месяц]],2)=D997),F997,0)</f>
        <v>0</v>
      </c>
    </row>
    <row r="997" spans="1:11" ht="12.75" hidden="1" customHeight="1" x14ac:dyDescent="0.2">
      <c r="A997" s="8">
        <v>361</v>
      </c>
      <c r="B997" s="8" t="s">
        <v>45</v>
      </c>
      <c r="C997" s="8" t="s">
        <v>8</v>
      </c>
      <c r="D997" s="12">
        <v>44927</v>
      </c>
      <c r="E997" s="8">
        <v>139440</v>
      </c>
      <c r="F997" s="10">
        <f>IF(ISTEXT(Таблицаx_2[[#This Row],[Значение]]), 0, Таблицаx_2[[#This Row],[Значение]])</f>
        <v>139440</v>
      </c>
      <c r="G997" s="12">
        <v>45017</v>
      </c>
      <c r="H997" s="10" t="str">
        <f>IFERROR(VLOOKUP(Таблицаx_2[[#This Row],[id]],prolongations!A:C,2,)," ")</f>
        <v>апрель 2023</v>
      </c>
      <c r="I997" s="10">
        <f>IF(Таблицаx_2[[#This Row],[Месяц окончания]]=Таблицаx_2[[#This Row],[Месяц]],Таблицаx_2[[#This Row],[Значения числа]],0)</f>
        <v>0</v>
      </c>
      <c r="J997" s="8">
        <f>IF(AND(Таблицаx_2[[#This Row],[Месяц окончания]]=Таблицаx_2[[#This Row],[Месяц]],Таблицаx_2[[#This Row],[id]]=A998,EDATE(Таблицаx_2[[#This Row],[Месяц]],1)=D998),F998,0)</f>
        <v>0</v>
      </c>
      <c r="K997" s="8">
        <f>IF(AND(Таблицаx_2[[#This Row],[Месяц окончания]]=Таблицаx_2[[#This Row],[Месяц]],Таблицаx_2[[#This Row],[id]]=A998,EDATE(Таблицаx_2[[#This Row],[Месяц]],2)=D998),F998,0)</f>
        <v>0</v>
      </c>
    </row>
    <row r="998" spans="1:11" ht="12.75" hidden="1" customHeight="1" x14ac:dyDescent="0.2">
      <c r="A998" s="8">
        <v>361</v>
      </c>
      <c r="B998" s="8" t="s">
        <v>45</v>
      </c>
      <c r="C998" s="8" t="s">
        <v>8</v>
      </c>
      <c r="D998" s="12">
        <v>44958</v>
      </c>
      <c r="E998" s="8">
        <v>119390</v>
      </c>
      <c r="F998" s="10">
        <f>IF(ISTEXT(Таблицаx_2[[#This Row],[Значение]]), 0, Таблицаx_2[[#This Row],[Значение]])</f>
        <v>119390</v>
      </c>
      <c r="G998" s="12">
        <v>45017</v>
      </c>
      <c r="H998" s="10" t="str">
        <f>IFERROR(VLOOKUP(Таблицаx_2[[#This Row],[id]],prolongations!A:C,2,)," ")</f>
        <v>апрель 2023</v>
      </c>
      <c r="I998" s="10">
        <f>IF(Таблицаx_2[[#This Row],[Месяц окончания]]=Таблицаx_2[[#This Row],[Месяц]],Таблицаx_2[[#This Row],[Значения числа]],0)</f>
        <v>0</v>
      </c>
      <c r="J998" s="8">
        <f>IF(AND(Таблицаx_2[[#This Row],[Месяц окончания]]=Таблицаx_2[[#This Row],[Месяц]],Таблицаx_2[[#This Row],[id]]=A999,EDATE(Таблицаx_2[[#This Row],[Месяц]],1)=D999),F999,0)</f>
        <v>0</v>
      </c>
      <c r="K998" s="8">
        <f>IF(AND(Таблицаx_2[[#This Row],[Месяц окончания]]=Таблицаx_2[[#This Row],[Месяц]],Таблицаx_2[[#This Row],[id]]=A999,EDATE(Таблицаx_2[[#This Row],[Месяц]],2)=D999),F999,0)</f>
        <v>0</v>
      </c>
    </row>
    <row r="999" spans="1:11" ht="12.75" hidden="1" customHeight="1" x14ac:dyDescent="0.2">
      <c r="A999" s="8">
        <v>361</v>
      </c>
      <c r="B999" s="8" t="s">
        <v>45</v>
      </c>
      <c r="C999" s="8" t="s">
        <v>8</v>
      </c>
      <c r="D999" s="12">
        <v>44986</v>
      </c>
      <c r="E999" s="8">
        <v>117890</v>
      </c>
      <c r="F999" s="10">
        <f>IF(ISTEXT(Таблицаx_2[[#This Row],[Значение]]), 0, Таблицаx_2[[#This Row],[Значение]])</f>
        <v>117890</v>
      </c>
      <c r="G999" s="12">
        <v>45017</v>
      </c>
      <c r="H999" s="10" t="str">
        <f>IFERROR(VLOOKUP(Таблицаx_2[[#This Row],[id]],prolongations!A:C,2,)," ")</f>
        <v>апрель 2023</v>
      </c>
      <c r="I999" s="10">
        <f>IF(Таблицаx_2[[#This Row],[Месяц окончания]]=Таблицаx_2[[#This Row],[Месяц]],Таблицаx_2[[#This Row],[Значения числа]],0)</f>
        <v>0</v>
      </c>
      <c r="J999" s="8">
        <f>IF(AND(Таблицаx_2[[#This Row],[Месяц окончания]]=Таблицаx_2[[#This Row],[Месяц]],Таблицаx_2[[#This Row],[id]]=A1000,EDATE(Таблицаx_2[[#This Row],[Месяц]],1)=D1000),F1000,0)</f>
        <v>0</v>
      </c>
      <c r="K999" s="8">
        <f>IF(AND(Таблицаx_2[[#This Row],[Месяц окончания]]=Таблицаx_2[[#This Row],[Месяц]],Таблицаx_2[[#This Row],[id]]=A1000,EDATE(Таблицаx_2[[#This Row],[Месяц]],2)=D1000),F1000,0)</f>
        <v>0</v>
      </c>
    </row>
    <row r="1000" spans="1:11" ht="12.75" hidden="1" customHeight="1" x14ac:dyDescent="0.2">
      <c r="A1000" s="8">
        <v>361</v>
      </c>
      <c r="B1000" s="8" t="s">
        <v>45</v>
      </c>
      <c r="C1000" s="8" t="s">
        <v>8</v>
      </c>
      <c r="D1000" s="12">
        <v>45017</v>
      </c>
      <c r="E1000" s="8">
        <v>117890</v>
      </c>
      <c r="F1000" s="10">
        <f>IF(ISTEXT(Таблицаx_2[[#This Row],[Значение]]), 0, Таблицаx_2[[#This Row],[Значение]])</f>
        <v>117890</v>
      </c>
      <c r="G1000" s="12">
        <v>45017</v>
      </c>
      <c r="H1000" s="10" t="str">
        <f>IFERROR(VLOOKUP(Таблицаx_2[[#This Row],[id]],prolongations!A:C,2,)," ")</f>
        <v>апрель 2023</v>
      </c>
      <c r="I1000" s="10">
        <f>IF(Таблицаx_2[[#This Row],[Месяц окончания]]=Таблицаx_2[[#This Row],[Месяц]],Таблицаx_2[[#This Row],[Значения числа]],0)</f>
        <v>117890</v>
      </c>
      <c r="J1000" s="8">
        <f>IF(AND(Таблицаx_2[[#This Row],[Месяц окончания]]=Таблицаx_2[[#This Row],[Месяц]],Таблицаx_2[[#This Row],[id]]=A1001,EDATE(Таблицаx_2[[#This Row],[Месяц]],1)=D1001),F1001,0)</f>
        <v>117890</v>
      </c>
      <c r="K1000" s="8">
        <f>IF(AND(Таблицаx_2[[#This Row],[Месяц окончания]]=Таблицаx_2[[#This Row],[Месяц]],Таблицаx_2[[#This Row],[id]]=A1001,EDATE(Таблицаx_2[[#This Row],[Месяц]],2)=D1001),F1001,0)</f>
        <v>0</v>
      </c>
    </row>
    <row r="1001" spans="1:11" ht="12.75" hidden="1" customHeight="1" x14ac:dyDescent="0.2">
      <c r="A1001" s="8">
        <v>361</v>
      </c>
      <c r="B1001" s="8" t="s">
        <v>45</v>
      </c>
      <c r="C1001" s="8" t="s">
        <v>8</v>
      </c>
      <c r="D1001" s="12">
        <v>45047</v>
      </c>
      <c r="E1001" s="8">
        <v>117890</v>
      </c>
      <c r="F1001" s="10">
        <f>IF(ISTEXT(Таблицаx_2[[#This Row],[Значение]]), 0, Таблицаx_2[[#This Row],[Значение]])</f>
        <v>117890</v>
      </c>
      <c r="G1001" s="12">
        <v>45017</v>
      </c>
      <c r="H1001" s="10" t="str">
        <f>IFERROR(VLOOKUP(Таблицаx_2[[#This Row],[id]],prolongations!A:C,2,)," ")</f>
        <v>апрель 2023</v>
      </c>
      <c r="I1001" s="10">
        <f>IF(Таблицаx_2[[#This Row],[Месяц окончания]]=Таблицаx_2[[#This Row],[Месяц]],Таблицаx_2[[#This Row],[Значения числа]],0)</f>
        <v>0</v>
      </c>
      <c r="J1001" s="8">
        <f>IF(AND(Таблицаx_2[[#This Row],[Месяц окончания]]=Таблицаx_2[[#This Row],[Месяц]],Таблицаx_2[[#This Row],[id]]=A1002,EDATE(Таблицаx_2[[#This Row],[Месяц]],1)=D1002),F1002,0)</f>
        <v>0</v>
      </c>
      <c r="K1001" s="8">
        <f>IF(AND(Таблицаx_2[[#This Row],[Месяц окончания]]=Таблицаx_2[[#This Row],[Месяц]],Таблицаx_2[[#This Row],[id]]=A1002,EDATE(Таблицаx_2[[#This Row],[Месяц]],2)=D1002),F1002,0)</f>
        <v>0</v>
      </c>
    </row>
    <row r="1002" spans="1:11" ht="12.75" hidden="1" customHeight="1" x14ac:dyDescent="0.2">
      <c r="A1002" s="8">
        <v>361</v>
      </c>
      <c r="B1002" s="8" t="s">
        <v>45</v>
      </c>
      <c r="C1002" s="8" t="s">
        <v>8</v>
      </c>
      <c r="D1002" s="12">
        <v>45078</v>
      </c>
      <c r="E1002" s="8">
        <v>117890</v>
      </c>
      <c r="F1002" s="10">
        <f>IF(ISTEXT(Таблицаx_2[[#This Row],[Значение]]), 0, Таблицаx_2[[#This Row],[Значение]])</f>
        <v>117890</v>
      </c>
      <c r="G1002" s="12">
        <v>45017</v>
      </c>
      <c r="H1002" s="10" t="str">
        <f>IFERROR(VLOOKUP(Таблицаx_2[[#This Row],[id]],prolongations!A:C,2,)," ")</f>
        <v>апрель 2023</v>
      </c>
      <c r="I1002" s="10">
        <f>IF(Таблицаx_2[[#This Row],[Месяц окончания]]=Таблицаx_2[[#This Row],[Месяц]],Таблицаx_2[[#This Row],[Значения числа]],0)</f>
        <v>0</v>
      </c>
      <c r="J1002" s="8">
        <f>IF(AND(Таблицаx_2[[#This Row],[Месяц окончания]]=Таблицаx_2[[#This Row],[Месяц]],Таблицаx_2[[#This Row],[id]]=A1003,EDATE(Таблицаx_2[[#This Row],[Месяц]],1)=D1003),F1003,0)</f>
        <v>0</v>
      </c>
      <c r="K1002" s="8">
        <f>IF(AND(Таблицаx_2[[#This Row],[Месяц окончания]]=Таблицаx_2[[#This Row],[Месяц]],Таблицаx_2[[#This Row],[id]]=A1003,EDATE(Таблицаx_2[[#This Row],[Месяц]],2)=D1003),F1003,0)</f>
        <v>0</v>
      </c>
    </row>
    <row r="1003" spans="1:11" ht="12.75" hidden="1" customHeight="1" x14ac:dyDescent="0.2">
      <c r="A1003" s="8">
        <v>361</v>
      </c>
      <c r="B1003" s="8" t="s">
        <v>45</v>
      </c>
      <c r="C1003" s="8" t="s">
        <v>8</v>
      </c>
      <c r="D1003" s="12">
        <v>45108</v>
      </c>
      <c r="E1003" s="8">
        <v>117890</v>
      </c>
      <c r="F1003" s="10">
        <f>IF(ISTEXT(Таблицаx_2[[#This Row],[Значение]]), 0, Таблицаx_2[[#This Row],[Значение]])</f>
        <v>117890</v>
      </c>
      <c r="G1003" s="12">
        <v>45017</v>
      </c>
      <c r="H1003" s="10" t="str">
        <f>IFERROR(VLOOKUP(Таблицаx_2[[#This Row],[id]],prolongations!A:C,2,)," ")</f>
        <v>апрель 2023</v>
      </c>
      <c r="I1003" s="10">
        <f>IF(Таблицаx_2[[#This Row],[Месяц окончания]]=Таблицаx_2[[#This Row],[Месяц]],Таблицаx_2[[#This Row],[Значения числа]],0)</f>
        <v>0</v>
      </c>
      <c r="J1003" s="8">
        <f>IF(AND(Таблицаx_2[[#This Row],[Месяц окончания]]=Таблицаx_2[[#This Row],[Месяц]],Таблицаx_2[[#This Row],[id]]=A1004,EDATE(Таблицаx_2[[#This Row],[Месяц]],1)=D1004),F1004,0)</f>
        <v>0</v>
      </c>
      <c r="K1003" s="8">
        <f>IF(AND(Таблицаx_2[[#This Row],[Месяц окончания]]=Таблицаx_2[[#This Row],[Месяц]],Таблицаx_2[[#This Row],[id]]=A1004,EDATE(Таблицаx_2[[#This Row],[Месяц]],2)=D1004),F1004,0)</f>
        <v>0</v>
      </c>
    </row>
    <row r="1004" spans="1:11" ht="12.75" hidden="1" customHeight="1" x14ac:dyDescent="0.2">
      <c r="A1004" s="8">
        <v>361</v>
      </c>
      <c r="B1004" s="8" t="s">
        <v>45</v>
      </c>
      <c r="C1004" s="8" t="s">
        <v>8</v>
      </c>
      <c r="D1004" s="12">
        <v>45139</v>
      </c>
      <c r="E1004" s="8">
        <v>117890</v>
      </c>
      <c r="F1004" s="10">
        <f>IF(ISTEXT(Таблицаx_2[[#This Row],[Значение]]), 0, Таблицаx_2[[#This Row],[Значение]])</f>
        <v>117890</v>
      </c>
      <c r="G1004" s="12">
        <v>45017</v>
      </c>
      <c r="H1004" s="10" t="str">
        <f>IFERROR(VLOOKUP(Таблицаx_2[[#This Row],[id]],prolongations!A:C,2,)," ")</f>
        <v>апрель 2023</v>
      </c>
      <c r="I1004" s="10">
        <f>IF(Таблицаx_2[[#This Row],[Месяц окончания]]=Таблицаx_2[[#This Row],[Месяц]],Таблицаx_2[[#This Row],[Значения числа]],0)</f>
        <v>0</v>
      </c>
      <c r="J1004" s="8">
        <f>IF(AND(Таблицаx_2[[#This Row],[Месяц окончания]]=Таблицаx_2[[#This Row],[Месяц]],Таблицаx_2[[#This Row],[id]]=A1005,EDATE(Таблицаx_2[[#This Row],[Месяц]],1)=D1005),F1005,0)</f>
        <v>0</v>
      </c>
      <c r="K1004" s="8">
        <f>IF(AND(Таблицаx_2[[#This Row],[Месяц окончания]]=Таблицаx_2[[#This Row],[Месяц]],Таблицаx_2[[#This Row],[id]]=A1005,EDATE(Таблицаx_2[[#This Row],[Месяц]],2)=D1005),F1005,0)</f>
        <v>0</v>
      </c>
    </row>
    <row r="1005" spans="1:11" ht="12.75" hidden="1" customHeight="1" x14ac:dyDescent="0.2">
      <c r="A1005" s="8">
        <v>361</v>
      </c>
      <c r="B1005" s="8" t="s">
        <v>45</v>
      </c>
      <c r="C1005" s="8" t="s">
        <v>8</v>
      </c>
      <c r="D1005" s="12">
        <v>45170</v>
      </c>
      <c r="E1005" s="8">
        <v>117890</v>
      </c>
      <c r="F1005" s="10">
        <f>IF(ISTEXT(Таблицаx_2[[#This Row],[Значение]]), 0, Таблицаx_2[[#This Row],[Значение]])</f>
        <v>117890</v>
      </c>
      <c r="G1005" s="12">
        <v>45017</v>
      </c>
      <c r="H1005" s="10" t="str">
        <f>IFERROR(VLOOKUP(Таблицаx_2[[#This Row],[id]],prolongations!A:C,2,)," ")</f>
        <v>апрель 2023</v>
      </c>
      <c r="I1005" s="10">
        <f>IF(Таблицаx_2[[#This Row],[Месяц окончания]]=Таблицаx_2[[#This Row],[Месяц]],Таблицаx_2[[#This Row],[Значения числа]],0)</f>
        <v>0</v>
      </c>
      <c r="J1005" s="8">
        <f>IF(AND(Таблицаx_2[[#This Row],[Месяц окончания]]=Таблицаx_2[[#This Row],[Месяц]],Таблицаx_2[[#This Row],[id]]=A1006,EDATE(Таблицаx_2[[#This Row],[Месяц]],1)=D1006),F1006,0)</f>
        <v>0</v>
      </c>
      <c r="K1005" s="8">
        <f>IF(AND(Таблицаx_2[[#This Row],[Месяц окончания]]=Таблицаx_2[[#This Row],[Месяц]],Таблицаx_2[[#This Row],[id]]=A1006,EDATE(Таблицаx_2[[#This Row],[Месяц]],2)=D1006),F1006,0)</f>
        <v>0</v>
      </c>
    </row>
    <row r="1006" spans="1:11" ht="12.75" hidden="1" customHeight="1" x14ac:dyDescent="0.2">
      <c r="A1006" s="8">
        <v>361</v>
      </c>
      <c r="B1006" s="8" t="s">
        <v>45</v>
      </c>
      <c r="C1006" s="8" t="s">
        <v>8</v>
      </c>
      <c r="D1006" s="12">
        <v>45200</v>
      </c>
      <c r="E1006" s="8">
        <v>134690</v>
      </c>
      <c r="F1006" s="10">
        <f>IF(ISTEXT(Таблицаx_2[[#This Row],[Значение]]), 0, Таблицаx_2[[#This Row],[Значение]])</f>
        <v>134690</v>
      </c>
      <c r="G1006" s="12">
        <v>45017</v>
      </c>
      <c r="H1006" s="10" t="str">
        <f>IFERROR(VLOOKUP(Таблицаx_2[[#This Row],[id]],prolongations!A:C,2,)," ")</f>
        <v>апрель 2023</v>
      </c>
      <c r="I1006" s="10">
        <f>IF(Таблицаx_2[[#This Row],[Месяц окончания]]=Таблицаx_2[[#This Row],[Месяц]],Таблицаx_2[[#This Row],[Значения числа]],0)</f>
        <v>0</v>
      </c>
      <c r="J1006" s="8">
        <f>IF(AND(Таблицаx_2[[#This Row],[Месяц окончания]]=Таблицаx_2[[#This Row],[Месяц]],Таблицаx_2[[#This Row],[id]]=A1007,EDATE(Таблицаx_2[[#This Row],[Месяц]],1)=D1007),F1007,0)</f>
        <v>0</v>
      </c>
      <c r="K1006" s="8">
        <f>IF(AND(Таблицаx_2[[#This Row],[Месяц окончания]]=Таблицаx_2[[#This Row],[Месяц]],Таблицаx_2[[#This Row],[id]]=A1007,EDATE(Таблицаx_2[[#This Row],[Месяц]],2)=D1007),F1007,0)</f>
        <v>0</v>
      </c>
    </row>
    <row r="1007" spans="1:11" ht="12.75" hidden="1" customHeight="1" x14ac:dyDescent="0.2">
      <c r="A1007" s="8">
        <v>361</v>
      </c>
      <c r="B1007" s="8" t="s">
        <v>45</v>
      </c>
      <c r="C1007" s="8" t="s">
        <v>8</v>
      </c>
      <c r="D1007" s="12">
        <v>45231</v>
      </c>
      <c r="E1007" s="8">
        <v>134690</v>
      </c>
      <c r="F1007" s="10">
        <f>IF(ISTEXT(Таблицаx_2[[#This Row],[Значение]]), 0, Таблицаx_2[[#This Row],[Значение]])</f>
        <v>134690</v>
      </c>
      <c r="G1007" s="12">
        <v>45017</v>
      </c>
      <c r="H1007" s="10" t="str">
        <f>IFERROR(VLOOKUP(Таблицаx_2[[#This Row],[id]],prolongations!A:C,2,)," ")</f>
        <v>апрель 2023</v>
      </c>
      <c r="I1007" s="10">
        <f>IF(Таблицаx_2[[#This Row],[Месяц окончания]]=Таблицаx_2[[#This Row],[Месяц]],Таблицаx_2[[#This Row],[Значения числа]],0)</f>
        <v>0</v>
      </c>
      <c r="J1007" s="8">
        <f>IF(AND(Таблицаx_2[[#This Row],[Месяц окончания]]=Таблицаx_2[[#This Row],[Месяц]],Таблицаx_2[[#This Row],[id]]=A1008,EDATE(Таблицаx_2[[#This Row],[Месяц]],1)=D1008),F1008,0)</f>
        <v>0</v>
      </c>
      <c r="K1007" s="8">
        <f>IF(AND(Таблицаx_2[[#This Row],[Месяц окончания]]=Таблицаx_2[[#This Row],[Месяц]],Таблицаx_2[[#This Row],[id]]=A1008,EDATE(Таблицаx_2[[#This Row],[Месяц]],2)=D1008),F1008,0)</f>
        <v>0</v>
      </c>
    </row>
    <row r="1008" spans="1:11" ht="12.75" hidden="1" customHeight="1" x14ac:dyDescent="0.2">
      <c r="A1008" s="8">
        <v>361</v>
      </c>
      <c r="B1008" s="8" t="s">
        <v>45</v>
      </c>
      <c r="C1008" s="8" t="s">
        <v>8</v>
      </c>
      <c r="D1008" s="12">
        <v>45261</v>
      </c>
      <c r="E1008" s="8">
        <v>134690</v>
      </c>
      <c r="F1008" s="10">
        <f>IF(ISTEXT(Таблицаx_2[[#This Row],[Значение]]), 0, Таблицаx_2[[#This Row],[Значение]])</f>
        <v>134690</v>
      </c>
      <c r="G1008" s="12">
        <v>45017</v>
      </c>
      <c r="H1008" s="10" t="str">
        <f>IFERROR(VLOOKUP(Таблицаx_2[[#This Row],[id]],prolongations!A:C,2,)," ")</f>
        <v>апрель 2023</v>
      </c>
      <c r="I1008" s="10">
        <f>IF(Таблицаx_2[[#This Row],[Месяц окончания]]=Таблицаx_2[[#This Row],[Месяц]],Таблицаx_2[[#This Row],[Значения числа]],0)</f>
        <v>0</v>
      </c>
      <c r="J1008" s="8">
        <f>IF(AND(Таблицаx_2[[#This Row],[Месяц окончания]]=Таблицаx_2[[#This Row],[Месяц]],Таблицаx_2[[#This Row],[id]]=A1009,EDATE(Таблицаx_2[[#This Row],[Месяц]],1)=D1009),F1009,0)</f>
        <v>0</v>
      </c>
      <c r="K1008" s="8">
        <f>IF(AND(Таблицаx_2[[#This Row],[Месяц окончания]]=Таблицаx_2[[#This Row],[Месяц]],Таблицаx_2[[#This Row],[id]]=A1009,EDATE(Таблицаx_2[[#This Row],[Месяц]],2)=D1009),F1009,0)</f>
        <v>0</v>
      </c>
    </row>
    <row r="1009" spans="1:11" ht="12.75" hidden="1" customHeight="1" x14ac:dyDescent="0.2">
      <c r="A1009" s="8">
        <v>361</v>
      </c>
      <c r="B1009" s="8" t="s">
        <v>45</v>
      </c>
      <c r="C1009" s="8" t="s">
        <v>8</v>
      </c>
      <c r="D1009" s="12">
        <v>45292</v>
      </c>
      <c r="E1009" s="8" t="s">
        <v>46</v>
      </c>
      <c r="F1009" s="10">
        <f>IF(ISTEXT(Таблицаx_2[[#This Row],[Значение]]), 0, Таблицаx_2[[#This Row],[Значение]])</f>
        <v>0</v>
      </c>
      <c r="G1009" s="12">
        <v>45017</v>
      </c>
      <c r="H1009" s="10" t="str">
        <f>IFERROR(VLOOKUP(Таблицаx_2[[#This Row],[id]],prolongations!A:C,2,)," ")</f>
        <v>апрель 2023</v>
      </c>
      <c r="I1009" s="10">
        <f>IF(Таблицаx_2[[#This Row],[Месяц окончания]]=Таблицаx_2[[#This Row],[Месяц]],Таблицаx_2[[#This Row],[Значения числа]],0)</f>
        <v>0</v>
      </c>
      <c r="J1009" s="8">
        <f>IF(AND(Таблицаx_2[[#This Row],[Месяц окончания]]=Таблицаx_2[[#This Row],[Месяц]],Таблицаx_2[[#This Row],[id]]=A1010,EDATE(Таблицаx_2[[#This Row],[Месяц]],1)=D1010),F1010,0)</f>
        <v>0</v>
      </c>
      <c r="K1009" s="8">
        <f>IF(AND(Таблицаx_2[[#This Row],[Месяц окончания]]=Таблицаx_2[[#This Row],[Месяц]],Таблицаx_2[[#This Row],[id]]=A1010,EDATE(Таблицаx_2[[#This Row],[Месяц]],2)=D1010),F1010,0)</f>
        <v>0</v>
      </c>
    </row>
    <row r="1010" spans="1:11" ht="12.75" hidden="1" customHeight="1" x14ac:dyDescent="0.2">
      <c r="A1010" s="8">
        <v>361</v>
      </c>
      <c r="B1010" s="8" t="s">
        <v>47</v>
      </c>
      <c r="C1010" s="8" t="s">
        <v>8</v>
      </c>
      <c r="D1010" s="12">
        <v>44866</v>
      </c>
      <c r="E1010" s="8">
        <v>6525</v>
      </c>
      <c r="F1010" s="10">
        <f>IF(ISTEXT(Таблицаx_2[[#This Row],[Значение]]), 0, Таблицаx_2[[#This Row],[Значение]])</f>
        <v>6525</v>
      </c>
      <c r="G1010" s="12">
        <v>45017</v>
      </c>
      <c r="H1010" s="10" t="str">
        <f>IFERROR(VLOOKUP(Таблицаx_2[[#This Row],[id]],prolongations!A:C,2,)," ")</f>
        <v>апрель 2023</v>
      </c>
      <c r="I1010" s="10">
        <f>IF(Таблицаx_2[[#This Row],[Месяц окончания]]=Таблицаx_2[[#This Row],[Месяц]],Таблицаx_2[[#This Row],[Значения числа]],0)</f>
        <v>0</v>
      </c>
      <c r="J1010" s="8">
        <f>IF(AND(Таблицаx_2[[#This Row],[Месяц окончания]]=Таблицаx_2[[#This Row],[Месяц]],Таблицаx_2[[#This Row],[id]]=A1011,EDATE(Таблицаx_2[[#This Row],[Месяц]],1)=D1011),F1011,0)</f>
        <v>0</v>
      </c>
      <c r="K1010" s="8">
        <f>IF(AND(Таблицаx_2[[#This Row],[Месяц окончания]]=Таблицаx_2[[#This Row],[Месяц]],Таблицаx_2[[#This Row],[id]]=A1011,EDATE(Таблицаx_2[[#This Row],[Месяц]],2)=D1011),F1011,0)</f>
        <v>0</v>
      </c>
    </row>
    <row r="1011" spans="1:11" ht="12.75" hidden="1" customHeight="1" x14ac:dyDescent="0.2">
      <c r="A1011" s="8">
        <v>361</v>
      </c>
      <c r="B1011" s="8" t="s">
        <v>47</v>
      </c>
      <c r="C1011" s="8" t="s">
        <v>8</v>
      </c>
      <c r="D1011" s="12">
        <v>44896</v>
      </c>
      <c r="E1011" s="8">
        <v>18765</v>
      </c>
      <c r="F1011" s="10">
        <f>IF(ISTEXT(Таблицаx_2[[#This Row],[Значение]]), 0, Таблицаx_2[[#This Row],[Значение]])</f>
        <v>18765</v>
      </c>
      <c r="G1011" s="12">
        <v>45017</v>
      </c>
      <c r="H1011" s="10" t="str">
        <f>IFERROR(VLOOKUP(Таблицаx_2[[#This Row],[id]],prolongations!A:C,2,)," ")</f>
        <v>апрель 2023</v>
      </c>
      <c r="I1011" s="10">
        <f>IF(Таблицаx_2[[#This Row],[Месяц окончания]]=Таблицаx_2[[#This Row],[Месяц]],Таблицаx_2[[#This Row],[Значения числа]],0)</f>
        <v>0</v>
      </c>
      <c r="J1011" s="8">
        <f>IF(AND(Таблицаx_2[[#This Row],[Месяц окончания]]=Таблицаx_2[[#This Row],[Месяц]],Таблицаx_2[[#This Row],[id]]=A1012,EDATE(Таблицаx_2[[#This Row],[Месяц]],1)=D1012),F1012,0)</f>
        <v>0</v>
      </c>
      <c r="K1011" s="8">
        <f>IF(AND(Таблицаx_2[[#This Row],[Месяц окончания]]=Таблицаx_2[[#This Row],[Месяц]],Таблицаx_2[[#This Row],[id]]=A1012,EDATE(Таблицаx_2[[#This Row],[Месяц]],2)=D1012),F1012,0)</f>
        <v>0</v>
      </c>
    </row>
    <row r="1012" spans="1:11" ht="12.75" hidden="1" customHeight="1" x14ac:dyDescent="0.2">
      <c r="A1012" s="8">
        <v>361</v>
      </c>
      <c r="B1012" s="8" t="s">
        <v>47</v>
      </c>
      <c r="C1012" s="8" t="s">
        <v>8</v>
      </c>
      <c r="D1012" s="12">
        <v>44927</v>
      </c>
      <c r="E1012" s="8">
        <v>16110</v>
      </c>
      <c r="F1012" s="10">
        <f>IF(ISTEXT(Таблицаx_2[[#This Row],[Значение]]), 0, Таблицаx_2[[#This Row],[Значение]])</f>
        <v>16110</v>
      </c>
      <c r="G1012" s="12">
        <v>45017</v>
      </c>
      <c r="H1012" s="10" t="str">
        <f>IFERROR(VLOOKUP(Таблицаx_2[[#This Row],[id]],prolongations!A:C,2,)," ")</f>
        <v>апрель 2023</v>
      </c>
      <c r="I1012" s="10">
        <f>IF(Таблицаx_2[[#This Row],[Месяц окончания]]=Таблицаx_2[[#This Row],[Месяц]],Таблицаx_2[[#This Row],[Значения числа]],0)</f>
        <v>0</v>
      </c>
      <c r="J1012" s="8">
        <f>IF(AND(Таблицаx_2[[#This Row],[Месяц окончания]]=Таблицаx_2[[#This Row],[Месяц]],Таблицаx_2[[#This Row],[id]]=A1013,EDATE(Таблицаx_2[[#This Row],[Месяц]],1)=D1013),F1013,0)</f>
        <v>0</v>
      </c>
      <c r="K1012" s="8">
        <f>IF(AND(Таблицаx_2[[#This Row],[Месяц окончания]]=Таблицаx_2[[#This Row],[Месяц]],Таблицаx_2[[#This Row],[id]]=A1013,EDATE(Таблицаx_2[[#This Row],[Месяц]],2)=D1013),F1013,0)</f>
        <v>0</v>
      </c>
    </row>
    <row r="1013" spans="1:11" ht="12.75" hidden="1" customHeight="1" x14ac:dyDescent="0.2">
      <c r="A1013" s="8">
        <v>361</v>
      </c>
      <c r="B1013" s="8" t="s">
        <v>47</v>
      </c>
      <c r="C1013" s="8" t="s">
        <v>8</v>
      </c>
      <c r="D1013" s="12">
        <v>44958</v>
      </c>
      <c r="E1013" s="8">
        <v>9270</v>
      </c>
      <c r="F1013" s="10">
        <f>IF(ISTEXT(Таблицаx_2[[#This Row],[Значение]]), 0, Таблицаx_2[[#This Row],[Значение]])</f>
        <v>9270</v>
      </c>
      <c r="G1013" s="12">
        <v>45017</v>
      </c>
      <c r="H1013" s="10" t="str">
        <f>IFERROR(VLOOKUP(Таблицаx_2[[#This Row],[id]],prolongations!A:C,2,)," ")</f>
        <v>апрель 2023</v>
      </c>
      <c r="I1013" s="10">
        <f>IF(Таблицаx_2[[#This Row],[Месяц окончания]]=Таблицаx_2[[#This Row],[Месяц]],Таблицаx_2[[#This Row],[Значения числа]],0)</f>
        <v>0</v>
      </c>
      <c r="J1013" s="8">
        <f>IF(AND(Таблицаx_2[[#This Row],[Месяц окончания]]=Таблицаx_2[[#This Row],[Месяц]],Таблицаx_2[[#This Row],[id]]=A1014,EDATE(Таблицаx_2[[#This Row],[Месяц]],1)=D1014),F1014,0)</f>
        <v>0</v>
      </c>
      <c r="K1013" s="8">
        <f>IF(AND(Таблицаx_2[[#This Row],[Месяц окончания]]=Таблицаx_2[[#This Row],[Месяц]],Таблицаx_2[[#This Row],[id]]=A1014,EDATE(Таблицаx_2[[#This Row],[Месяц]],2)=D1014),F1014,0)</f>
        <v>0</v>
      </c>
    </row>
    <row r="1014" spans="1:11" ht="12.75" hidden="1" customHeight="1" x14ac:dyDescent="0.2">
      <c r="A1014" s="8">
        <v>361</v>
      </c>
      <c r="B1014" s="8" t="s">
        <v>47</v>
      </c>
      <c r="C1014" s="8" t="s">
        <v>8</v>
      </c>
      <c r="D1014" s="12">
        <v>44986</v>
      </c>
      <c r="E1014" s="8">
        <v>3525</v>
      </c>
      <c r="F1014" s="10">
        <f>IF(ISTEXT(Таблицаx_2[[#This Row],[Значение]]), 0, Таблицаx_2[[#This Row],[Значение]])</f>
        <v>3525</v>
      </c>
      <c r="G1014" s="12">
        <v>45017</v>
      </c>
      <c r="H1014" s="10" t="str">
        <f>IFERROR(VLOOKUP(Таблицаx_2[[#This Row],[id]],prolongations!A:C,2,)," ")</f>
        <v>апрель 2023</v>
      </c>
      <c r="I1014" s="10">
        <f>IF(Таблицаx_2[[#This Row],[Месяц окончания]]=Таблицаx_2[[#This Row],[Месяц]],Таблицаx_2[[#This Row],[Значения числа]],0)</f>
        <v>0</v>
      </c>
      <c r="J1014" s="8">
        <f>IF(AND(Таблицаx_2[[#This Row],[Месяц окончания]]=Таблицаx_2[[#This Row],[Месяц]],Таблицаx_2[[#This Row],[id]]=A1015,EDATE(Таблицаx_2[[#This Row],[Месяц]],1)=D1015),F1015,0)</f>
        <v>0</v>
      </c>
      <c r="K1014" s="8">
        <f>IF(AND(Таблицаx_2[[#This Row],[Месяц окончания]]=Таблицаx_2[[#This Row],[Месяц]],Таблицаx_2[[#This Row],[id]]=A1015,EDATE(Таблицаx_2[[#This Row],[Месяц]],2)=D1015),F1015,0)</f>
        <v>0</v>
      </c>
    </row>
    <row r="1015" spans="1:11" ht="12.75" hidden="1" customHeight="1" x14ac:dyDescent="0.2">
      <c r="A1015" s="8">
        <v>361</v>
      </c>
      <c r="B1015" s="8" t="s">
        <v>47</v>
      </c>
      <c r="C1015" s="8" t="s">
        <v>8</v>
      </c>
      <c r="D1015" s="12">
        <v>45017</v>
      </c>
      <c r="E1015" s="8">
        <v>18600</v>
      </c>
      <c r="F1015" s="10">
        <f>IF(ISTEXT(Таблицаx_2[[#This Row],[Значение]]), 0, Таблицаx_2[[#This Row],[Значение]])</f>
        <v>18600</v>
      </c>
      <c r="G1015" s="12">
        <v>45017</v>
      </c>
      <c r="H1015" s="10" t="str">
        <f>IFERROR(VLOOKUP(Таблицаx_2[[#This Row],[id]],prolongations!A:C,2,)," ")</f>
        <v>апрель 2023</v>
      </c>
      <c r="I1015" s="10">
        <f>IF(Таблицаx_2[[#This Row],[Месяц окончания]]=Таблицаx_2[[#This Row],[Месяц]],Таблицаx_2[[#This Row],[Значения числа]],0)</f>
        <v>18600</v>
      </c>
      <c r="J1015" s="8">
        <f>IF(AND(Таблицаx_2[[#This Row],[Месяц окончания]]=Таблицаx_2[[#This Row],[Месяц]],Таблицаx_2[[#This Row],[id]]=A1016,EDATE(Таблицаx_2[[#This Row],[Месяц]],1)=D1016),F1016,0)</f>
        <v>35200</v>
      </c>
      <c r="K1015" s="8">
        <f>IF(AND(Таблицаx_2[[#This Row],[Месяц окончания]]=Таблицаx_2[[#This Row],[Месяц]],Таблицаx_2[[#This Row],[id]]=A1016,EDATE(Таблицаx_2[[#This Row],[Месяц]],2)=D1016),F1016,0)</f>
        <v>0</v>
      </c>
    </row>
    <row r="1016" spans="1:11" ht="12.75" hidden="1" customHeight="1" x14ac:dyDescent="0.2">
      <c r="A1016" s="8">
        <v>361</v>
      </c>
      <c r="B1016" s="8" t="s">
        <v>47</v>
      </c>
      <c r="C1016" s="8" t="s">
        <v>8</v>
      </c>
      <c r="D1016" s="12">
        <v>45047</v>
      </c>
      <c r="E1016" s="8">
        <v>35200</v>
      </c>
      <c r="F1016" s="10">
        <f>IF(ISTEXT(Таблицаx_2[[#This Row],[Значение]]), 0, Таблицаx_2[[#This Row],[Значение]])</f>
        <v>35200</v>
      </c>
      <c r="G1016" s="12">
        <v>45017</v>
      </c>
      <c r="H1016" s="10" t="str">
        <f>IFERROR(VLOOKUP(Таблицаx_2[[#This Row],[id]],prolongations!A:C,2,)," ")</f>
        <v>апрель 2023</v>
      </c>
      <c r="I1016" s="10">
        <f>IF(Таблицаx_2[[#This Row],[Месяц окончания]]=Таблицаx_2[[#This Row],[Месяц]],Таблицаx_2[[#This Row],[Значения числа]],0)</f>
        <v>0</v>
      </c>
      <c r="J1016" s="8">
        <f>IF(AND(Таблицаx_2[[#This Row],[Месяц окончания]]=Таблицаx_2[[#This Row],[Месяц]],Таблицаx_2[[#This Row],[id]]=A1017,EDATE(Таблицаx_2[[#This Row],[Месяц]],1)=D1017),F1017,0)</f>
        <v>0</v>
      </c>
      <c r="K1016" s="8">
        <f>IF(AND(Таблицаx_2[[#This Row],[Месяц окончания]]=Таблицаx_2[[#This Row],[Месяц]],Таблицаx_2[[#This Row],[id]]=A1017,EDATE(Таблицаx_2[[#This Row],[Месяц]],2)=D1017),F1017,0)</f>
        <v>0</v>
      </c>
    </row>
    <row r="1017" spans="1:11" ht="12.75" hidden="1" customHeight="1" x14ac:dyDescent="0.2">
      <c r="A1017" s="8">
        <v>361</v>
      </c>
      <c r="B1017" s="8" t="s">
        <v>47</v>
      </c>
      <c r="C1017" s="8" t="s">
        <v>8</v>
      </c>
      <c r="D1017" s="12">
        <v>45078</v>
      </c>
      <c r="E1017" s="8">
        <v>14075</v>
      </c>
      <c r="F1017" s="10">
        <f>IF(ISTEXT(Таблицаx_2[[#This Row],[Значение]]), 0, Таблицаx_2[[#This Row],[Значение]])</f>
        <v>14075</v>
      </c>
      <c r="G1017" s="12">
        <v>45017</v>
      </c>
      <c r="H1017" s="10" t="str">
        <f>IFERROR(VLOOKUP(Таблицаx_2[[#This Row],[id]],prolongations!A:C,2,)," ")</f>
        <v>апрель 2023</v>
      </c>
      <c r="I1017" s="10">
        <f>IF(Таблицаx_2[[#This Row],[Месяц окончания]]=Таблицаx_2[[#This Row],[Месяц]],Таблицаx_2[[#This Row],[Значения числа]],0)</f>
        <v>0</v>
      </c>
      <c r="J1017" s="8">
        <f>IF(AND(Таблицаx_2[[#This Row],[Месяц окончания]]=Таблицаx_2[[#This Row],[Месяц]],Таблицаx_2[[#This Row],[id]]=A1018,EDATE(Таблицаx_2[[#This Row],[Месяц]],1)=D1018),F1018,0)</f>
        <v>0</v>
      </c>
      <c r="K1017" s="8">
        <f>IF(AND(Таблицаx_2[[#This Row],[Месяц окончания]]=Таблицаx_2[[#This Row],[Месяц]],Таблицаx_2[[#This Row],[id]]=A1018,EDATE(Таблицаx_2[[#This Row],[Месяц]],2)=D1018),F1018,0)</f>
        <v>0</v>
      </c>
    </row>
    <row r="1018" spans="1:11" ht="12.75" hidden="1" customHeight="1" x14ac:dyDescent="0.2">
      <c r="A1018" s="8">
        <v>361</v>
      </c>
      <c r="B1018" s="8" t="s">
        <v>47</v>
      </c>
      <c r="C1018" s="8" t="s">
        <v>8</v>
      </c>
      <c r="D1018" s="12">
        <v>45108</v>
      </c>
      <c r="E1018" s="8">
        <v>8940</v>
      </c>
      <c r="F1018" s="10">
        <f>IF(ISTEXT(Таблицаx_2[[#This Row],[Значение]]), 0, Таблицаx_2[[#This Row],[Значение]])</f>
        <v>8940</v>
      </c>
      <c r="G1018" s="12">
        <v>45017</v>
      </c>
      <c r="H1018" s="10" t="str">
        <f>IFERROR(VLOOKUP(Таблицаx_2[[#This Row],[id]],prolongations!A:C,2,)," ")</f>
        <v>апрель 2023</v>
      </c>
      <c r="I1018" s="10">
        <f>IF(Таблицаx_2[[#This Row],[Месяц окончания]]=Таблицаx_2[[#This Row],[Месяц]],Таблицаx_2[[#This Row],[Значения числа]],0)</f>
        <v>0</v>
      </c>
      <c r="J1018" s="8">
        <f>IF(AND(Таблицаx_2[[#This Row],[Месяц окончания]]=Таблицаx_2[[#This Row],[Месяц]],Таблицаx_2[[#This Row],[id]]=A1019,EDATE(Таблицаx_2[[#This Row],[Месяц]],1)=D1019),F1019,0)</f>
        <v>0</v>
      </c>
      <c r="K1018" s="8">
        <f>IF(AND(Таблицаx_2[[#This Row],[Месяц окончания]]=Таблицаx_2[[#This Row],[Месяц]],Таблицаx_2[[#This Row],[id]]=A1019,EDATE(Таблицаx_2[[#This Row],[Месяц]],2)=D1019),F1019,0)</f>
        <v>0</v>
      </c>
    </row>
    <row r="1019" spans="1:11" ht="12.75" hidden="1" customHeight="1" x14ac:dyDescent="0.2">
      <c r="A1019" s="8">
        <v>361</v>
      </c>
      <c r="B1019" s="8" t="s">
        <v>47</v>
      </c>
      <c r="C1019" s="8" t="s">
        <v>8</v>
      </c>
      <c r="D1019" s="12">
        <v>45139</v>
      </c>
      <c r="E1019" s="8">
        <v>15460</v>
      </c>
      <c r="F1019" s="10">
        <f>IF(ISTEXT(Таблицаx_2[[#This Row],[Значение]]), 0, Таблицаx_2[[#This Row],[Значение]])</f>
        <v>15460</v>
      </c>
      <c r="G1019" s="12">
        <v>45017</v>
      </c>
      <c r="H1019" s="10" t="str">
        <f>IFERROR(VLOOKUP(Таблицаx_2[[#This Row],[id]],prolongations!A:C,2,)," ")</f>
        <v>апрель 2023</v>
      </c>
      <c r="I1019" s="10">
        <f>IF(Таблицаx_2[[#This Row],[Месяц окончания]]=Таблицаx_2[[#This Row],[Месяц]],Таблицаx_2[[#This Row],[Значения числа]],0)</f>
        <v>0</v>
      </c>
      <c r="J1019" s="8">
        <f>IF(AND(Таблицаx_2[[#This Row],[Месяц окончания]]=Таблицаx_2[[#This Row],[Месяц]],Таблицаx_2[[#This Row],[id]]=A1020,EDATE(Таблицаx_2[[#This Row],[Месяц]],1)=D1020),F1020,0)</f>
        <v>0</v>
      </c>
      <c r="K1019" s="8">
        <f>IF(AND(Таблицаx_2[[#This Row],[Месяц окончания]]=Таблицаx_2[[#This Row],[Месяц]],Таблицаx_2[[#This Row],[id]]=A1020,EDATE(Таблицаx_2[[#This Row],[Месяц]],2)=D1020),F1020,0)</f>
        <v>0</v>
      </c>
    </row>
    <row r="1020" spans="1:11" ht="12.75" hidden="1" customHeight="1" x14ac:dyDescent="0.2">
      <c r="A1020" s="8">
        <v>361</v>
      </c>
      <c r="B1020" s="8" t="s">
        <v>47</v>
      </c>
      <c r="C1020" s="8" t="s">
        <v>8</v>
      </c>
      <c r="D1020" s="12">
        <v>45170</v>
      </c>
      <c r="E1020" s="8">
        <v>16095</v>
      </c>
      <c r="F1020" s="10">
        <f>IF(ISTEXT(Таблицаx_2[[#This Row],[Значение]]), 0, Таблицаx_2[[#This Row],[Значение]])</f>
        <v>16095</v>
      </c>
      <c r="G1020" s="12">
        <v>45017</v>
      </c>
      <c r="H1020" s="10" t="str">
        <f>IFERROR(VLOOKUP(Таблицаx_2[[#This Row],[id]],prolongations!A:C,2,)," ")</f>
        <v>апрель 2023</v>
      </c>
      <c r="I1020" s="10">
        <f>IF(Таблицаx_2[[#This Row],[Месяц окончания]]=Таблицаx_2[[#This Row],[Месяц]],Таблицаx_2[[#This Row],[Значения числа]],0)</f>
        <v>0</v>
      </c>
      <c r="J1020" s="8">
        <f>IF(AND(Таблицаx_2[[#This Row],[Месяц окончания]]=Таблицаx_2[[#This Row],[Месяц]],Таблицаx_2[[#This Row],[id]]=A1021,EDATE(Таблицаx_2[[#This Row],[Месяц]],1)=D1021),F1021,0)</f>
        <v>0</v>
      </c>
      <c r="K1020" s="8">
        <f>IF(AND(Таблицаx_2[[#This Row],[Месяц окончания]]=Таблицаx_2[[#This Row],[Месяц]],Таблицаx_2[[#This Row],[id]]=A1021,EDATE(Таблицаx_2[[#This Row],[Месяц]],2)=D1021),F1021,0)</f>
        <v>0</v>
      </c>
    </row>
    <row r="1021" spans="1:11" ht="12.75" hidden="1" customHeight="1" x14ac:dyDescent="0.2">
      <c r="A1021" s="8">
        <v>361</v>
      </c>
      <c r="B1021" s="8" t="s">
        <v>47</v>
      </c>
      <c r="C1021" s="8" t="s">
        <v>8</v>
      </c>
      <c r="D1021" s="12">
        <v>45200</v>
      </c>
      <c r="E1021" s="8">
        <v>13350</v>
      </c>
      <c r="F1021" s="10">
        <f>IF(ISTEXT(Таблицаx_2[[#This Row],[Значение]]), 0, Таблицаx_2[[#This Row],[Значение]])</f>
        <v>13350</v>
      </c>
      <c r="G1021" s="12">
        <v>45017</v>
      </c>
      <c r="H1021" s="10" t="str">
        <f>IFERROR(VLOOKUP(Таблицаx_2[[#This Row],[id]],prolongations!A:C,2,)," ")</f>
        <v>апрель 2023</v>
      </c>
      <c r="I1021" s="10">
        <f>IF(Таблицаx_2[[#This Row],[Месяц окончания]]=Таблицаx_2[[#This Row],[Месяц]],Таблицаx_2[[#This Row],[Значения числа]],0)</f>
        <v>0</v>
      </c>
      <c r="J1021" s="8">
        <f>IF(AND(Таблицаx_2[[#This Row],[Месяц окончания]]=Таблицаx_2[[#This Row],[Месяц]],Таблицаx_2[[#This Row],[id]]=A1022,EDATE(Таблицаx_2[[#This Row],[Месяц]],1)=D1022),F1022,0)</f>
        <v>0</v>
      </c>
      <c r="K1021" s="8">
        <f>IF(AND(Таблицаx_2[[#This Row],[Месяц окончания]]=Таблицаx_2[[#This Row],[Месяц]],Таблицаx_2[[#This Row],[id]]=A1022,EDATE(Таблицаx_2[[#This Row],[Месяц]],2)=D1022),F1022,0)</f>
        <v>0</v>
      </c>
    </row>
    <row r="1022" spans="1:11" ht="12.75" hidden="1" customHeight="1" x14ac:dyDescent="0.2">
      <c r="A1022" s="8">
        <v>361</v>
      </c>
      <c r="B1022" s="8" t="s">
        <v>47</v>
      </c>
      <c r="C1022" s="8" t="s">
        <v>8</v>
      </c>
      <c r="D1022" s="12">
        <v>45231</v>
      </c>
      <c r="E1022" s="8">
        <v>8800</v>
      </c>
      <c r="F1022" s="10">
        <f>IF(ISTEXT(Таблицаx_2[[#This Row],[Значение]]), 0, Таблицаx_2[[#This Row],[Значение]])</f>
        <v>8800</v>
      </c>
      <c r="G1022" s="12">
        <v>45017</v>
      </c>
      <c r="H1022" s="10" t="str">
        <f>IFERROR(VLOOKUP(Таблицаx_2[[#This Row],[id]],prolongations!A:C,2,)," ")</f>
        <v>апрель 2023</v>
      </c>
      <c r="I1022" s="10">
        <f>IF(Таблицаx_2[[#This Row],[Месяц окончания]]=Таблицаx_2[[#This Row],[Месяц]],Таблицаx_2[[#This Row],[Значения числа]],0)</f>
        <v>0</v>
      </c>
      <c r="J1022" s="8">
        <f>IF(AND(Таблицаx_2[[#This Row],[Месяц окончания]]=Таблицаx_2[[#This Row],[Месяц]],Таблицаx_2[[#This Row],[id]]=A1023,EDATE(Таблицаx_2[[#This Row],[Месяц]],1)=D1023),F1023,0)</f>
        <v>0</v>
      </c>
      <c r="K1022" s="8">
        <f>IF(AND(Таблицаx_2[[#This Row],[Месяц окончания]]=Таблицаx_2[[#This Row],[Месяц]],Таблицаx_2[[#This Row],[id]]=A1023,EDATE(Таблицаx_2[[#This Row],[Месяц]],2)=D1023),F1023,0)</f>
        <v>0</v>
      </c>
    </row>
    <row r="1023" spans="1:11" ht="12.75" hidden="1" customHeight="1" x14ac:dyDescent="0.2">
      <c r="A1023" s="8">
        <v>361</v>
      </c>
      <c r="B1023" s="8" t="s">
        <v>47</v>
      </c>
      <c r="C1023" s="8" t="s">
        <v>8</v>
      </c>
      <c r="D1023" s="12">
        <v>45261</v>
      </c>
      <c r="E1023" s="8">
        <v>27585</v>
      </c>
      <c r="F1023" s="10">
        <f>IF(ISTEXT(Таблицаx_2[[#This Row],[Значение]]), 0, Таблицаx_2[[#This Row],[Значение]])</f>
        <v>27585</v>
      </c>
      <c r="G1023" s="12">
        <v>45017</v>
      </c>
      <c r="H1023" s="10" t="str">
        <f>IFERROR(VLOOKUP(Таблицаx_2[[#This Row],[id]],prolongations!A:C,2,)," ")</f>
        <v>апрель 2023</v>
      </c>
      <c r="I1023" s="10">
        <f>IF(Таблицаx_2[[#This Row],[Месяц окончания]]=Таблицаx_2[[#This Row],[Месяц]],Таблицаx_2[[#This Row],[Значения числа]],0)</f>
        <v>0</v>
      </c>
      <c r="J1023" s="8">
        <f>IF(AND(Таблицаx_2[[#This Row],[Месяц окончания]]=Таблицаx_2[[#This Row],[Месяц]],Таблицаx_2[[#This Row],[id]]=A1024,EDATE(Таблицаx_2[[#This Row],[Месяц]],1)=D1024),F1024,0)</f>
        <v>0</v>
      </c>
      <c r="K1023" s="8">
        <f>IF(AND(Таблицаx_2[[#This Row],[Месяц окончания]]=Таблицаx_2[[#This Row],[Месяц]],Таблицаx_2[[#This Row],[id]]=A1024,EDATE(Таблицаx_2[[#This Row],[Месяц]],2)=D1024),F1024,0)</f>
        <v>0</v>
      </c>
    </row>
    <row r="1024" spans="1:11" ht="12.75" hidden="1" customHeight="1" x14ac:dyDescent="0.2">
      <c r="A1024" s="8">
        <v>361</v>
      </c>
      <c r="B1024" s="8" t="s">
        <v>47</v>
      </c>
      <c r="C1024" s="8" t="s">
        <v>8</v>
      </c>
      <c r="D1024" s="12">
        <v>45292</v>
      </c>
      <c r="E1024" s="8" t="s">
        <v>46</v>
      </c>
      <c r="F1024" s="10">
        <f>IF(ISTEXT(Таблицаx_2[[#This Row],[Значение]]), 0, Таблицаx_2[[#This Row],[Значение]])</f>
        <v>0</v>
      </c>
      <c r="G1024" s="12">
        <v>45017</v>
      </c>
      <c r="H1024" s="10" t="str">
        <f>IFERROR(VLOOKUP(Таблицаx_2[[#This Row],[id]],prolongations!A:C,2,)," ")</f>
        <v>апрель 2023</v>
      </c>
      <c r="I1024" s="10">
        <f>IF(Таблицаx_2[[#This Row],[Месяц окончания]]=Таблицаx_2[[#This Row],[Месяц]],Таблицаx_2[[#This Row],[Значения числа]],0)</f>
        <v>0</v>
      </c>
      <c r="J1024" s="8">
        <f>IF(AND(Таблицаx_2[[#This Row],[Месяц окончания]]=Таблицаx_2[[#This Row],[Месяц]],Таблицаx_2[[#This Row],[id]]=A1025,EDATE(Таблицаx_2[[#This Row],[Месяц]],1)=D1025),F1025,0)</f>
        <v>0</v>
      </c>
      <c r="K1024" s="8">
        <f>IF(AND(Таблицаx_2[[#This Row],[Месяц окончания]]=Таблицаx_2[[#This Row],[Месяц]],Таблицаx_2[[#This Row],[id]]=A1025,EDATE(Таблицаx_2[[#This Row],[Месяц]],2)=D1025),F1025,0)</f>
        <v>0</v>
      </c>
    </row>
    <row r="1025" spans="1:11" ht="12.75" hidden="1" customHeight="1" x14ac:dyDescent="0.2">
      <c r="A1025" s="8">
        <v>912</v>
      </c>
      <c r="B1025" s="8"/>
      <c r="C1025" s="8" t="s">
        <v>10</v>
      </c>
      <c r="D1025" s="12">
        <v>45139</v>
      </c>
      <c r="E1025" s="8">
        <v>100955</v>
      </c>
      <c r="F1025" s="10">
        <f>IF(ISTEXT(Таблицаx_2[[#This Row],[Значение]]), 0, Таблицаx_2[[#This Row],[Значение]])</f>
        <v>100955</v>
      </c>
      <c r="G1025" s="12">
        <v>45170</v>
      </c>
      <c r="H1025" s="10" t="str">
        <f>IFERROR(VLOOKUP(Таблицаx_2[[#This Row],[id]],prolongations!A:C,2,)," ")</f>
        <v>сентябрь 2023</v>
      </c>
      <c r="I1025" s="10">
        <f>IF(Таблицаx_2[[#This Row],[Месяц окончания]]=Таблицаx_2[[#This Row],[Месяц]],Таблицаx_2[[#This Row],[Значения числа]],0)</f>
        <v>0</v>
      </c>
      <c r="J1025" s="8">
        <f>IF(AND(Таблицаx_2[[#This Row],[Месяц окончания]]=Таблицаx_2[[#This Row],[Месяц]],Таблицаx_2[[#This Row],[id]]=A1026,EDATE(Таблицаx_2[[#This Row],[Месяц]],1)=D1026),F1026,0)</f>
        <v>0</v>
      </c>
      <c r="K1025" s="8">
        <f>IF(AND(Таблицаx_2[[#This Row],[Месяц окончания]]=Таблицаx_2[[#This Row],[Месяц]],Таблицаx_2[[#This Row],[id]]=A1026,EDATE(Таблицаx_2[[#This Row],[Месяц]],2)=D1026),F1026,0)</f>
        <v>0</v>
      </c>
    </row>
    <row r="1026" spans="1:11" ht="12.75" hidden="1" customHeight="1" x14ac:dyDescent="0.2">
      <c r="A1026" s="8">
        <v>912</v>
      </c>
      <c r="B1026" s="8"/>
      <c r="C1026" s="8" t="s">
        <v>10</v>
      </c>
      <c r="D1026" s="12">
        <v>45170</v>
      </c>
      <c r="E1026" s="8">
        <v>70025</v>
      </c>
      <c r="F1026" s="10">
        <f>IF(ISTEXT(Таблицаx_2[[#This Row],[Значение]]), 0, Таблицаx_2[[#This Row],[Значение]])</f>
        <v>70025</v>
      </c>
      <c r="G1026" s="12">
        <v>45170</v>
      </c>
      <c r="H1026" s="10" t="str">
        <f>IFERROR(VLOOKUP(Таблицаx_2[[#This Row],[id]],prolongations!A:C,2,)," ")</f>
        <v>сентябрь 2023</v>
      </c>
      <c r="I1026" s="10">
        <f>IF(Таблицаx_2[[#This Row],[Месяц окончания]]=Таблицаx_2[[#This Row],[Месяц]],Таблицаx_2[[#This Row],[Значения числа]],0)</f>
        <v>70025</v>
      </c>
      <c r="J1026" s="8">
        <f>IF(AND(Таблицаx_2[[#This Row],[Месяц окончания]]=Таблицаx_2[[#This Row],[Месяц]],Таблицаx_2[[#This Row],[id]]=A1027,EDATE(Таблицаx_2[[#This Row],[Месяц]],1)=D1027),F1027,0)</f>
        <v>0</v>
      </c>
      <c r="K1026" s="8">
        <f>IF(AND(Таблицаx_2[[#This Row],[Месяц окончания]]=Таблицаx_2[[#This Row],[Месяц]],Таблицаx_2[[#This Row],[id]]=A1027,EDATE(Таблицаx_2[[#This Row],[Месяц]],2)=D1027),F1027,0)</f>
        <v>0</v>
      </c>
    </row>
    <row r="1027" spans="1:11" ht="12.75" hidden="1" customHeight="1" x14ac:dyDescent="0.2">
      <c r="A1027" s="8">
        <v>872</v>
      </c>
      <c r="B1027" s="8" t="s">
        <v>52</v>
      </c>
      <c r="C1027" s="8" t="s">
        <v>8</v>
      </c>
      <c r="D1027" s="12">
        <v>45078</v>
      </c>
      <c r="E1027" s="8">
        <v>17600</v>
      </c>
      <c r="F1027" s="10">
        <f>IF(ISTEXT(Таблицаx_2[[#This Row],[Значение]]), 0, Таблицаx_2[[#This Row],[Значение]])</f>
        <v>17600</v>
      </c>
      <c r="G1027" s="12">
        <v>45170</v>
      </c>
      <c r="H1027" s="10" t="str">
        <f>IFERROR(VLOOKUP(Таблицаx_2[[#This Row],[id]],prolongations!A:C,2,)," ")</f>
        <v>сентябрь 2023</v>
      </c>
      <c r="I1027" s="10">
        <f>IF(Таблицаx_2[[#This Row],[Месяц окончания]]=Таблицаx_2[[#This Row],[Месяц]],Таблицаx_2[[#This Row],[Значения числа]],0)</f>
        <v>0</v>
      </c>
      <c r="J1027" s="8">
        <f>IF(AND(Таблицаx_2[[#This Row],[Месяц окончания]]=Таблицаx_2[[#This Row],[Месяц]],Таблицаx_2[[#This Row],[id]]=A1028,EDATE(Таблицаx_2[[#This Row],[Месяц]],1)=D1028),F1028,0)</f>
        <v>0</v>
      </c>
      <c r="K1027" s="8">
        <f>IF(AND(Таблицаx_2[[#This Row],[Месяц окончания]]=Таблицаx_2[[#This Row],[Месяц]],Таблицаx_2[[#This Row],[id]]=A1028,EDATE(Таблицаx_2[[#This Row],[Месяц]],2)=D1028),F1028,0)</f>
        <v>0</v>
      </c>
    </row>
    <row r="1028" spans="1:11" ht="12.75" hidden="1" customHeight="1" x14ac:dyDescent="0.2">
      <c r="A1028" s="8">
        <v>872</v>
      </c>
      <c r="B1028" s="8" t="s">
        <v>52</v>
      </c>
      <c r="C1028" s="8" t="s">
        <v>8</v>
      </c>
      <c r="D1028" s="12">
        <v>45108</v>
      </c>
      <c r="E1028" s="8">
        <v>39495</v>
      </c>
      <c r="F1028" s="10">
        <f>IF(ISTEXT(Таблицаx_2[[#This Row],[Значение]]), 0, Таблицаx_2[[#This Row],[Значение]])</f>
        <v>39495</v>
      </c>
      <c r="G1028" s="12">
        <v>45170</v>
      </c>
      <c r="H1028" s="10" t="str">
        <f>IFERROR(VLOOKUP(Таблицаx_2[[#This Row],[id]],prolongations!A:C,2,)," ")</f>
        <v>сентябрь 2023</v>
      </c>
      <c r="I1028" s="10">
        <f>IF(Таблицаx_2[[#This Row],[Месяц окончания]]=Таблицаx_2[[#This Row],[Месяц]],Таблицаx_2[[#This Row],[Значения числа]],0)</f>
        <v>0</v>
      </c>
      <c r="J1028" s="8">
        <f>IF(AND(Таблицаx_2[[#This Row],[Месяц окончания]]=Таблицаx_2[[#This Row],[Месяц]],Таблицаx_2[[#This Row],[id]]=A1029,EDATE(Таблицаx_2[[#This Row],[Месяц]],1)=D1029),F1029,0)</f>
        <v>0</v>
      </c>
      <c r="K1028" s="8">
        <f>IF(AND(Таблицаx_2[[#This Row],[Месяц окончания]]=Таблицаx_2[[#This Row],[Месяц]],Таблицаx_2[[#This Row],[id]]=A1029,EDATE(Таблицаx_2[[#This Row],[Месяц]],2)=D1029),F1029,0)</f>
        <v>0</v>
      </c>
    </row>
    <row r="1029" spans="1:11" ht="12.75" hidden="1" customHeight="1" x14ac:dyDescent="0.2">
      <c r="A1029" s="8">
        <v>872</v>
      </c>
      <c r="B1029" s="8" t="s">
        <v>52</v>
      </c>
      <c r="C1029" s="8" t="s">
        <v>8</v>
      </c>
      <c r="D1029" s="12">
        <v>45139</v>
      </c>
      <c r="E1029" s="8">
        <v>39495</v>
      </c>
      <c r="F1029" s="10">
        <f>IF(ISTEXT(Таблицаx_2[[#This Row],[Значение]]), 0, Таблицаx_2[[#This Row],[Значение]])</f>
        <v>39495</v>
      </c>
      <c r="G1029" s="12">
        <v>45170</v>
      </c>
      <c r="H1029" s="10" t="str">
        <f>IFERROR(VLOOKUP(Таблицаx_2[[#This Row],[id]],prolongations!A:C,2,)," ")</f>
        <v>сентябрь 2023</v>
      </c>
      <c r="I1029" s="10">
        <f>IF(Таблицаx_2[[#This Row],[Месяц окончания]]=Таблицаx_2[[#This Row],[Месяц]],Таблицаx_2[[#This Row],[Значения числа]],0)</f>
        <v>0</v>
      </c>
      <c r="J1029" s="8">
        <f>IF(AND(Таблицаx_2[[#This Row],[Месяц окончания]]=Таблицаx_2[[#This Row],[Месяц]],Таблицаx_2[[#This Row],[id]]=A1030,EDATE(Таблицаx_2[[#This Row],[Месяц]],1)=D1030),F1030,0)</f>
        <v>0</v>
      </c>
      <c r="K1029" s="8">
        <f>IF(AND(Таблицаx_2[[#This Row],[Месяц окончания]]=Таблицаx_2[[#This Row],[Месяц]],Таблицаx_2[[#This Row],[id]]=A1030,EDATE(Таблицаx_2[[#This Row],[Месяц]],2)=D1030),F1030,0)</f>
        <v>0</v>
      </c>
    </row>
    <row r="1030" spans="1:11" ht="12.75" hidden="1" customHeight="1" x14ac:dyDescent="0.2">
      <c r="A1030" s="8">
        <v>872</v>
      </c>
      <c r="B1030" s="8" t="s">
        <v>52</v>
      </c>
      <c r="C1030" s="8" t="s">
        <v>8</v>
      </c>
      <c r="D1030" s="12">
        <v>45170</v>
      </c>
      <c r="E1030" s="8">
        <v>39495</v>
      </c>
      <c r="F1030" s="10">
        <f>IF(ISTEXT(Таблицаx_2[[#This Row],[Значение]]), 0, Таблицаx_2[[#This Row],[Значение]])</f>
        <v>39495</v>
      </c>
      <c r="G1030" s="12">
        <v>45170</v>
      </c>
      <c r="H1030" s="10" t="str">
        <f>IFERROR(VLOOKUP(Таблицаx_2[[#This Row],[id]],prolongations!A:C,2,)," ")</f>
        <v>сентябрь 2023</v>
      </c>
      <c r="I1030" s="10">
        <f>IF(Таблицаx_2[[#This Row],[Месяц окончания]]=Таблицаx_2[[#This Row],[Месяц]],Таблицаx_2[[#This Row],[Значения числа]],0)</f>
        <v>39495</v>
      </c>
      <c r="J1030" s="8">
        <f>IF(AND(Таблицаx_2[[#This Row],[Месяц окончания]]=Таблицаx_2[[#This Row],[Месяц]],Таблицаx_2[[#This Row],[id]]=A1031,EDATE(Таблицаx_2[[#This Row],[Месяц]],1)=D1031),F1031,0)</f>
        <v>36515</v>
      </c>
      <c r="K1030" s="8">
        <f>IF(AND(Таблицаx_2[[#This Row],[Месяц окончания]]=Таблицаx_2[[#This Row],[Месяц]],Таблицаx_2[[#This Row],[id]]=A1031,EDATE(Таблицаx_2[[#This Row],[Месяц]],2)=D1031),F1031,0)</f>
        <v>0</v>
      </c>
    </row>
    <row r="1031" spans="1:11" ht="12.75" hidden="1" customHeight="1" x14ac:dyDescent="0.2">
      <c r="A1031" s="8">
        <v>872</v>
      </c>
      <c r="B1031" s="8" t="s">
        <v>52</v>
      </c>
      <c r="C1031" s="8" t="s">
        <v>8</v>
      </c>
      <c r="D1031" s="12">
        <v>45200</v>
      </c>
      <c r="E1031" s="8">
        <v>36515</v>
      </c>
      <c r="F1031" s="10">
        <f>IF(ISTEXT(Таблицаx_2[[#This Row],[Значение]]), 0, Таблицаx_2[[#This Row],[Значение]])</f>
        <v>36515</v>
      </c>
      <c r="G1031" s="12">
        <v>45170</v>
      </c>
      <c r="H1031" s="10" t="str">
        <f>IFERROR(VLOOKUP(Таблицаx_2[[#This Row],[id]],prolongations!A:C,2,)," ")</f>
        <v>сентябрь 2023</v>
      </c>
      <c r="I1031" s="10">
        <f>IF(Таблицаx_2[[#This Row],[Месяц окончания]]=Таблицаx_2[[#This Row],[Месяц]],Таблицаx_2[[#This Row],[Значения числа]],0)</f>
        <v>0</v>
      </c>
      <c r="J1031" s="8">
        <f>IF(AND(Таблицаx_2[[#This Row],[Месяц окончания]]=Таблицаx_2[[#This Row],[Месяц]],Таблицаx_2[[#This Row],[id]]=A1032,EDATE(Таблицаx_2[[#This Row],[Месяц]],1)=D1032),F1032,0)</f>
        <v>0</v>
      </c>
      <c r="K1031" s="8">
        <f>IF(AND(Таблицаx_2[[#This Row],[Месяц окончания]]=Таблицаx_2[[#This Row],[Месяц]],Таблицаx_2[[#This Row],[id]]=A1032,EDATE(Таблицаx_2[[#This Row],[Месяц]],2)=D1032),F1032,0)</f>
        <v>0</v>
      </c>
    </row>
    <row r="1032" spans="1:11" ht="12.75" hidden="1" customHeight="1" x14ac:dyDescent="0.2">
      <c r="A1032" s="8">
        <v>872</v>
      </c>
      <c r="B1032" s="8" t="s">
        <v>52</v>
      </c>
      <c r="C1032" s="8" t="s">
        <v>8</v>
      </c>
      <c r="D1032" s="12">
        <v>45231</v>
      </c>
      <c r="E1032" s="8">
        <v>36515</v>
      </c>
      <c r="F1032" s="10">
        <f>IF(ISTEXT(Таблицаx_2[[#This Row],[Значение]]), 0, Таблицаx_2[[#This Row],[Значение]])</f>
        <v>36515</v>
      </c>
      <c r="G1032" s="12">
        <v>45170</v>
      </c>
      <c r="H1032" s="10" t="str">
        <f>IFERROR(VLOOKUP(Таблицаx_2[[#This Row],[id]],prolongations!A:C,2,)," ")</f>
        <v>сентябрь 2023</v>
      </c>
      <c r="I1032" s="10">
        <f>IF(Таблицаx_2[[#This Row],[Месяц окончания]]=Таблицаx_2[[#This Row],[Месяц]],Таблицаx_2[[#This Row],[Значения числа]],0)</f>
        <v>0</v>
      </c>
      <c r="J1032" s="8">
        <f>IF(AND(Таблицаx_2[[#This Row],[Месяц окончания]]=Таблицаx_2[[#This Row],[Месяц]],Таблицаx_2[[#This Row],[id]]=A1033,EDATE(Таблицаx_2[[#This Row],[Месяц]],1)=D1033),F1033,0)</f>
        <v>0</v>
      </c>
      <c r="K1032" s="8">
        <f>IF(AND(Таблицаx_2[[#This Row],[Месяц окончания]]=Таблицаx_2[[#This Row],[Месяц]],Таблицаx_2[[#This Row],[id]]=A1033,EDATE(Таблицаx_2[[#This Row],[Месяц]],2)=D1033),F1033,0)</f>
        <v>0</v>
      </c>
    </row>
    <row r="1033" spans="1:11" ht="12.75" hidden="1" customHeight="1" x14ac:dyDescent="0.2">
      <c r="A1033" s="8">
        <v>872</v>
      </c>
      <c r="B1033" s="8" t="s">
        <v>52</v>
      </c>
      <c r="C1033" s="8" t="s">
        <v>8</v>
      </c>
      <c r="D1033" s="12">
        <v>45261</v>
      </c>
      <c r="E1033" s="8">
        <v>44570</v>
      </c>
      <c r="F1033" s="10">
        <f>IF(ISTEXT(Таблицаx_2[[#This Row],[Значение]]), 0, Таблицаx_2[[#This Row],[Значение]])</f>
        <v>44570</v>
      </c>
      <c r="G1033" s="12">
        <v>45170</v>
      </c>
      <c r="H1033" s="10" t="str">
        <f>IFERROR(VLOOKUP(Таблицаx_2[[#This Row],[id]],prolongations!A:C,2,)," ")</f>
        <v>сентябрь 2023</v>
      </c>
      <c r="I1033" s="10">
        <f>IF(Таблицаx_2[[#This Row],[Месяц окончания]]=Таблицаx_2[[#This Row],[Месяц]],Таблицаx_2[[#This Row],[Значения числа]],0)</f>
        <v>0</v>
      </c>
      <c r="J1033" s="8">
        <f>IF(AND(Таблицаx_2[[#This Row],[Месяц окончания]]=Таблицаx_2[[#This Row],[Месяц]],Таблицаx_2[[#This Row],[id]]=A1034,EDATE(Таблицаx_2[[#This Row],[Месяц]],1)=D1034),F1034,0)</f>
        <v>0</v>
      </c>
      <c r="K1033" s="8">
        <f>IF(AND(Таблицаx_2[[#This Row],[Месяц окончания]]=Таблицаx_2[[#This Row],[Месяц]],Таблицаx_2[[#This Row],[id]]=A1034,EDATE(Таблицаx_2[[#This Row],[Месяц]],2)=D1034),F1034,0)</f>
        <v>0</v>
      </c>
    </row>
    <row r="1034" spans="1:11" ht="12.75" hidden="1" customHeight="1" x14ac:dyDescent="0.2">
      <c r="A1034" s="8">
        <v>872</v>
      </c>
      <c r="B1034" s="8" t="s">
        <v>52</v>
      </c>
      <c r="C1034" s="8" t="s">
        <v>8</v>
      </c>
      <c r="D1034" s="12">
        <v>45292</v>
      </c>
      <c r="E1034" s="8">
        <v>37570</v>
      </c>
      <c r="F1034" s="10">
        <f>IF(ISTEXT(Таблицаx_2[[#This Row],[Значение]]), 0, Таблицаx_2[[#This Row],[Значение]])</f>
        <v>37570</v>
      </c>
      <c r="G1034" s="12">
        <v>45170</v>
      </c>
      <c r="H1034" s="10" t="str">
        <f>IFERROR(VLOOKUP(Таблицаx_2[[#This Row],[id]],prolongations!A:C,2,)," ")</f>
        <v>сентябрь 2023</v>
      </c>
      <c r="I1034" s="10">
        <f>IF(Таблицаx_2[[#This Row],[Месяц окончания]]=Таблицаx_2[[#This Row],[Месяц]],Таблицаx_2[[#This Row],[Значения числа]],0)</f>
        <v>0</v>
      </c>
      <c r="J1034" s="8">
        <f>IF(AND(Таблицаx_2[[#This Row],[Месяц окончания]]=Таблицаx_2[[#This Row],[Месяц]],Таблицаx_2[[#This Row],[id]]=A1035,EDATE(Таблицаx_2[[#This Row],[Месяц]],1)=D1035),F1035,0)</f>
        <v>0</v>
      </c>
      <c r="K1034" s="8">
        <f>IF(AND(Таблицаx_2[[#This Row],[Месяц окончания]]=Таблицаx_2[[#This Row],[Месяц]],Таблицаx_2[[#This Row],[id]]=A1035,EDATE(Таблицаx_2[[#This Row],[Месяц]],2)=D1035),F1035,0)</f>
        <v>0</v>
      </c>
    </row>
    <row r="1035" spans="1:11" ht="12.75" hidden="1" customHeight="1" x14ac:dyDescent="0.2">
      <c r="A1035" s="8">
        <v>872</v>
      </c>
      <c r="B1035" s="8" t="s">
        <v>52</v>
      </c>
      <c r="C1035" s="8" t="s">
        <v>8</v>
      </c>
      <c r="D1035" s="12">
        <v>45323</v>
      </c>
      <c r="E1035" s="8">
        <v>37570</v>
      </c>
      <c r="F1035" s="10">
        <f>IF(ISTEXT(Таблицаx_2[[#This Row],[Значение]]), 0, Таблицаx_2[[#This Row],[Значение]])</f>
        <v>37570</v>
      </c>
      <c r="G1035" s="12">
        <v>45170</v>
      </c>
      <c r="H1035" s="10" t="str">
        <f>IFERROR(VLOOKUP(Таблицаx_2[[#This Row],[id]],prolongations!A:C,2,)," ")</f>
        <v>сентябрь 2023</v>
      </c>
      <c r="I1035" s="10">
        <f>IF(Таблицаx_2[[#This Row],[Месяц окончания]]=Таблицаx_2[[#This Row],[Месяц]],Таблицаx_2[[#This Row],[Значения числа]],0)</f>
        <v>0</v>
      </c>
      <c r="J1035" s="8">
        <f>IF(AND(Таблицаx_2[[#This Row],[Месяц окончания]]=Таблицаx_2[[#This Row],[Месяц]],Таблицаx_2[[#This Row],[id]]=A1036,EDATE(Таблицаx_2[[#This Row],[Месяц]],1)=D1036),F1036,0)</f>
        <v>0</v>
      </c>
      <c r="K1035" s="8">
        <f>IF(AND(Таблицаx_2[[#This Row],[Месяц окончания]]=Таблицаx_2[[#This Row],[Месяц]],Таблицаx_2[[#This Row],[id]]=A1036,EDATE(Таблицаx_2[[#This Row],[Месяц]],2)=D1036),F1036,0)</f>
        <v>0</v>
      </c>
    </row>
    <row r="1036" spans="1:11" ht="12.75" hidden="1" customHeight="1" x14ac:dyDescent="0.2">
      <c r="A1036" s="8">
        <v>872</v>
      </c>
      <c r="B1036" s="8" t="s">
        <v>50</v>
      </c>
      <c r="C1036" s="8" t="s">
        <v>8</v>
      </c>
      <c r="D1036" s="12">
        <v>45078</v>
      </c>
      <c r="E1036" s="8" t="s">
        <v>48</v>
      </c>
      <c r="F1036" s="10">
        <f>IF(ISTEXT(Таблицаx_2[[#This Row],[Значение]]), 0, Таблицаx_2[[#This Row],[Значение]])</f>
        <v>0</v>
      </c>
      <c r="G1036" s="12">
        <v>45170</v>
      </c>
      <c r="H1036" s="10" t="str">
        <f>IFERROR(VLOOKUP(Таблицаx_2[[#This Row],[id]],prolongations!A:C,2,)," ")</f>
        <v>сентябрь 2023</v>
      </c>
      <c r="I1036" s="10">
        <f>IF(Таблицаx_2[[#This Row],[Месяц окончания]]=Таблицаx_2[[#This Row],[Месяц]],Таблицаx_2[[#This Row],[Значения числа]],0)</f>
        <v>0</v>
      </c>
      <c r="J1036" s="8">
        <f>IF(AND(Таблицаx_2[[#This Row],[Месяц окончания]]=Таблицаx_2[[#This Row],[Месяц]],Таблицаx_2[[#This Row],[id]]=A1037,EDATE(Таблицаx_2[[#This Row],[Месяц]],1)=D1037),F1037,0)</f>
        <v>0</v>
      </c>
      <c r="K1036" s="8">
        <f>IF(AND(Таблицаx_2[[#This Row],[Месяц окончания]]=Таблицаx_2[[#This Row],[Месяц]],Таблицаx_2[[#This Row],[id]]=A1037,EDATE(Таблицаx_2[[#This Row],[Месяц]],2)=D1037),F1037,0)</f>
        <v>0</v>
      </c>
    </row>
    <row r="1037" spans="1:11" ht="12.75" hidden="1" customHeight="1" x14ac:dyDescent="0.2">
      <c r="A1037" s="8">
        <v>872</v>
      </c>
      <c r="B1037" s="8" t="s">
        <v>50</v>
      </c>
      <c r="C1037" s="8" t="s">
        <v>8</v>
      </c>
      <c r="D1037" s="12">
        <v>45108</v>
      </c>
      <c r="E1037" s="8" t="s">
        <v>48</v>
      </c>
      <c r="F1037" s="10">
        <f>IF(ISTEXT(Таблицаx_2[[#This Row],[Значение]]), 0, Таблицаx_2[[#This Row],[Значение]])</f>
        <v>0</v>
      </c>
      <c r="G1037" s="12">
        <v>45170</v>
      </c>
      <c r="H1037" s="10" t="str">
        <f>IFERROR(VLOOKUP(Таблицаx_2[[#This Row],[id]],prolongations!A:C,2,)," ")</f>
        <v>сентябрь 2023</v>
      </c>
      <c r="I1037" s="10">
        <f>IF(Таблицаx_2[[#This Row],[Месяц окончания]]=Таблицаx_2[[#This Row],[Месяц]],Таблицаx_2[[#This Row],[Значения числа]],0)</f>
        <v>0</v>
      </c>
      <c r="J1037" s="8">
        <f>IF(AND(Таблицаx_2[[#This Row],[Месяц окончания]]=Таблицаx_2[[#This Row],[Месяц]],Таблицаx_2[[#This Row],[id]]=A1038,EDATE(Таблицаx_2[[#This Row],[Месяц]],1)=D1038),F1038,0)</f>
        <v>0</v>
      </c>
      <c r="K1037" s="8">
        <f>IF(AND(Таблицаx_2[[#This Row],[Месяц окончания]]=Таблицаx_2[[#This Row],[Месяц]],Таблицаx_2[[#This Row],[id]]=A1038,EDATE(Таблицаx_2[[#This Row],[Месяц]],2)=D1038),F1038,0)</f>
        <v>0</v>
      </c>
    </row>
    <row r="1038" spans="1:11" ht="12.75" hidden="1" customHeight="1" x14ac:dyDescent="0.2">
      <c r="A1038" s="8">
        <v>872</v>
      </c>
      <c r="B1038" s="8" t="s">
        <v>50</v>
      </c>
      <c r="C1038" s="8" t="s">
        <v>8</v>
      </c>
      <c r="D1038" s="12">
        <v>45139</v>
      </c>
      <c r="E1038" s="8" t="s">
        <v>48</v>
      </c>
      <c r="F1038" s="10">
        <f>IF(ISTEXT(Таблицаx_2[[#This Row],[Значение]]), 0, Таблицаx_2[[#This Row],[Значение]])</f>
        <v>0</v>
      </c>
      <c r="G1038" s="12">
        <v>45170</v>
      </c>
      <c r="H1038" s="10" t="str">
        <f>IFERROR(VLOOKUP(Таблицаx_2[[#This Row],[id]],prolongations!A:C,2,)," ")</f>
        <v>сентябрь 2023</v>
      </c>
      <c r="I1038" s="10">
        <f>IF(Таблицаx_2[[#This Row],[Месяц окончания]]=Таблицаx_2[[#This Row],[Месяц]],Таблицаx_2[[#This Row],[Значения числа]],0)</f>
        <v>0</v>
      </c>
      <c r="J1038" s="8">
        <f>IF(AND(Таблицаx_2[[#This Row],[Месяц окончания]]=Таблицаx_2[[#This Row],[Месяц]],Таблицаx_2[[#This Row],[id]]=A1039,EDATE(Таблицаx_2[[#This Row],[Месяц]],1)=D1039),F1039,0)</f>
        <v>0</v>
      </c>
      <c r="K1038" s="8">
        <f>IF(AND(Таблицаx_2[[#This Row],[Месяц окончания]]=Таблицаx_2[[#This Row],[Месяц]],Таблицаx_2[[#This Row],[id]]=A1039,EDATE(Таблицаx_2[[#This Row],[Месяц]],2)=D1039),F1039,0)</f>
        <v>0</v>
      </c>
    </row>
    <row r="1039" spans="1:11" ht="12.75" hidden="1" customHeight="1" x14ac:dyDescent="0.2">
      <c r="A1039" s="8">
        <v>872</v>
      </c>
      <c r="B1039" s="8" t="s">
        <v>50</v>
      </c>
      <c r="C1039" s="8" t="s">
        <v>8</v>
      </c>
      <c r="D1039" s="12">
        <v>45170</v>
      </c>
      <c r="E1039" s="8" t="s">
        <v>48</v>
      </c>
      <c r="F1039" s="10">
        <f>IF(ISTEXT(Таблицаx_2[[#This Row],[Значение]]), 0, Таблицаx_2[[#This Row],[Значение]])</f>
        <v>0</v>
      </c>
      <c r="G1039" s="12">
        <v>45170</v>
      </c>
      <c r="H1039" s="10" t="str">
        <f>IFERROR(VLOOKUP(Таблицаx_2[[#This Row],[id]],prolongations!A:C,2,)," ")</f>
        <v>сентябрь 2023</v>
      </c>
      <c r="I1039" s="10">
        <f>IF(Таблицаx_2[[#This Row],[Месяц окончания]]=Таблицаx_2[[#This Row],[Месяц]],Таблицаx_2[[#This Row],[Значения числа]],0)</f>
        <v>0</v>
      </c>
      <c r="J1039" s="8">
        <f>IF(AND(Таблицаx_2[[#This Row],[Месяц окончания]]=Таблицаx_2[[#This Row],[Месяц]],Таблицаx_2[[#This Row],[id]]=A1040,EDATE(Таблицаx_2[[#This Row],[Месяц]],1)=D1040),F1040,0)</f>
        <v>0</v>
      </c>
      <c r="K1039" s="8">
        <f>IF(AND(Таблицаx_2[[#This Row],[Месяц окончания]]=Таблицаx_2[[#This Row],[Месяц]],Таблицаx_2[[#This Row],[id]]=A1040,EDATE(Таблицаx_2[[#This Row],[Месяц]],2)=D1040),F1040,0)</f>
        <v>0</v>
      </c>
    </row>
    <row r="1040" spans="1:11" ht="12.75" hidden="1" customHeight="1" x14ac:dyDescent="0.2">
      <c r="A1040" s="8">
        <v>872</v>
      </c>
      <c r="B1040" s="8" t="s">
        <v>50</v>
      </c>
      <c r="C1040" s="8" t="s">
        <v>8</v>
      </c>
      <c r="D1040" s="12">
        <v>45200</v>
      </c>
      <c r="E1040" s="8" t="s">
        <v>48</v>
      </c>
      <c r="F1040" s="10">
        <f>IF(ISTEXT(Таблицаx_2[[#This Row],[Значение]]), 0, Таблицаx_2[[#This Row],[Значение]])</f>
        <v>0</v>
      </c>
      <c r="G1040" s="12">
        <v>45170</v>
      </c>
      <c r="H1040" s="10" t="str">
        <f>IFERROR(VLOOKUP(Таблицаx_2[[#This Row],[id]],prolongations!A:C,2,)," ")</f>
        <v>сентябрь 2023</v>
      </c>
      <c r="I1040" s="10">
        <f>IF(Таблицаx_2[[#This Row],[Месяц окончания]]=Таблицаx_2[[#This Row],[Месяц]],Таблицаx_2[[#This Row],[Значения числа]],0)</f>
        <v>0</v>
      </c>
      <c r="J1040" s="8">
        <f>IF(AND(Таблицаx_2[[#This Row],[Месяц окончания]]=Таблицаx_2[[#This Row],[Месяц]],Таблицаx_2[[#This Row],[id]]=A1041,EDATE(Таблицаx_2[[#This Row],[Месяц]],1)=D1041),F1041,0)</f>
        <v>0</v>
      </c>
      <c r="K1040" s="8">
        <f>IF(AND(Таблицаx_2[[#This Row],[Месяц окончания]]=Таблицаx_2[[#This Row],[Месяц]],Таблицаx_2[[#This Row],[id]]=A1041,EDATE(Таблицаx_2[[#This Row],[Месяц]],2)=D1041),F1041,0)</f>
        <v>0</v>
      </c>
    </row>
    <row r="1041" spans="1:11" ht="12.75" hidden="1" customHeight="1" x14ac:dyDescent="0.2">
      <c r="A1041" s="8">
        <v>872</v>
      </c>
      <c r="B1041" s="8" t="s">
        <v>50</v>
      </c>
      <c r="C1041" s="8" t="s">
        <v>8</v>
      </c>
      <c r="D1041" s="12">
        <v>45231</v>
      </c>
      <c r="E1041" s="8" t="s">
        <v>48</v>
      </c>
      <c r="F1041" s="10">
        <f>IF(ISTEXT(Таблицаx_2[[#This Row],[Значение]]), 0, Таблицаx_2[[#This Row],[Значение]])</f>
        <v>0</v>
      </c>
      <c r="G1041" s="12">
        <v>45170</v>
      </c>
      <c r="H1041" s="10" t="str">
        <f>IFERROR(VLOOKUP(Таблицаx_2[[#This Row],[id]],prolongations!A:C,2,)," ")</f>
        <v>сентябрь 2023</v>
      </c>
      <c r="I1041" s="10">
        <f>IF(Таблицаx_2[[#This Row],[Месяц окончания]]=Таблицаx_2[[#This Row],[Месяц]],Таблицаx_2[[#This Row],[Значения числа]],0)</f>
        <v>0</v>
      </c>
      <c r="J1041" s="8">
        <f>IF(AND(Таблицаx_2[[#This Row],[Месяц окончания]]=Таблицаx_2[[#This Row],[Месяц]],Таблицаx_2[[#This Row],[id]]=A1042,EDATE(Таблицаx_2[[#This Row],[Месяц]],1)=D1042),F1042,0)</f>
        <v>0</v>
      </c>
      <c r="K1041" s="8">
        <f>IF(AND(Таблицаx_2[[#This Row],[Месяц окончания]]=Таблицаx_2[[#This Row],[Месяц]],Таблицаx_2[[#This Row],[id]]=A1042,EDATE(Таблицаx_2[[#This Row],[Месяц]],2)=D1042),F1042,0)</f>
        <v>0</v>
      </c>
    </row>
    <row r="1042" spans="1:11" ht="12.75" hidden="1" customHeight="1" x14ac:dyDescent="0.2">
      <c r="A1042" s="8">
        <v>872</v>
      </c>
      <c r="B1042" s="8" t="s">
        <v>50</v>
      </c>
      <c r="C1042" s="8" t="s">
        <v>8</v>
      </c>
      <c r="D1042" s="12">
        <v>45261</v>
      </c>
      <c r="E1042" s="8" t="s">
        <v>48</v>
      </c>
      <c r="F1042" s="10">
        <f>IF(ISTEXT(Таблицаx_2[[#This Row],[Значение]]), 0, Таблицаx_2[[#This Row],[Значение]])</f>
        <v>0</v>
      </c>
      <c r="G1042" s="12">
        <v>45170</v>
      </c>
      <c r="H1042" s="10" t="str">
        <f>IFERROR(VLOOKUP(Таблицаx_2[[#This Row],[id]],prolongations!A:C,2,)," ")</f>
        <v>сентябрь 2023</v>
      </c>
      <c r="I1042" s="10">
        <f>IF(Таблицаx_2[[#This Row],[Месяц окончания]]=Таблицаx_2[[#This Row],[Месяц]],Таблицаx_2[[#This Row],[Значения числа]],0)</f>
        <v>0</v>
      </c>
      <c r="J1042" s="8">
        <f>IF(AND(Таблицаx_2[[#This Row],[Месяц окончания]]=Таблицаx_2[[#This Row],[Месяц]],Таблицаx_2[[#This Row],[id]]=A1043,EDATE(Таблицаx_2[[#This Row],[Месяц]],1)=D1043),F1043,0)</f>
        <v>0</v>
      </c>
      <c r="K1042" s="8">
        <f>IF(AND(Таблицаx_2[[#This Row],[Месяц окончания]]=Таблицаx_2[[#This Row],[Месяц]],Таблицаx_2[[#This Row],[id]]=A1043,EDATE(Таблицаx_2[[#This Row],[Месяц]],2)=D1043),F1043,0)</f>
        <v>0</v>
      </c>
    </row>
    <row r="1043" spans="1:11" ht="12.75" hidden="1" customHeight="1" x14ac:dyDescent="0.2">
      <c r="A1043" s="8">
        <v>872</v>
      </c>
      <c r="B1043" s="8" t="s">
        <v>50</v>
      </c>
      <c r="C1043" s="8" t="s">
        <v>8</v>
      </c>
      <c r="D1043" s="12">
        <v>45292</v>
      </c>
      <c r="E1043" s="8" t="s">
        <v>48</v>
      </c>
      <c r="F1043" s="10">
        <f>IF(ISTEXT(Таблицаx_2[[#This Row],[Значение]]), 0, Таблицаx_2[[#This Row],[Значение]])</f>
        <v>0</v>
      </c>
      <c r="G1043" s="12">
        <v>45170</v>
      </c>
      <c r="H1043" s="10" t="str">
        <f>IFERROR(VLOOKUP(Таблицаx_2[[#This Row],[id]],prolongations!A:C,2,)," ")</f>
        <v>сентябрь 2023</v>
      </c>
      <c r="I1043" s="10">
        <f>IF(Таблицаx_2[[#This Row],[Месяц окончания]]=Таблицаx_2[[#This Row],[Месяц]],Таблицаx_2[[#This Row],[Значения числа]],0)</f>
        <v>0</v>
      </c>
      <c r="J1043" s="8">
        <f>IF(AND(Таблицаx_2[[#This Row],[Месяц окончания]]=Таблицаx_2[[#This Row],[Месяц]],Таблицаx_2[[#This Row],[id]]=A1044,EDATE(Таблицаx_2[[#This Row],[Месяц]],1)=D1044),F1044,0)</f>
        <v>0</v>
      </c>
      <c r="K1043" s="8">
        <f>IF(AND(Таблицаx_2[[#This Row],[Месяц окончания]]=Таблицаx_2[[#This Row],[Месяц]],Таблицаx_2[[#This Row],[id]]=A1044,EDATE(Таблицаx_2[[#This Row],[Месяц]],2)=D1044),F1044,0)</f>
        <v>0</v>
      </c>
    </row>
    <row r="1044" spans="1:11" ht="12.75" hidden="1" customHeight="1" x14ac:dyDescent="0.2">
      <c r="A1044" s="8">
        <v>872</v>
      </c>
      <c r="B1044" s="8" t="s">
        <v>50</v>
      </c>
      <c r="C1044" s="8" t="s">
        <v>8</v>
      </c>
      <c r="D1044" s="12">
        <v>45323</v>
      </c>
      <c r="E1044" s="8" t="s">
        <v>48</v>
      </c>
      <c r="F1044" s="10">
        <f>IF(ISTEXT(Таблицаx_2[[#This Row],[Значение]]), 0, Таблицаx_2[[#This Row],[Значение]])</f>
        <v>0</v>
      </c>
      <c r="G1044" s="12">
        <v>45170</v>
      </c>
      <c r="H1044" s="10" t="str">
        <f>IFERROR(VLOOKUP(Таблицаx_2[[#This Row],[id]],prolongations!A:C,2,)," ")</f>
        <v>сентябрь 2023</v>
      </c>
      <c r="I1044" s="10">
        <f>IF(Таблицаx_2[[#This Row],[Месяц окончания]]=Таблицаx_2[[#This Row],[Месяц]],Таблицаx_2[[#This Row],[Значения числа]],0)</f>
        <v>0</v>
      </c>
      <c r="J1044" s="8">
        <f>IF(AND(Таблицаx_2[[#This Row],[Месяц окончания]]=Таблицаx_2[[#This Row],[Месяц]],Таблицаx_2[[#This Row],[id]]=A1045,EDATE(Таблицаx_2[[#This Row],[Месяц]],1)=D1045),F1045,0)</f>
        <v>0</v>
      </c>
      <c r="K1044" s="8">
        <f>IF(AND(Таблицаx_2[[#This Row],[Месяц окончания]]=Таблицаx_2[[#This Row],[Месяц]],Таблицаx_2[[#This Row],[id]]=A1045,EDATE(Таблицаx_2[[#This Row],[Месяц]],2)=D1045),F1045,0)</f>
        <v>0</v>
      </c>
    </row>
    <row r="1045" spans="1:11" ht="12.75" hidden="1" customHeight="1" x14ac:dyDescent="0.2">
      <c r="A1045" s="8">
        <v>969</v>
      </c>
      <c r="B1045" s="8"/>
      <c r="C1045" s="8" t="s">
        <v>8</v>
      </c>
      <c r="D1045" s="12">
        <v>45170</v>
      </c>
      <c r="E1045" s="8">
        <v>40225</v>
      </c>
      <c r="F1045" s="10">
        <f>IF(ISTEXT(Таблицаx_2[[#This Row],[Значение]]), 0, Таблицаx_2[[#This Row],[Значение]])</f>
        <v>40225</v>
      </c>
      <c r="G1045" s="12">
        <v>45170</v>
      </c>
      <c r="H1045" s="10" t="str">
        <f>IFERROR(VLOOKUP(Таблицаx_2[[#This Row],[id]],prolongations!A:C,2,)," ")</f>
        <v>сентябрь 2023</v>
      </c>
      <c r="I1045" s="10">
        <f>IF(Таблицаx_2[[#This Row],[Месяц окончания]]=Таблицаx_2[[#This Row],[Месяц]],Таблицаx_2[[#This Row],[Значения числа]],0)</f>
        <v>40225</v>
      </c>
      <c r="J1045" s="8">
        <f>IF(AND(Таблицаx_2[[#This Row],[Месяц окончания]]=Таблицаx_2[[#This Row],[Месяц]],Таблицаx_2[[#This Row],[id]]=A1046,EDATE(Таблицаx_2[[#This Row],[Месяц]],1)=D1046),F1046,0)</f>
        <v>0</v>
      </c>
      <c r="K1045" s="8">
        <f>IF(AND(Таблицаx_2[[#This Row],[Месяц окончания]]=Таблицаx_2[[#This Row],[Месяц]],Таблицаx_2[[#This Row],[id]]=A1046,EDATE(Таблицаx_2[[#This Row],[Месяц]],2)=D1046),F1046,0)</f>
        <v>0</v>
      </c>
    </row>
    <row r="1046" spans="1:11" ht="12.75" hidden="1" customHeight="1" x14ac:dyDescent="0.2">
      <c r="A1046" s="8">
        <v>789</v>
      </c>
      <c r="B1046" s="8"/>
      <c r="C1046" s="8" t="s">
        <v>4</v>
      </c>
      <c r="D1046" s="12">
        <v>44986</v>
      </c>
      <c r="E1046" s="8">
        <v>44100</v>
      </c>
      <c r="F1046" s="10">
        <f>IF(ISTEXT(Таблицаx_2[[#This Row],[Значение]]), 0, Таблицаx_2[[#This Row],[Значение]])</f>
        <v>44100</v>
      </c>
      <c r="G1046" s="12">
        <v>44986</v>
      </c>
      <c r="H1046" s="10" t="str">
        <f>IFERROR(VLOOKUP(Таблицаx_2[[#This Row],[id]],prolongations!A:C,2,)," ")</f>
        <v>март 2023</v>
      </c>
      <c r="I1046" s="10">
        <f>IF(Таблицаx_2[[#This Row],[Месяц окончания]]=Таблицаx_2[[#This Row],[Месяц]],Таблицаx_2[[#This Row],[Значения числа]],0)</f>
        <v>44100</v>
      </c>
      <c r="J1046" s="8">
        <f>IF(AND(Таблицаx_2[[#This Row],[Месяц окончания]]=Таблицаx_2[[#This Row],[Месяц]],Таблицаx_2[[#This Row],[id]]=A1047,EDATE(Таблицаx_2[[#This Row],[Месяц]],1)=D1047),F1047,0)</f>
        <v>58240</v>
      </c>
      <c r="K1046" s="8">
        <f>IF(AND(Таблицаx_2[[#This Row],[Месяц окончания]]=Таблицаx_2[[#This Row],[Месяц]],Таблицаx_2[[#This Row],[id]]=A1047,EDATE(Таблицаx_2[[#This Row],[Месяц]],2)=D1047),F1047,0)</f>
        <v>0</v>
      </c>
    </row>
    <row r="1047" spans="1:11" ht="12.75" hidden="1" customHeight="1" x14ac:dyDescent="0.2">
      <c r="A1047" s="8">
        <v>789</v>
      </c>
      <c r="B1047" s="8"/>
      <c r="C1047" s="8" t="s">
        <v>4</v>
      </c>
      <c r="D1047" s="12">
        <v>45017</v>
      </c>
      <c r="E1047" s="8">
        <v>58240</v>
      </c>
      <c r="F1047" s="10">
        <f>IF(ISTEXT(Таблицаx_2[[#This Row],[Значение]]), 0, Таблицаx_2[[#This Row],[Значение]])</f>
        <v>58240</v>
      </c>
      <c r="G1047" s="12">
        <v>44986</v>
      </c>
      <c r="H1047" s="10" t="str">
        <f>IFERROR(VLOOKUP(Таблицаx_2[[#This Row],[id]],prolongations!A:C,2,)," ")</f>
        <v>март 2023</v>
      </c>
      <c r="I1047" s="10">
        <f>IF(Таблицаx_2[[#This Row],[Месяц окончания]]=Таблицаx_2[[#This Row],[Месяц]],Таблицаx_2[[#This Row],[Значения числа]],0)</f>
        <v>0</v>
      </c>
      <c r="J1047" s="8">
        <f>IF(AND(Таблицаx_2[[#This Row],[Месяц окончания]]=Таблицаx_2[[#This Row],[Месяц]],Таблицаx_2[[#This Row],[id]]=A1048,EDATE(Таблицаx_2[[#This Row],[Месяц]],1)=D1048),F1048,0)</f>
        <v>0</v>
      </c>
      <c r="K1047" s="8">
        <f>IF(AND(Таблицаx_2[[#This Row],[Месяц окончания]]=Таблицаx_2[[#This Row],[Месяц]],Таблицаx_2[[#This Row],[id]]=A1048,EDATE(Таблицаx_2[[#This Row],[Месяц]],2)=D1048),F1048,0)</f>
        <v>0</v>
      </c>
    </row>
    <row r="1048" spans="1:11" ht="12.75" hidden="1" customHeight="1" x14ac:dyDescent="0.2">
      <c r="A1048" s="8">
        <v>789</v>
      </c>
      <c r="B1048" s="8"/>
      <c r="C1048" s="8" t="s">
        <v>4</v>
      </c>
      <c r="D1048" s="12">
        <v>45047</v>
      </c>
      <c r="E1048" s="8" t="s">
        <v>48</v>
      </c>
      <c r="F1048" s="10">
        <f>IF(ISTEXT(Таблицаx_2[[#This Row],[Значение]]), 0, Таблицаx_2[[#This Row],[Значение]])</f>
        <v>0</v>
      </c>
      <c r="G1048" s="12">
        <v>44986</v>
      </c>
      <c r="H1048" s="10" t="str">
        <f>IFERROR(VLOOKUP(Таблицаx_2[[#This Row],[id]],prolongations!A:C,2,)," ")</f>
        <v>март 2023</v>
      </c>
      <c r="I1048" s="10">
        <f>IF(Таблицаx_2[[#This Row],[Месяц окончания]]=Таблицаx_2[[#This Row],[Месяц]],Таблицаx_2[[#This Row],[Значения числа]],0)</f>
        <v>0</v>
      </c>
      <c r="J1048" s="8">
        <f>IF(AND(Таблицаx_2[[#This Row],[Месяц окончания]]=Таблицаx_2[[#This Row],[Месяц]],Таблицаx_2[[#This Row],[id]]=A1049,EDATE(Таблицаx_2[[#This Row],[Месяц]],1)=D1049),F1049,0)</f>
        <v>0</v>
      </c>
      <c r="K1048" s="8">
        <f>IF(AND(Таблицаx_2[[#This Row],[Месяц окончания]]=Таблицаx_2[[#This Row],[Месяц]],Таблицаx_2[[#This Row],[id]]=A1049,EDATE(Таблицаx_2[[#This Row],[Месяц]],2)=D1049),F1049,0)</f>
        <v>0</v>
      </c>
    </row>
    <row r="1049" spans="1:11" ht="12.75" hidden="1" customHeight="1" x14ac:dyDescent="0.2">
      <c r="A1049" s="8">
        <v>789</v>
      </c>
      <c r="B1049" s="8"/>
      <c r="C1049" s="8" t="s">
        <v>4</v>
      </c>
      <c r="D1049" s="12">
        <v>45078</v>
      </c>
      <c r="E1049" s="8">
        <v>7280</v>
      </c>
      <c r="F1049" s="10">
        <f>IF(ISTEXT(Таблицаx_2[[#This Row],[Значение]]), 0, Таблицаx_2[[#This Row],[Значение]])</f>
        <v>7280</v>
      </c>
      <c r="G1049" s="12">
        <v>44986</v>
      </c>
      <c r="H1049" s="10" t="str">
        <f>IFERROR(VLOOKUP(Таблицаx_2[[#This Row],[id]],prolongations!A:C,2,)," ")</f>
        <v>март 2023</v>
      </c>
      <c r="I1049" s="10">
        <f>IF(Таблицаx_2[[#This Row],[Месяц окончания]]=Таблицаx_2[[#This Row],[Месяц]],Таблицаx_2[[#This Row],[Значения числа]],0)</f>
        <v>0</v>
      </c>
      <c r="J1049" s="8">
        <f>IF(AND(Таблицаx_2[[#This Row],[Месяц окончания]]=Таблицаx_2[[#This Row],[Месяц]],Таблицаx_2[[#This Row],[id]]=A1050,EDATE(Таблицаx_2[[#This Row],[Месяц]],1)=D1050),F1050,0)</f>
        <v>0</v>
      </c>
      <c r="K1049" s="8">
        <f>IF(AND(Таблицаx_2[[#This Row],[Месяц окончания]]=Таблицаx_2[[#This Row],[Месяц]],Таблицаx_2[[#This Row],[id]]=A1050,EDATE(Таблицаx_2[[#This Row],[Месяц]],2)=D1050),F1050,0)</f>
        <v>0</v>
      </c>
    </row>
    <row r="1050" spans="1:11" ht="12.75" hidden="1" customHeight="1" x14ac:dyDescent="0.2">
      <c r="A1050" s="8">
        <v>789</v>
      </c>
      <c r="B1050" s="8"/>
      <c r="C1050" s="8" t="s">
        <v>4</v>
      </c>
      <c r="D1050" s="12">
        <v>45108</v>
      </c>
      <c r="E1050" s="8">
        <v>28000</v>
      </c>
      <c r="F1050" s="10">
        <f>IF(ISTEXT(Таблицаx_2[[#This Row],[Значение]]), 0, Таблицаx_2[[#This Row],[Значение]])</f>
        <v>28000</v>
      </c>
      <c r="G1050" s="12">
        <v>44986</v>
      </c>
      <c r="H1050" s="10" t="str">
        <f>IFERROR(VLOOKUP(Таблицаx_2[[#This Row],[id]],prolongations!A:C,2,)," ")</f>
        <v>март 2023</v>
      </c>
      <c r="I1050" s="10">
        <f>IF(Таблицаx_2[[#This Row],[Месяц окончания]]=Таблицаx_2[[#This Row],[Месяц]],Таблицаx_2[[#This Row],[Значения числа]],0)</f>
        <v>0</v>
      </c>
      <c r="J1050" s="8">
        <f>IF(AND(Таблицаx_2[[#This Row],[Месяц окончания]]=Таблицаx_2[[#This Row],[Месяц]],Таблицаx_2[[#This Row],[id]]=A1051,EDATE(Таблицаx_2[[#This Row],[Месяц]],1)=D1051),F1051,0)</f>
        <v>0</v>
      </c>
      <c r="K1050" s="8">
        <f>IF(AND(Таблицаx_2[[#This Row],[Месяц окончания]]=Таблицаx_2[[#This Row],[Месяц]],Таблицаx_2[[#This Row],[id]]=A1051,EDATE(Таблицаx_2[[#This Row],[Месяц]],2)=D1051),F1051,0)</f>
        <v>0</v>
      </c>
    </row>
    <row r="1051" spans="1:11" ht="12.75" hidden="1" customHeight="1" x14ac:dyDescent="0.2">
      <c r="A1051" s="8">
        <v>789</v>
      </c>
      <c r="B1051" s="8"/>
      <c r="C1051" s="8" t="s">
        <v>4</v>
      </c>
      <c r="D1051" s="12">
        <v>45139</v>
      </c>
      <c r="E1051" s="8">
        <v>8400</v>
      </c>
      <c r="F1051" s="10">
        <f>IF(ISTEXT(Таблицаx_2[[#This Row],[Значение]]), 0, Таблицаx_2[[#This Row],[Значение]])</f>
        <v>8400</v>
      </c>
      <c r="G1051" s="12">
        <v>44986</v>
      </c>
      <c r="H1051" s="10" t="str">
        <f>IFERROR(VLOOKUP(Таблицаx_2[[#This Row],[id]],prolongations!A:C,2,)," ")</f>
        <v>март 2023</v>
      </c>
      <c r="I1051" s="10">
        <f>IF(Таблицаx_2[[#This Row],[Месяц окончания]]=Таблицаx_2[[#This Row],[Месяц]],Таблицаx_2[[#This Row],[Значения числа]],0)</f>
        <v>0</v>
      </c>
      <c r="J1051" s="8">
        <f>IF(AND(Таблицаx_2[[#This Row],[Месяц окончания]]=Таблицаx_2[[#This Row],[Месяц]],Таблицаx_2[[#This Row],[id]]=A1052,EDATE(Таблицаx_2[[#This Row],[Месяц]],1)=D1052),F1052,0)</f>
        <v>0</v>
      </c>
      <c r="K1051" s="8">
        <f>IF(AND(Таблицаx_2[[#This Row],[Месяц окончания]]=Таблицаx_2[[#This Row],[Месяц]],Таблицаx_2[[#This Row],[id]]=A1052,EDATE(Таблицаx_2[[#This Row],[Месяц]],2)=D1052),F1052,0)</f>
        <v>0</v>
      </c>
    </row>
    <row r="1052" spans="1:11" ht="12.75" hidden="1" customHeight="1" x14ac:dyDescent="0.2">
      <c r="A1052" s="8">
        <v>789</v>
      </c>
      <c r="B1052" s="8"/>
      <c r="C1052" s="8" t="s">
        <v>4</v>
      </c>
      <c r="D1052" s="12">
        <v>45170</v>
      </c>
      <c r="E1052" s="8">
        <v>15120</v>
      </c>
      <c r="F1052" s="10">
        <f>IF(ISTEXT(Таблицаx_2[[#This Row],[Значение]]), 0, Таблицаx_2[[#This Row],[Значение]])</f>
        <v>15120</v>
      </c>
      <c r="G1052" s="12">
        <v>44986</v>
      </c>
      <c r="H1052" s="10" t="str">
        <f>IFERROR(VLOOKUP(Таблицаx_2[[#This Row],[id]],prolongations!A:C,2,)," ")</f>
        <v>март 2023</v>
      </c>
      <c r="I1052" s="10">
        <f>IF(Таблицаx_2[[#This Row],[Месяц окончания]]=Таблицаx_2[[#This Row],[Месяц]],Таблицаx_2[[#This Row],[Значения числа]],0)</f>
        <v>0</v>
      </c>
      <c r="J1052" s="8">
        <f>IF(AND(Таблицаx_2[[#This Row],[Месяц окончания]]=Таблицаx_2[[#This Row],[Месяц]],Таблицаx_2[[#This Row],[id]]=A1053,EDATE(Таблицаx_2[[#This Row],[Месяц]],1)=D1053),F1053,0)</f>
        <v>0</v>
      </c>
      <c r="K1052" s="8">
        <f>IF(AND(Таблицаx_2[[#This Row],[Месяц окончания]]=Таблицаx_2[[#This Row],[Месяц]],Таблицаx_2[[#This Row],[id]]=A1053,EDATE(Таблицаx_2[[#This Row],[Месяц]],2)=D1053),F1053,0)</f>
        <v>0</v>
      </c>
    </row>
    <row r="1053" spans="1:11" ht="12.75" hidden="1" customHeight="1" x14ac:dyDescent="0.2">
      <c r="A1053" s="8">
        <v>771</v>
      </c>
      <c r="B1053" s="8" t="s">
        <v>52</v>
      </c>
      <c r="C1053" s="8" t="s">
        <v>10</v>
      </c>
      <c r="D1053" s="12">
        <v>44958</v>
      </c>
      <c r="E1053" s="8">
        <v>107124</v>
      </c>
      <c r="F1053" s="10">
        <f>IF(ISTEXT(Таблицаx_2[[#This Row],[Значение]]), 0, Таблицаx_2[[#This Row],[Значение]])</f>
        <v>107124</v>
      </c>
      <c r="G1053" s="12">
        <v>45047</v>
      </c>
      <c r="H1053" s="10" t="str">
        <f>IFERROR(VLOOKUP(Таблицаx_2[[#This Row],[id]],prolongations!A:C,2,)," ")</f>
        <v>май 2023</v>
      </c>
      <c r="I1053" s="10">
        <f>IF(Таблицаx_2[[#This Row],[Месяц окончания]]=Таблицаx_2[[#This Row],[Месяц]],Таблицаx_2[[#This Row],[Значения числа]],0)</f>
        <v>0</v>
      </c>
      <c r="J1053" s="8">
        <f>IF(AND(Таблицаx_2[[#This Row],[Месяц окончания]]=Таблицаx_2[[#This Row],[Месяц]],Таблицаx_2[[#This Row],[id]]=A1054,EDATE(Таблицаx_2[[#This Row],[Месяц]],1)=D1054),F1054,0)</f>
        <v>0</v>
      </c>
      <c r="K1053" s="8">
        <f>IF(AND(Таблицаx_2[[#This Row],[Месяц окончания]]=Таблицаx_2[[#This Row],[Месяц]],Таблицаx_2[[#This Row],[id]]=A1054,EDATE(Таблицаx_2[[#This Row],[Месяц]],2)=D1054),F1054,0)</f>
        <v>0</v>
      </c>
    </row>
    <row r="1054" spans="1:11" ht="12.75" hidden="1" customHeight="1" x14ac:dyDescent="0.2">
      <c r="A1054" s="8">
        <v>771</v>
      </c>
      <c r="B1054" s="8" t="s">
        <v>52</v>
      </c>
      <c r="C1054" s="8" t="s">
        <v>10</v>
      </c>
      <c r="D1054" s="12">
        <v>44986</v>
      </c>
      <c r="E1054" s="8">
        <v>102032</v>
      </c>
      <c r="F1054" s="10">
        <f>IF(ISTEXT(Таблицаx_2[[#This Row],[Значение]]), 0, Таблицаx_2[[#This Row],[Значение]])</f>
        <v>102032</v>
      </c>
      <c r="G1054" s="12">
        <v>45047</v>
      </c>
      <c r="H1054" s="10" t="str">
        <f>IFERROR(VLOOKUP(Таблицаx_2[[#This Row],[id]],prolongations!A:C,2,)," ")</f>
        <v>май 2023</v>
      </c>
      <c r="I1054" s="10">
        <f>IF(Таблицаx_2[[#This Row],[Месяц окончания]]=Таблицаx_2[[#This Row],[Месяц]],Таблицаx_2[[#This Row],[Значения числа]],0)</f>
        <v>0</v>
      </c>
      <c r="J1054" s="8">
        <f>IF(AND(Таблицаx_2[[#This Row],[Месяц окончания]]=Таблицаx_2[[#This Row],[Месяц]],Таблицаx_2[[#This Row],[id]]=A1055,EDATE(Таблицаx_2[[#This Row],[Месяц]],1)=D1055),F1055,0)</f>
        <v>0</v>
      </c>
      <c r="K1054" s="8">
        <f>IF(AND(Таблицаx_2[[#This Row],[Месяц окончания]]=Таблицаx_2[[#This Row],[Месяц]],Таблицаx_2[[#This Row],[id]]=A1055,EDATE(Таблицаx_2[[#This Row],[Месяц]],2)=D1055),F1055,0)</f>
        <v>0</v>
      </c>
    </row>
    <row r="1055" spans="1:11" ht="12.75" hidden="1" customHeight="1" x14ac:dyDescent="0.2">
      <c r="A1055" s="8">
        <v>771</v>
      </c>
      <c r="B1055" s="8" t="s">
        <v>52</v>
      </c>
      <c r="C1055" s="8" t="s">
        <v>10</v>
      </c>
      <c r="D1055" s="12">
        <v>45017</v>
      </c>
      <c r="E1055" s="8">
        <v>102032</v>
      </c>
      <c r="F1055" s="10">
        <f>IF(ISTEXT(Таблицаx_2[[#This Row],[Значение]]), 0, Таблицаx_2[[#This Row],[Значение]])</f>
        <v>102032</v>
      </c>
      <c r="G1055" s="12">
        <v>45047</v>
      </c>
      <c r="H1055" s="10" t="str">
        <f>IFERROR(VLOOKUP(Таблицаx_2[[#This Row],[id]],prolongations!A:C,2,)," ")</f>
        <v>май 2023</v>
      </c>
      <c r="I1055" s="10">
        <f>IF(Таблицаx_2[[#This Row],[Месяц окончания]]=Таблицаx_2[[#This Row],[Месяц]],Таблицаx_2[[#This Row],[Значения числа]],0)</f>
        <v>0</v>
      </c>
      <c r="J1055" s="8">
        <f>IF(AND(Таблицаx_2[[#This Row],[Месяц окончания]]=Таблицаx_2[[#This Row],[Месяц]],Таблицаx_2[[#This Row],[id]]=A1056,EDATE(Таблицаx_2[[#This Row],[Месяц]],1)=D1056),F1056,0)</f>
        <v>0</v>
      </c>
      <c r="K1055" s="8">
        <f>IF(AND(Таблицаx_2[[#This Row],[Месяц окончания]]=Таблицаx_2[[#This Row],[Месяц]],Таблицаx_2[[#This Row],[id]]=A1056,EDATE(Таблицаx_2[[#This Row],[Месяц]],2)=D1056),F1056,0)</f>
        <v>0</v>
      </c>
    </row>
    <row r="1056" spans="1:11" ht="12.75" hidden="1" customHeight="1" x14ac:dyDescent="0.2">
      <c r="A1056" s="8">
        <v>771</v>
      </c>
      <c r="B1056" s="8" t="s">
        <v>52</v>
      </c>
      <c r="C1056" s="8" t="s">
        <v>10</v>
      </c>
      <c r="D1056" s="12">
        <v>45047</v>
      </c>
      <c r="E1056" s="8">
        <v>104768</v>
      </c>
      <c r="F1056" s="10">
        <f>IF(ISTEXT(Таблицаx_2[[#This Row],[Значение]]), 0, Таблицаx_2[[#This Row],[Значение]])</f>
        <v>104768</v>
      </c>
      <c r="G1056" s="12">
        <v>45047</v>
      </c>
      <c r="H1056" s="10" t="str">
        <f>IFERROR(VLOOKUP(Таблицаx_2[[#This Row],[id]],prolongations!A:C,2,)," ")</f>
        <v>май 2023</v>
      </c>
      <c r="I1056" s="10">
        <f>IF(Таблицаx_2[[#This Row],[Месяц окончания]]=Таблицаx_2[[#This Row],[Месяц]],Таблицаx_2[[#This Row],[Значения числа]],0)</f>
        <v>104768</v>
      </c>
      <c r="J1056" s="8">
        <f>IF(AND(Таблицаx_2[[#This Row],[Месяц окончания]]=Таблицаx_2[[#This Row],[Месяц]],Таблицаx_2[[#This Row],[id]]=A1057,EDATE(Таблицаx_2[[#This Row],[Месяц]],1)=D1057),F1057,0)</f>
        <v>104768</v>
      </c>
      <c r="K1056" s="8">
        <f>IF(AND(Таблицаx_2[[#This Row],[Месяц окончания]]=Таблицаx_2[[#This Row],[Месяц]],Таблицаx_2[[#This Row],[id]]=A1057,EDATE(Таблицаx_2[[#This Row],[Месяц]],2)=D1057),F1057,0)</f>
        <v>0</v>
      </c>
    </row>
    <row r="1057" spans="1:11" ht="12.75" hidden="1" customHeight="1" x14ac:dyDescent="0.2">
      <c r="A1057" s="8">
        <v>771</v>
      </c>
      <c r="B1057" s="8" t="s">
        <v>52</v>
      </c>
      <c r="C1057" s="8" t="s">
        <v>10</v>
      </c>
      <c r="D1057" s="12">
        <v>45078</v>
      </c>
      <c r="E1057" s="8">
        <v>104768</v>
      </c>
      <c r="F1057" s="10">
        <f>IF(ISTEXT(Таблицаx_2[[#This Row],[Значение]]), 0, Таблицаx_2[[#This Row],[Значение]])</f>
        <v>104768</v>
      </c>
      <c r="G1057" s="12">
        <v>45047</v>
      </c>
      <c r="H1057" s="10" t="str">
        <f>IFERROR(VLOOKUP(Таблицаx_2[[#This Row],[id]],prolongations!A:C,2,)," ")</f>
        <v>май 2023</v>
      </c>
      <c r="I1057" s="10">
        <f>IF(Таблицаx_2[[#This Row],[Месяц окончания]]=Таблицаx_2[[#This Row],[Месяц]],Таблицаx_2[[#This Row],[Значения числа]],0)</f>
        <v>0</v>
      </c>
      <c r="J1057" s="8">
        <f>IF(AND(Таблицаx_2[[#This Row],[Месяц окончания]]=Таблицаx_2[[#This Row],[Месяц]],Таблицаx_2[[#This Row],[id]]=A1058,EDATE(Таблицаx_2[[#This Row],[Месяц]],1)=D1058),F1058,0)</f>
        <v>0</v>
      </c>
      <c r="K1057" s="8">
        <f>IF(AND(Таблицаx_2[[#This Row],[Месяц окончания]]=Таблицаx_2[[#This Row],[Месяц]],Таблицаx_2[[#This Row],[id]]=A1058,EDATE(Таблицаx_2[[#This Row],[Месяц]],2)=D1058),F1058,0)</f>
        <v>0</v>
      </c>
    </row>
    <row r="1058" spans="1:11" ht="12.75" hidden="1" customHeight="1" x14ac:dyDescent="0.2">
      <c r="A1058" s="8">
        <v>771</v>
      </c>
      <c r="B1058" s="8" t="s">
        <v>52</v>
      </c>
      <c r="C1058" s="8" t="s">
        <v>10</v>
      </c>
      <c r="D1058" s="12">
        <v>45108</v>
      </c>
      <c r="E1058" s="8">
        <v>104768</v>
      </c>
      <c r="F1058" s="10">
        <f>IF(ISTEXT(Таблицаx_2[[#This Row],[Значение]]), 0, Таблицаx_2[[#This Row],[Значение]])</f>
        <v>104768</v>
      </c>
      <c r="G1058" s="12">
        <v>45047</v>
      </c>
      <c r="H1058" s="10" t="str">
        <f>IFERROR(VLOOKUP(Таблицаx_2[[#This Row],[id]],prolongations!A:C,2,)," ")</f>
        <v>май 2023</v>
      </c>
      <c r="I1058" s="10">
        <f>IF(Таблицаx_2[[#This Row],[Месяц окончания]]=Таблицаx_2[[#This Row],[Месяц]],Таблицаx_2[[#This Row],[Значения числа]],0)</f>
        <v>0</v>
      </c>
      <c r="J1058" s="8">
        <f>IF(AND(Таблицаx_2[[#This Row],[Месяц окончания]]=Таблицаx_2[[#This Row],[Месяц]],Таблицаx_2[[#This Row],[id]]=A1059,EDATE(Таблицаx_2[[#This Row],[Месяц]],1)=D1059),F1059,0)</f>
        <v>0</v>
      </c>
      <c r="K1058" s="8">
        <f>IF(AND(Таблицаx_2[[#This Row],[Месяц окончания]]=Таблицаx_2[[#This Row],[Месяц]],Таблицаx_2[[#This Row],[id]]=A1059,EDATE(Таблицаx_2[[#This Row],[Месяц]],2)=D1059),F1059,0)</f>
        <v>0</v>
      </c>
    </row>
    <row r="1059" spans="1:11" ht="12.75" hidden="1" customHeight="1" x14ac:dyDescent="0.2">
      <c r="A1059" s="8">
        <v>771</v>
      </c>
      <c r="B1059" s="8" t="s">
        <v>52</v>
      </c>
      <c r="C1059" s="8" t="s">
        <v>10</v>
      </c>
      <c r="D1059" s="12">
        <v>45139</v>
      </c>
      <c r="E1059" s="8">
        <v>108416</v>
      </c>
      <c r="F1059" s="10">
        <f>IF(ISTEXT(Таблицаx_2[[#This Row],[Значение]]), 0, Таблицаx_2[[#This Row],[Значение]])</f>
        <v>108416</v>
      </c>
      <c r="G1059" s="12">
        <v>45047</v>
      </c>
      <c r="H1059" s="10" t="str">
        <f>IFERROR(VLOOKUP(Таблицаx_2[[#This Row],[id]],prolongations!A:C,2,)," ")</f>
        <v>май 2023</v>
      </c>
      <c r="I1059" s="10">
        <f>IF(Таблицаx_2[[#This Row],[Месяц окончания]]=Таблицаx_2[[#This Row],[Месяц]],Таблицаx_2[[#This Row],[Значения числа]],0)</f>
        <v>0</v>
      </c>
      <c r="J1059" s="8">
        <f>IF(AND(Таблицаx_2[[#This Row],[Месяц окончания]]=Таблицаx_2[[#This Row],[Месяц]],Таблицаx_2[[#This Row],[id]]=A1060,EDATE(Таблицаx_2[[#This Row],[Месяц]],1)=D1060),F1060,0)</f>
        <v>0</v>
      </c>
      <c r="K1059" s="8">
        <f>IF(AND(Таблицаx_2[[#This Row],[Месяц окончания]]=Таблицаx_2[[#This Row],[Месяц]],Таблицаx_2[[#This Row],[id]]=A1060,EDATE(Таблицаx_2[[#This Row],[Месяц]],2)=D1060),F1060,0)</f>
        <v>0</v>
      </c>
    </row>
    <row r="1060" spans="1:11" ht="12.75" hidden="1" customHeight="1" x14ac:dyDescent="0.2">
      <c r="A1060" s="8">
        <v>771</v>
      </c>
      <c r="B1060" s="8" t="s">
        <v>52</v>
      </c>
      <c r="C1060" s="8" t="s">
        <v>10</v>
      </c>
      <c r="D1060" s="12">
        <v>45170</v>
      </c>
      <c r="E1060" s="8">
        <v>108416</v>
      </c>
      <c r="F1060" s="10">
        <f>IF(ISTEXT(Таблицаx_2[[#This Row],[Значение]]), 0, Таблицаx_2[[#This Row],[Значение]])</f>
        <v>108416</v>
      </c>
      <c r="G1060" s="12">
        <v>45047</v>
      </c>
      <c r="H1060" s="10" t="str">
        <f>IFERROR(VLOOKUP(Таблицаx_2[[#This Row],[id]],prolongations!A:C,2,)," ")</f>
        <v>май 2023</v>
      </c>
      <c r="I1060" s="10">
        <f>IF(Таблицаx_2[[#This Row],[Месяц окончания]]=Таблицаx_2[[#This Row],[Месяц]],Таблицаx_2[[#This Row],[Значения числа]],0)</f>
        <v>0</v>
      </c>
      <c r="J1060" s="8">
        <f>IF(AND(Таблицаx_2[[#This Row],[Месяц окончания]]=Таблицаx_2[[#This Row],[Месяц]],Таблицаx_2[[#This Row],[id]]=A1061,EDATE(Таблицаx_2[[#This Row],[Месяц]],1)=D1061),F1061,0)</f>
        <v>0</v>
      </c>
      <c r="K1060" s="8">
        <f>IF(AND(Таблицаx_2[[#This Row],[Месяц окончания]]=Таблицаx_2[[#This Row],[Месяц]],Таблицаx_2[[#This Row],[id]]=A1061,EDATE(Таблицаx_2[[#This Row],[Месяц]],2)=D1061),F1061,0)</f>
        <v>0</v>
      </c>
    </row>
    <row r="1061" spans="1:11" ht="12.75" hidden="1" customHeight="1" x14ac:dyDescent="0.2">
      <c r="A1061" s="8">
        <v>771</v>
      </c>
      <c r="B1061" s="8" t="s">
        <v>52</v>
      </c>
      <c r="C1061" s="8" t="s">
        <v>10</v>
      </c>
      <c r="D1061" s="12">
        <v>45200</v>
      </c>
      <c r="E1061" s="8">
        <v>114800</v>
      </c>
      <c r="F1061" s="10">
        <f>IF(ISTEXT(Таблицаx_2[[#This Row],[Значение]]), 0, Таблицаx_2[[#This Row],[Значение]])</f>
        <v>114800</v>
      </c>
      <c r="G1061" s="12">
        <v>45047</v>
      </c>
      <c r="H1061" s="10" t="str">
        <f>IFERROR(VLOOKUP(Таблицаx_2[[#This Row],[id]],prolongations!A:C,2,)," ")</f>
        <v>май 2023</v>
      </c>
      <c r="I1061" s="10">
        <f>IF(Таблицаx_2[[#This Row],[Месяц окончания]]=Таблицаx_2[[#This Row],[Месяц]],Таблицаx_2[[#This Row],[Значения числа]],0)</f>
        <v>0</v>
      </c>
      <c r="J1061" s="8">
        <f>IF(AND(Таблицаx_2[[#This Row],[Месяц окончания]]=Таблицаx_2[[#This Row],[Месяц]],Таблицаx_2[[#This Row],[id]]=A1062,EDATE(Таблицаx_2[[#This Row],[Месяц]],1)=D1062),F1062,0)</f>
        <v>0</v>
      </c>
      <c r="K1061" s="8">
        <f>IF(AND(Таблицаx_2[[#This Row],[Месяц окончания]]=Таблицаx_2[[#This Row],[Месяц]],Таблицаx_2[[#This Row],[id]]=A1062,EDATE(Таблицаx_2[[#This Row],[Месяц]],2)=D1062),F1062,0)</f>
        <v>0</v>
      </c>
    </row>
    <row r="1062" spans="1:11" ht="12.75" hidden="1" customHeight="1" x14ac:dyDescent="0.2">
      <c r="A1062" s="8">
        <v>771</v>
      </c>
      <c r="B1062" s="8" t="s">
        <v>52</v>
      </c>
      <c r="C1062" s="8" t="s">
        <v>10</v>
      </c>
      <c r="D1062" s="12">
        <v>45231</v>
      </c>
      <c r="E1062" s="8">
        <v>114800</v>
      </c>
      <c r="F1062" s="10">
        <f>IF(ISTEXT(Таблицаx_2[[#This Row],[Значение]]), 0, Таблицаx_2[[#This Row],[Значение]])</f>
        <v>114800</v>
      </c>
      <c r="G1062" s="12">
        <v>45047</v>
      </c>
      <c r="H1062" s="10" t="str">
        <f>IFERROR(VLOOKUP(Таблицаx_2[[#This Row],[id]],prolongations!A:C,2,)," ")</f>
        <v>май 2023</v>
      </c>
      <c r="I1062" s="10">
        <f>IF(Таблицаx_2[[#This Row],[Месяц окончания]]=Таблицаx_2[[#This Row],[Месяц]],Таблицаx_2[[#This Row],[Значения числа]],0)</f>
        <v>0</v>
      </c>
      <c r="J1062" s="8">
        <f>IF(AND(Таблицаx_2[[#This Row],[Месяц окончания]]=Таблицаx_2[[#This Row],[Месяц]],Таблицаx_2[[#This Row],[id]]=A1063,EDATE(Таблицаx_2[[#This Row],[Месяц]],1)=D1063),F1063,0)</f>
        <v>0</v>
      </c>
      <c r="K1062" s="8">
        <f>IF(AND(Таблицаx_2[[#This Row],[Месяц окончания]]=Таблицаx_2[[#This Row],[Месяц]],Таблицаx_2[[#This Row],[id]]=A1063,EDATE(Таблицаx_2[[#This Row],[Месяц]],2)=D1063),F1063,0)</f>
        <v>0</v>
      </c>
    </row>
    <row r="1063" spans="1:11" ht="12.75" hidden="1" customHeight="1" x14ac:dyDescent="0.2">
      <c r="A1063" s="8">
        <v>771</v>
      </c>
      <c r="B1063" s="8" t="s">
        <v>52</v>
      </c>
      <c r="C1063" s="8" t="s">
        <v>10</v>
      </c>
      <c r="D1063" s="12">
        <v>45261</v>
      </c>
      <c r="E1063" s="8">
        <v>121184</v>
      </c>
      <c r="F1063" s="10">
        <f>IF(ISTEXT(Таблицаx_2[[#This Row],[Значение]]), 0, Таблицаx_2[[#This Row],[Значение]])</f>
        <v>121184</v>
      </c>
      <c r="G1063" s="12">
        <v>45047</v>
      </c>
      <c r="H1063" s="10" t="str">
        <f>IFERROR(VLOOKUP(Таблицаx_2[[#This Row],[id]],prolongations!A:C,2,)," ")</f>
        <v>май 2023</v>
      </c>
      <c r="I1063" s="10">
        <f>IF(Таблицаx_2[[#This Row],[Месяц окончания]]=Таблицаx_2[[#This Row],[Месяц]],Таблицаx_2[[#This Row],[Значения числа]],0)</f>
        <v>0</v>
      </c>
      <c r="J1063" s="8">
        <f>IF(AND(Таблицаx_2[[#This Row],[Месяц окончания]]=Таблицаx_2[[#This Row],[Месяц]],Таблицаx_2[[#This Row],[id]]=A1064,EDATE(Таблицаx_2[[#This Row],[Месяц]],1)=D1064),F1064,0)</f>
        <v>0</v>
      </c>
      <c r="K1063" s="8">
        <f>IF(AND(Таблицаx_2[[#This Row],[Месяц окончания]]=Таблицаx_2[[#This Row],[Месяц]],Таблицаx_2[[#This Row],[id]]=A1064,EDATE(Таблицаx_2[[#This Row],[Месяц]],2)=D1064),F1064,0)</f>
        <v>0</v>
      </c>
    </row>
    <row r="1064" spans="1:11" ht="12.75" hidden="1" customHeight="1" x14ac:dyDescent="0.2">
      <c r="A1064" s="8">
        <v>771</v>
      </c>
      <c r="B1064" s="8" t="s">
        <v>52</v>
      </c>
      <c r="C1064" s="8" t="s">
        <v>10</v>
      </c>
      <c r="D1064" s="12">
        <v>45292</v>
      </c>
      <c r="E1064" s="8">
        <v>121184</v>
      </c>
      <c r="F1064" s="10">
        <f>IF(ISTEXT(Таблицаx_2[[#This Row],[Значение]]), 0, Таблицаx_2[[#This Row],[Значение]])</f>
        <v>121184</v>
      </c>
      <c r="G1064" s="12">
        <v>45047</v>
      </c>
      <c r="H1064" s="10" t="str">
        <f>IFERROR(VLOOKUP(Таблицаx_2[[#This Row],[id]],prolongations!A:C,2,)," ")</f>
        <v>май 2023</v>
      </c>
      <c r="I1064" s="10">
        <f>IF(Таблицаx_2[[#This Row],[Месяц окончания]]=Таблицаx_2[[#This Row],[Месяц]],Таблицаx_2[[#This Row],[Значения числа]],0)</f>
        <v>0</v>
      </c>
      <c r="J1064" s="8">
        <f>IF(AND(Таблицаx_2[[#This Row],[Месяц окончания]]=Таблицаx_2[[#This Row],[Месяц]],Таблицаx_2[[#This Row],[id]]=A1065,EDATE(Таблицаx_2[[#This Row],[Месяц]],1)=D1065),F1065,0)</f>
        <v>0</v>
      </c>
      <c r="K1064" s="8">
        <f>IF(AND(Таблицаx_2[[#This Row],[Месяц окончания]]=Таблицаx_2[[#This Row],[Месяц]],Таблицаx_2[[#This Row],[id]]=A1065,EDATE(Таблицаx_2[[#This Row],[Месяц]],2)=D1065),F1065,0)</f>
        <v>0</v>
      </c>
    </row>
    <row r="1065" spans="1:11" ht="12.75" hidden="1" customHeight="1" x14ac:dyDescent="0.2">
      <c r="A1065" s="8">
        <v>771</v>
      </c>
      <c r="B1065" s="8" t="s">
        <v>52</v>
      </c>
      <c r="C1065" s="8" t="s">
        <v>10</v>
      </c>
      <c r="D1065" s="12">
        <v>45323</v>
      </c>
      <c r="E1065" s="8">
        <v>75856</v>
      </c>
      <c r="F1065" s="10">
        <f>IF(ISTEXT(Таблицаx_2[[#This Row],[Значение]]), 0, Таблицаx_2[[#This Row],[Значение]])</f>
        <v>75856</v>
      </c>
      <c r="G1065" s="12">
        <v>45047</v>
      </c>
      <c r="H1065" s="10" t="str">
        <f>IFERROR(VLOOKUP(Таблицаx_2[[#This Row],[id]],prolongations!A:C,2,)," ")</f>
        <v>май 2023</v>
      </c>
      <c r="I1065" s="10">
        <f>IF(Таблицаx_2[[#This Row],[Месяц окончания]]=Таблицаx_2[[#This Row],[Месяц]],Таблицаx_2[[#This Row],[Значения числа]],0)</f>
        <v>0</v>
      </c>
      <c r="J1065" s="8">
        <f>IF(AND(Таблицаx_2[[#This Row],[Месяц окончания]]=Таблицаx_2[[#This Row],[Месяц]],Таблицаx_2[[#This Row],[id]]=A1066,EDATE(Таблицаx_2[[#This Row],[Месяц]],1)=D1066),F1066,0)</f>
        <v>0</v>
      </c>
      <c r="K1065" s="8">
        <f>IF(AND(Таблицаx_2[[#This Row],[Месяц окончания]]=Таблицаx_2[[#This Row],[Месяц]],Таблицаx_2[[#This Row],[id]]=A1066,EDATE(Таблицаx_2[[#This Row],[Месяц]],2)=D1066),F1066,0)</f>
        <v>0</v>
      </c>
    </row>
    <row r="1066" spans="1:11" ht="12.75" hidden="1" customHeight="1" x14ac:dyDescent="0.2">
      <c r="A1066" s="8">
        <v>771</v>
      </c>
      <c r="B1066" s="8" t="s">
        <v>50</v>
      </c>
      <c r="C1066" s="8" t="s">
        <v>10</v>
      </c>
      <c r="D1066" s="12">
        <v>45170</v>
      </c>
      <c r="E1066" s="8">
        <v>10000</v>
      </c>
      <c r="F1066" s="10">
        <f>IF(ISTEXT(Таблицаx_2[[#This Row],[Значение]]), 0, Таблицаx_2[[#This Row],[Значение]])</f>
        <v>10000</v>
      </c>
      <c r="G1066" s="12">
        <v>45047</v>
      </c>
      <c r="H1066" s="10" t="str">
        <f>IFERROR(VLOOKUP(Таблицаx_2[[#This Row],[id]],prolongations!A:C,2,)," ")</f>
        <v>май 2023</v>
      </c>
      <c r="I1066" s="10">
        <f>IF(Таблицаx_2[[#This Row],[Месяц окончания]]=Таблицаx_2[[#This Row],[Месяц]],Таблицаx_2[[#This Row],[Значения числа]],0)</f>
        <v>0</v>
      </c>
      <c r="J1066" s="8">
        <f>IF(AND(Таблицаx_2[[#This Row],[Месяц окончания]]=Таблицаx_2[[#This Row],[Месяц]],Таблицаx_2[[#This Row],[id]]=A1067,EDATE(Таблицаx_2[[#This Row],[Месяц]],1)=D1067),F1067,0)</f>
        <v>0</v>
      </c>
      <c r="K1066" s="8">
        <f>IF(AND(Таблицаx_2[[#This Row],[Месяц окончания]]=Таблицаx_2[[#This Row],[Месяц]],Таблицаx_2[[#This Row],[id]]=A1067,EDATE(Таблицаx_2[[#This Row],[Месяц]],2)=D1067),F1067,0)</f>
        <v>0</v>
      </c>
    </row>
    <row r="1067" spans="1:11" ht="12.75" hidden="1" customHeight="1" x14ac:dyDescent="0.2">
      <c r="A1067" s="8">
        <v>859</v>
      </c>
      <c r="B1067" s="8"/>
      <c r="C1067" s="8" t="s">
        <v>10</v>
      </c>
      <c r="D1067" s="12">
        <v>45047</v>
      </c>
      <c r="E1067" s="8">
        <v>57601.2</v>
      </c>
      <c r="F1067" s="10">
        <f>IF(ISTEXT(Таблицаx_2[[#This Row],[Значение]]), 0, Таблицаx_2[[#This Row],[Значение]])</f>
        <v>57601.2</v>
      </c>
      <c r="G1067" s="12">
        <v>45170</v>
      </c>
      <c r="H1067" s="10" t="str">
        <f>IFERROR(VLOOKUP(Таблицаx_2[[#This Row],[id]],prolongations!A:C,2,)," ")</f>
        <v>сентябрь 2023</v>
      </c>
      <c r="I1067" s="10">
        <f>IF(Таблицаx_2[[#This Row],[Месяц окончания]]=Таблицаx_2[[#This Row],[Месяц]],Таблицаx_2[[#This Row],[Значения числа]],0)</f>
        <v>0</v>
      </c>
      <c r="J1067" s="8">
        <f>IF(AND(Таблицаx_2[[#This Row],[Месяц окончания]]=Таблицаx_2[[#This Row],[Месяц]],Таблицаx_2[[#This Row],[id]]=A1068,EDATE(Таблицаx_2[[#This Row],[Месяц]],1)=D1068),F1068,0)</f>
        <v>0</v>
      </c>
      <c r="K1067" s="8">
        <f>IF(AND(Таблицаx_2[[#This Row],[Месяц окончания]]=Таблицаx_2[[#This Row],[Месяц]],Таблицаx_2[[#This Row],[id]]=A1068,EDATE(Таблицаx_2[[#This Row],[Месяц]],2)=D1068),F1068,0)</f>
        <v>0</v>
      </c>
    </row>
    <row r="1068" spans="1:11" ht="12.75" hidden="1" customHeight="1" x14ac:dyDescent="0.2">
      <c r="A1068" s="8">
        <v>859</v>
      </c>
      <c r="B1068" s="8"/>
      <c r="C1068" s="8" t="s">
        <v>10</v>
      </c>
      <c r="D1068" s="12">
        <v>45078</v>
      </c>
      <c r="E1068" s="8">
        <v>67012.800000000003</v>
      </c>
      <c r="F1068" s="10">
        <f>IF(ISTEXT(Таблицаx_2[[#This Row],[Значение]]), 0, Таблицаx_2[[#This Row],[Значение]])</f>
        <v>67012.800000000003</v>
      </c>
      <c r="G1068" s="12">
        <v>45170</v>
      </c>
      <c r="H1068" s="10" t="str">
        <f>IFERROR(VLOOKUP(Таблицаx_2[[#This Row],[id]],prolongations!A:C,2,)," ")</f>
        <v>сентябрь 2023</v>
      </c>
      <c r="I1068" s="10">
        <f>IF(Таблицаx_2[[#This Row],[Месяц окончания]]=Таблицаx_2[[#This Row],[Месяц]],Таблицаx_2[[#This Row],[Значения числа]],0)</f>
        <v>0</v>
      </c>
      <c r="J1068" s="8">
        <f>IF(AND(Таблицаx_2[[#This Row],[Месяц окончания]]=Таблицаx_2[[#This Row],[Месяц]],Таблицаx_2[[#This Row],[id]]=A1069,EDATE(Таблицаx_2[[#This Row],[Месяц]],1)=D1069),F1069,0)</f>
        <v>0</v>
      </c>
      <c r="K1068" s="8">
        <f>IF(AND(Таблицаx_2[[#This Row],[Месяц окончания]]=Таблицаx_2[[#This Row],[Месяц]],Таблицаx_2[[#This Row],[id]]=A1069,EDATE(Таблицаx_2[[#This Row],[Месяц]],2)=D1069),F1069,0)</f>
        <v>0</v>
      </c>
    </row>
    <row r="1069" spans="1:11" ht="12.75" hidden="1" customHeight="1" x14ac:dyDescent="0.2">
      <c r="A1069" s="8">
        <v>859</v>
      </c>
      <c r="B1069" s="8"/>
      <c r="C1069" s="8" t="s">
        <v>10</v>
      </c>
      <c r="D1069" s="12">
        <v>45108</v>
      </c>
      <c r="E1069" s="8">
        <v>78108</v>
      </c>
      <c r="F1069" s="10">
        <f>IF(ISTEXT(Таблицаx_2[[#This Row],[Значение]]), 0, Таблицаx_2[[#This Row],[Значение]])</f>
        <v>78108</v>
      </c>
      <c r="G1069" s="12">
        <v>45170</v>
      </c>
      <c r="H1069" s="10" t="str">
        <f>IFERROR(VLOOKUP(Таблицаx_2[[#This Row],[id]],prolongations!A:C,2,)," ")</f>
        <v>сентябрь 2023</v>
      </c>
      <c r="I1069" s="10">
        <f>IF(Таблицаx_2[[#This Row],[Месяц окончания]]=Таблицаx_2[[#This Row],[Месяц]],Таблицаx_2[[#This Row],[Значения числа]],0)</f>
        <v>0</v>
      </c>
      <c r="J1069" s="8">
        <f>IF(AND(Таблицаx_2[[#This Row],[Месяц окончания]]=Таблицаx_2[[#This Row],[Месяц]],Таблицаx_2[[#This Row],[id]]=A1070,EDATE(Таблицаx_2[[#This Row],[Месяц]],1)=D1070),F1070,0)</f>
        <v>0</v>
      </c>
      <c r="K1069" s="8">
        <f>IF(AND(Таблицаx_2[[#This Row],[Месяц окончания]]=Таблицаx_2[[#This Row],[Месяц]],Таблицаx_2[[#This Row],[id]]=A1070,EDATE(Таблицаx_2[[#This Row],[Месяц]],2)=D1070),F1070,0)</f>
        <v>0</v>
      </c>
    </row>
    <row r="1070" spans="1:11" ht="12.75" hidden="1" customHeight="1" x14ac:dyDescent="0.2">
      <c r="A1070" s="8">
        <v>859</v>
      </c>
      <c r="B1070" s="8"/>
      <c r="C1070" s="8" t="s">
        <v>10</v>
      </c>
      <c r="D1070" s="12">
        <v>45139</v>
      </c>
      <c r="E1070" s="8">
        <v>115101.2</v>
      </c>
      <c r="F1070" s="10">
        <f>IF(ISTEXT(Таблицаx_2[[#This Row],[Значение]]), 0, Таблицаx_2[[#This Row],[Значение]])</f>
        <v>115101.2</v>
      </c>
      <c r="G1070" s="12">
        <v>45170</v>
      </c>
      <c r="H1070" s="10" t="str">
        <f>IFERROR(VLOOKUP(Таблицаx_2[[#This Row],[id]],prolongations!A:C,2,)," ")</f>
        <v>сентябрь 2023</v>
      </c>
      <c r="I1070" s="10">
        <f>IF(Таблицаx_2[[#This Row],[Месяц окончания]]=Таблицаx_2[[#This Row],[Месяц]],Таблицаx_2[[#This Row],[Значения числа]],0)</f>
        <v>0</v>
      </c>
      <c r="J1070" s="8">
        <f>IF(AND(Таблицаx_2[[#This Row],[Месяц окончания]]=Таблицаx_2[[#This Row],[Месяц]],Таблицаx_2[[#This Row],[id]]=A1071,EDATE(Таблицаx_2[[#This Row],[Месяц]],1)=D1071),F1071,0)</f>
        <v>0</v>
      </c>
      <c r="K1070" s="8">
        <f>IF(AND(Таблицаx_2[[#This Row],[Месяц окончания]]=Таблицаx_2[[#This Row],[Месяц]],Таблицаx_2[[#This Row],[id]]=A1071,EDATE(Таблицаx_2[[#This Row],[Месяц]],2)=D1071),F1071,0)</f>
        <v>0</v>
      </c>
    </row>
    <row r="1071" spans="1:11" ht="12.75" hidden="1" customHeight="1" x14ac:dyDescent="0.2">
      <c r="A1071" s="8">
        <v>859</v>
      </c>
      <c r="B1071" s="8"/>
      <c r="C1071" s="8" t="s">
        <v>10</v>
      </c>
      <c r="D1071" s="12">
        <v>45170</v>
      </c>
      <c r="E1071" s="8" t="s">
        <v>46</v>
      </c>
      <c r="F1071" s="10">
        <f>IF(ISTEXT(Таблицаx_2[[#This Row],[Значение]]), 0, Таблицаx_2[[#This Row],[Значение]])</f>
        <v>0</v>
      </c>
      <c r="G1071" s="12">
        <v>45170</v>
      </c>
      <c r="H1071" s="10" t="str">
        <f>IFERROR(VLOOKUP(Таблицаx_2[[#This Row],[id]],prolongations!A:C,2,)," ")</f>
        <v>сентябрь 2023</v>
      </c>
      <c r="I1071" s="10">
        <f>IF(Таблицаx_2[[#This Row],[Месяц окончания]]=Таблицаx_2[[#This Row],[Месяц]],Таблицаx_2[[#This Row],[Значения числа]],0)</f>
        <v>0</v>
      </c>
      <c r="J1071" s="8">
        <f>IF(AND(Таблицаx_2[[#This Row],[Месяц окончания]]=Таблицаx_2[[#This Row],[Месяц]],Таблицаx_2[[#This Row],[id]]=A1072,EDATE(Таблицаx_2[[#This Row],[Месяц]],1)=D1072),F1072,0)</f>
        <v>0</v>
      </c>
      <c r="K1071" s="8">
        <f>IF(AND(Таблицаx_2[[#This Row],[Месяц окончания]]=Таблицаx_2[[#This Row],[Месяц]],Таблицаx_2[[#This Row],[id]]=A1072,EDATE(Таблицаx_2[[#This Row],[Месяц]],2)=D1072),F1072,0)</f>
        <v>0</v>
      </c>
    </row>
    <row r="1072" spans="1:11" ht="12.75" hidden="1" customHeight="1" x14ac:dyDescent="0.2">
      <c r="A1072" s="8">
        <v>960</v>
      </c>
      <c r="B1072" s="8"/>
      <c r="C1072" s="8" t="s">
        <v>6</v>
      </c>
      <c r="D1072" s="12">
        <v>45170</v>
      </c>
      <c r="E1072" s="8">
        <v>35000</v>
      </c>
      <c r="F1072" s="10">
        <f>IF(ISTEXT(Таблицаx_2[[#This Row],[Значение]]), 0, Таблицаx_2[[#This Row],[Значение]])</f>
        <v>35000</v>
      </c>
      <c r="G1072" s="12">
        <v>45170</v>
      </c>
      <c r="H1072" s="10" t="str">
        <f>IFERROR(VLOOKUP(Таблицаx_2[[#This Row],[id]],prolongations!A:C,2,)," ")</f>
        <v>сентябрь 2023</v>
      </c>
      <c r="I1072" s="10">
        <f>IF(Таблицаx_2[[#This Row],[Месяц окончания]]=Таблицаx_2[[#This Row],[Месяц]],Таблицаx_2[[#This Row],[Значения числа]],0)</f>
        <v>35000</v>
      </c>
      <c r="J1072" s="8">
        <f>IF(AND(Таблицаx_2[[#This Row],[Месяц окончания]]=Таблицаx_2[[#This Row],[Месяц]],Таблицаx_2[[#This Row],[id]]=A1073,EDATE(Таблицаx_2[[#This Row],[Месяц]],1)=D1073),F1073,0)</f>
        <v>0</v>
      </c>
      <c r="K1072" s="8">
        <f>IF(AND(Таблицаx_2[[#This Row],[Месяц окончания]]=Таблицаx_2[[#This Row],[Месяц]],Таблицаx_2[[#This Row],[id]]=A1073,EDATE(Таблицаx_2[[#This Row],[Месяц]],2)=D1073),F1073,0)</f>
        <v>0</v>
      </c>
    </row>
    <row r="1073" spans="1:11" ht="12.75" hidden="1" customHeight="1" x14ac:dyDescent="0.2">
      <c r="A1073" s="8">
        <v>865</v>
      </c>
      <c r="B1073" s="8"/>
      <c r="C1073" s="8" t="s">
        <v>10</v>
      </c>
      <c r="D1073" s="12">
        <v>45078</v>
      </c>
      <c r="E1073" s="8">
        <v>53398.400000000001</v>
      </c>
      <c r="F1073" s="10">
        <f>IF(ISTEXT(Таблицаx_2[[#This Row],[Значение]]), 0, Таблицаx_2[[#This Row],[Значение]])</f>
        <v>53398.400000000001</v>
      </c>
      <c r="G1073" s="12">
        <v>45139</v>
      </c>
      <c r="H1073" s="10" t="str">
        <f>IFERROR(VLOOKUP(Таблицаx_2[[#This Row],[id]],prolongations!A:C,2,)," ")</f>
        <v>август 2023</v>
      </c>
      <c r="I1073" s="10">
        <f>IF(Таблицаx_2[[#This Row],[Месяц окончания]]=Таблицаx_2[[#This Row],[Месяц]],Таблицаx_2[[#This Row],[Значения числа]],0)</f>
        <v>0</v>
      </c>
      <c r="J1073" s="8">
        <f>IF(AND(Таблицаx_2[[#This Row],[Месяц окончания]]=Таблицаx_2[[#This Row],[Месяц]],Таблицаx_2[[#This Row],[id]]=A1074,EDATE(Таблицаx_2[[#This Row],[Месяц]],1)=D1074),F1074,0)</f>
        <v>0</v>
      </c>
      <c r="K1073" s="8">
        <f>IF(AND(Таблицаx_2[[#This Row],[Месяц окончания]]=Таблицаx_2[[#This Row],[Месяц]],Таблицаx_2[[#This Row],[id]]=A1074,EDATE(Таблицаx_2[[#This Row],[Месяц]],2)=D1074),F1074,0)</f>
        <v>0</v>
      </c>
    </row>
    <row r="1074" spans="1:11" ht="12.75" hidden="1" customHeight="1" x14ac:dyDescent="0.2">
      <c r="A1074" s="8">
        <v>865</v>
      </c>
      <c r="B1074" s="8"/>
      <c r="C1074" s="8" t="s">
        <v>10</v>
      </c>
      <c r="D1074" s="12">
        <v>45108</v>
      </c>
      <c r="E1074" s="8">
        <v>21675</v>
      </c>
      <c r="F1074" s="10">
        <f>IF(ISTEXT(Таблицаx_2[[#This Row],[Значение]]), 0, Таблицаx_2[[#This Row],[Значение]])</f>
        <v>21675</v>
      </c>
      <c r="G1074" s="12">
        <v>45139</v>
      </c>
      <c r="H1074" s="10" t="str">
        <f>IFERROR(VLOOKUP(Таблицаx_2[[#This Row],[id]],prolongations!A:C,2,)," ")</f>
        <v>август 2023</v>
      </c>
      <c r="I1074" s="10">
        <f>IF(Таблицаx_2[[#This Row],[Месяц окончания]]=Таблицаx_2[[#This Row],[Месяц]],Таблицаx_2[[#This Row],[Значения числа]],0)</f>
        <v>0</v>
      </c>
      <c r="J1074" s="8">
        <f>IF(AND(Таблицаx_2[[#This Row],[Месяц окончания]]=Таблицаx_2[[#This Row],[Месяц]],Таблицаx_2[[#This Row],[id]]=A1075,EDATE(Таблицаx_2[[#This Row],[Месяц]],1)=D1075),F1075,0)</f>
        <v>0</v>
      </c>
      <c r="K1074" s="8">
        <f>IF(AND(Таблицаx_2[[#This Row],[Месяц окончания]]=Таблицаx_2[[#This Row],[Месяц]],Таблицаx_2[[#This Row],[id]]=A1075,EDATE(Таблицаx_2[[#This Row],[Месяц]],2)=D1075),F1075,0)</f>
        <v>0</v>
      </c>
    </row>
    <row r="1075" spans="1:11" ht="12.75" hidden="1" customHeight="1" x14ac:dyDescent="0.2">
      <c r="A1075" s="8">
        <v>865</v>
      </c>
      <c r="B1075" s="8"/>
      <c r="C1075" s="8" t="s">
        <v>10</v>
      </c>
      <c r="D1075" s="12">
        <v>45139</v>
      </c>
      <c r="E1075" s="8">
        <v>36883.54</v>
      </c>
      <c r="F1075" s="10">
        <f>IF(ISTEXT(Таблицаx_2[[#This Row],[Значение]]), 0, Таблицаx_2[[#This Row],[Значение]])</f>
        <v>36883.54</v>
      </c>
      <c r="G1075" s="12">
        <v>45139</v>
      </c>
      <c r="H1075" s="10" t="str">
        <f>IFERROR(VLOOKUP(Таблицаx_2[[#This Row],[id]],prolongations!A:C,2,)," ")</f>
        <v>август 2023</v>
      </c>
      <c r="I1075" s="10">
        <f>IF(Таблицаx_2[[#This Row],[Месяц окончания]]=Таблицаx_2[[#This Row],[Месяц]],Таблицаx_2[[#This Row],[Значения числа]],0)</f>
        <v>36883.54</v>
      </c>
      <c r="J1075" s="8">
        <f>IF(AND(Таблицаx_2[[#This Row],[Месяц окончания]]=Таблицаx_2[[#This Row],[Месяц]],Таблицаx_2[[#This Row],[id]]=A1076,EDATE(Таблицаx_2[[#This Row],[Месяц]],1)=D1076),F1076,0)</f>
        <v>39561.449999999997</v>
      </c>
      <c r="K1075" s="8">
        <f>IF(AND(Таблицаx_2[[#This Row],[Месяц окончания]]=Таблицаx_2[[#This Row],[Месяц]],Таблицаx_2[[#This Row],[id]]=A1076,EDATE(Таблицаx_2[[#This Row],[Месяц]],2)=D1076),F1076,0)</f>
        <v>0</v>
      </c>
    </row>
    <row r="1076" spans="1:11" ht="12.75" hidden="1" customHeight="1" x14ac:dyDescent="0.2">
      <c r="A1076" s="8">
        <v>865</v>
      </c>
      <c r="B1076" s="8"/>
      <c r="C1076" s="8" t="s">
        <v>10</v>
      </c>
      <c r="D1076" s="12">
        <v>45170</v>
      </c>
      <c r="E1076" s="8">
        <v>39561.449999999997</v>
      </c>
      <c r="F1076" s="10">
        <f>IF(ISTEXT(Таблицаx_2[[#This Row],[Значение]]), 0, Таблицаx_2[[#This Row],[Значение]])</f>
        <v>39561.449999999997</v>
      </c>
      <c r="G1076" s="12">
        <v>45139</v>
      </c>
      <c r="H1076" s="10" t="str">
        <f>IFERROR(VLOOKUP(Таблицаx_2[[#This Row],[id]],prolongations!A:C,2,)," ")</f>
        <v>август 2023</v>
      </c>
      <c r="I1076" s="10">
        <f>IF(Таблицаx_2[[#This Row],[Месяц окончания]]=Таблицаx_2[[#This Row],[Месяц]],Таблицаx_2[[#This Row],[Значения числа]],0)</f>
        <v>0</v>
      </c>
      <c r="J1076" s="8">
        <f>IF(AND(Таблицаx_2[[#This Row],[Месяц окончания]]=Таблицаx_2[[#This Row],[Месяц]],Таблицаx_2[[#This Row],[id]]=A1077,EDATE(Таблицаx_2[[#This Row],[Месяц]],1)=D1077),F1077,0)</f>
        <v>0</v>
      </c>
      <c r="K1076" s="8">
        <f>IF(AND(Таблицаx_2[[#This Row],[Месяц окончания]]=Таблицаx_2[[#This Row],[Месяц]],Таблицаx_2[[#This Row],[id]]=A1077,EDATE(Таблицаx_2[[#This Row],[Месяц]],2)=D1077),F1077,0)</f>
        <v>0</v>
      </c>
    </row>
    <row r="1077" spans="1:11" ht="12.75" hidden="1" customHeight="1" x14ac:dyDescent="0.2">
      <c r="A1077" s="8">
        <v>874</v>
      </c>
      <c r="B1077" s="8"/>
      <c r="C1077" s="8" t="s">
        <v>6</v>
      </c>
      <c r="D1077" s="12">
        <v>45078</v>
      </c>
      <c r="E1077" s="8">
        <v>307800</v>
      </c>
      <c r="F1077" s="10">
        <f>IF(ISTEXT(Таблицаx_2[[#This Row],[Значение]]), 0, Таблицаx_2[[#This Row],[Значение]])</f>
        <v>307800</v>
      </c>
      <c r="G1077" s="12">
        <v>45139</v>
      </c>
      <c r="H1077" s="10" t="str">
        <f>IFERROR(VLOOKUP(Таблицаx_2[[#This Row],[id]],prolongations!A:C,2,)," ")</f>
        <v>август 2023</v>
      </c>
      <c r="I1077" s="10">
        <f>IF(Таблицаx_2[[#This Row],[Месяц окончания]]=Таблицаx_2[[#This Row],[Месяц]],Таблицаx_2[[#This Row],[Значения числа]],0)</f>
        <v>0</v>
      </c>
      <c r="J1077" s="8">
        <f>IF(AND(Таблицаx_2[[#This Row],[Месяц окончания]]=Таблицаx_2[[#This Row],[Месяц]],Таблицаx_2[[#This Row],[id]]=A1078,EDATE(Таблицаx_2[[#This Row],[Месяц]],1)=D1078),F1078,0)</f>
        <v>0</v>
      </c>
      <c r="K1077" s="8">
        <f>IF(AND(Таблицаx_2[[#This Row],[Месяц окончания]]=Таблицаx_2[[#This Row],[Месяц]],Таблицаx_2[[#This Row],[id]]=A1078,EDATE(Таблицаx_2[[#This Row],[Месяц]],2)=D1078),F1078,0)</f>
        <v>0</v>
      </c>
    </row>
    <row r="1078" spans="1:11" ht="12.75" hidden="1" customHeight="1" x14ac:dyDescent="0.2">
      <c r="A1078" s="8">
        <v>874</v>
      </c>
      <c r="B1078" s="8"/>
      <c r="C1078" s="8" t="s">
        <v>6</v>
      </c>
      <c r="D1078" s="12">
        <v>45108</v>
      </c>
      <c r="E1078" s="8">
        <v>205190</v>
      </c>
      <c r="F1078" s="10">
        <f>IF(ISTEXT(Таблицаx_2[[#This Row],[Значение]]), 0, Таблицаx_2[[#This Row],[Значение]])</f>
        <v>205190</v>
      </c>
      <c r="G1078" s="12">
        <v>45139</v>
      </c>
      <c r="H1078" s="10" t="str">
        <f>IFERROR(VLOOKUP(Таблицаx_2[[#This Row],[id]],prolongations!A:C,2,)," ")</f>
        <v>август 2023</v>
      </c>
      <c r="I1078" s="10">
        <f>IF(Таблицаx_2[[#This Row],[Месяц окончания]]=Таблицаx_2[[#This Row],[Месяц]],Таблицаx_2[[#This Row],[Значения числа]],0)</f>
        <v>0</v>
      </c>
      <c r="J1078" s="8">
        <f>IF(AND(Таблицаx_2[[#This Row],[Месяц окончания]]=Таблицаx_2[[#This Row],[Месяц]],Таблицаx_2[[#This Row],[id]]=A1079,EDATE(Таблицаx_2[[#This Row],[Месяц]],1)=D1079),F1079,0)</f>
        <v>0</v>
      </c>
      <c r="K1078" s="8">
        <f>IF(AND(Таблицаx_2[[#This Row],[Месяц окончания]]=Таблицаx_2[[#This Row],[Месяц]],Таблицаx_2[[#This Row],[id]]=A1079,EDATE(Таблицаx_2[[#This Row],[Месяц]],2)=D1079),F1079,0)</f>
        <v>0</v>
      </c>
    </row>
    <row r="1079" spans="1:11" ht="12.75" hidden="1" customHeight="1" x14ac:dyDescent="0.2">
      <c r="A1079" s="8">
        <v>874</v>
      </c>
      <c r="B1079" s="8"/>
      <c r="C1079" s="8" t="s">
        <v>6</v>
      </c>
      <c r="D1079" s="12">
        <v>45139</v>
      </c>
      <c r="E1079" s="8">
        <v>153884.1</v>
      </c>
      <c r="F1079" s="10">
        <f>IF(ISTEXT(Таблицаx_2[[#This Row],[Значение]]), 0, Таблицаx_2[[#This Row],[Значение]])</f>
        <v>153884.1</v>
      </c>
      <c r="G1079" s="12">
        <v>45139</v>
      </c>
      <c r="H1079" s="10" t="str">
        <f>IFERROR(VLOOKUP(Таблицаx_2[[#This Row],[id]],prolongations!A:C,2,)," ")</f>
        <v>август 2023</v>
      </c>
      <c r="I1079" s="10">
        <f>IF(Таблицаx_2[[#This Row],[Месяц окончания]]=Таблицаx_2[[#This Row],[Месяц]],Таблицаx_2[[#This Row],[Значения числа]],0)</f>
        <v>153884.1</v>
      </c>
      <c r="J1079" s="8">
        <f>IF(AND(Таблицаx_2[[#This Row],[Месяц окончания]]=Таблицаx_2[[#This Row],[Месяц]],Таблицаx_2[[#This Row],[id]]=A1080,EDATE(Таблицаx_2[[#This Row],[Месяц]],1)=D1080),F1080,0)</f>
        <v>142458.97</v>
      </c>
      <c r="K1079" s="8">
        <f>IF(AND(Таблицаx_2[[#This Row],[Месяц окончания]]=Таблицаx_2[[#This Row],[Месяц]],Таблицаx_2[[#This Row],[id]]=A1080,EDATE(Таблицаx_2[[#This Row],[Месяц]],2)=D1080),F1080,0)</f>
        <v>0</v>
      </c>
    </row>
    <row r="1080" spans="1:11" ht="12.75" hidden="1" customHeight="1" x14ac:dyDescent="0.2">
      <c r="A1080" s="8">
        <v>874</v>
      </c>
      <c r="B1080" s="8"/>
      <c r="C1080" s="8" t="s">
        <v>6</v>
      </c>
      <c r="D1080" s="12">
        <v>45170</v>
      </c>
      <c r="E1080" s="8">
        <v>142458.97</v>
      </c>
      <c r="F1080" s="10">
        <f>IF(ISTEXT(Таблицаx_2[[#This Row],[Значение]]), 0, Таблицаx_2[[#This Row],[Значение]])</f>
        <v>142458.97</v>
      </c>
      <c r="G1080" s="12">
        <v>45139</v>
      </c>
      <c r="H1080" s="10" t="str">
        <f>IFERROR(VLOOKUP(Таблицаx_2[[#This Row],[id]],prolongations!A:C,2,)," ")</f>
        <v>август 2023</v>
      </c>
      <c r="I1080" s="10">
        <f>IF(Таблицаx_2[[#This Row],[Месяц окончания]]=Таблицаx_2[[#This Row],[Месяц]],Таблицаx_2[[#This Row],[Значения числа]],0)</f>
        <v>0</v>
      </c>
      <c r="J1080" s="8">
        <f>IF(AND(Таблицаx_2[[#This Row],[Месяц окончания]]=Таблицаx_2[[#This Row],[Месяц]],Таблицаx_2[[#This Row],[id]]=A1081,EDATE(Таблицаx_2[[#This Row],[Месяц]],1)=D1081),F1081,0)</f>
        <v>0</v>
      </c>
      <c r="K1080" s="8">
        <f>IF(AND(Таблицаx_2[[#This Row],[Месяц окончания]]=Таблицаx_2[[#This Row],[Месяц]],Таблицаx_2[[#This Row],[id]]=A1081,EDATE(Таблицаx_2[[#This Row],[Месяц]],2)=D1081),F1081,0)</f>
        <v>0</v>
      </c>
    </row>
    <row r="1081" spans="1:11" ht="12.75" hidden="1" customHeight="1" x14ac:dyDescent="0.2">
      <c r="A1081" s="8">
        <v>946</v>
      </c>
      <c r="B1081" s="8" t="s">
        <v>52</v>
      </c>
      <c r="C1081" s="8" t="s">
        <v>8</v>
      </c>
      <c r="D1081" s="12">
        <v>45139</v>
      </c>
      <c r="E1081" s="8">
        <v>64400</v>
      </c>
      <c r="F1081" s="10">
        <f>IF(ISTEXT(Таблицаx_2[[#This Row],[Значение]]), 0, Таблицаx_2[[#This Row],[Значение]])</f>
        <v>64400</v>
      </c>
      <c r="G1081" s="12">
        <v>45170</v>
      </c>
      <c r="H1081" s="10" t="str">
        <f>IFERROR(VLOOKUP(Таблицаx_2[[#This Row],[id]],prolongations!A:C,2,)," ")</f>
        <v>сентябрь 2023</v>
      </c>
      <c r="I1081" s="10">
        <f>IF(Таблицаx_2[[#This Row],[Месяц окончания]]=Таблицаx_2[[#This Row],[Месяц]],Таблицаx_2[[#This Row],[Значения числа]],0)</f>
        <v>0</v>
      </c>
      <c r="J1081" s="8">
        <f>IF(AND(Таблицаx_2[[#This Row],[Месяц окончания]]=Таблицаx_2[[#This Row],[Месяц]],Таблицаx_2[[#This Row],[id]]=A1082,EDATE(Таблицаx_2[[#This Row],[Месяц]],1)=D1082),F1082,0)</f>
        <v>0</v>
      </c>
      <c r="K1081" s="8">
        <f>IF(AND(Таблицаx_2[[#This Row],[Месяц окончания]]=Таблицаx_2[[#This Row],[Месяц]],Таблицаx_2[[#This Row],[id]]=A1082,EDATE(Таблицаx_2[[#This Row],[Месяц]],2)=D1082),F1082,0)</f>
        <v>0</v>
      </c>
    </row>
    <row r="1082" spans="1:11" ht="12.75" hidden="1" customHeight="1" x14ac:dyDescent="0.2">
      <c r="A1082" s="8">
        <v>946</v>
      </c>
      <c r="B1082" s="8" t="s">
        <v>52</v>
      </c>
      <c r="C1082" s="8" t="s">
        <v>8</v>
      </c>
      <c r="D1082" s="12">
        <v>45170</v>
      </c>
      <c r="E1082" s="8">
        <v>64400</v>
      </c>
      <c r="F1082" s="10">
        <f>IF(ISTEXT(Таблицаx_2[[#This Row],[Значение]]), 0, Таблицаx_2[[#This Row],[Значение]])</f>
        <v>64400</v>
      </c>
      <c r="G1082" s="12">
        <v>45170</v>
      </c>
      <c r="H1082" s="10" t="str">
        <f>IFERROR(VLOOKUP(Таблицаx_2[[#This Row],[id]],prolongations!A:C,2,)," ")</f>
        <v>сентябрь 2023</v>
      </c>
      <c r="I1082" s="10">
        <f>IF(Таблицаx_2[[#This Row],[Месяц окончания]]=Таблицаx_2[[#This Row],[Месяц]],Таблицаx_2[[#This Row],[Значения числа]],0)</f>
        <v>64400</v>
      </c>
      <c r="J1082" s="8">
        <f>IF(AND(Таблицаx_2[[#This Row],[Месяц окончания]]=Таблицаx_2[[#This Row],[Месяц]],Таблицаx_2[[#This Row],[id]]=A1083,EDATE(Таблицаx_2[[#This Row],[Месяц]],1)=D1083),F1083,0)</f>
        <v>64400</v>
      </c>
      <c r="K1082" s="8">
        <f>IF(AND(Таблицаx_2[[#This Row],[Месяц окончания]]=Таблицаx_2[[#This Row],[Месяц]],Таблицаx_2[[#This Row],[id]]=A1083,EDATE(Таблицаx_2[[#This Row],[Месяц]],2)=D1083),F1083,0)</f>
        <v>0</v>
      </c>
    </row>
    <row r="1083" spans="1:11" ht="12.75" hidden="1" customHeight="1" x14ac:dyDescent="0.2">
      <c r="A1083" s="8">
        <v>946</v>
      </c>
      <c r="B1083" s="8" t="s">
        <v>52</v>
      </c>
      <c r="C1083" s="8" t="s">
        <v>8</v>
      </c>
      <c r="D1083" s="12">
        <v>45200</v>
      </c>
      <c r="E1083" s="8">
        <v>64400</v>
      </c>
      <c r="F1083" s="10">
        <f>IF(ISTEXT(Таблицаx_2[[#This Row],[Значение]]), 0, Таблицаx_2[[#This Row],[Значение]])</f>
        <v>64400</v>
      </c>
      <c r="G1083" s="12">
        <v>45170</v>
      </c>
      <c r="H1083" s="10" t="str">
        <f>IFERROR(VLOOKUP(Таблицаx_2[[#This Row],[id]],prolongations!A:C,2,)," ")</f>
        <v>сентябрь 2023</v>
      </c>
      <c r="I1083" s="10">
        <f>IF(Таблицаx_2[[#This Row],[Месяц окончания]]=Таблицаx_2[[#This Row],[Месяц]],Таблицаx_2[[#This Row],[Значения числа]],0)</f>
        <v>0</v>
      </c>
      <c r="J1083" s="8">
        <f>IF(AND(Таблицаx_2[[#This Row],[Месяц окончания]]=Таблицаx_2[[#This Row],[Месяц]],Таблицаx_2[[#This Row],[id]]=A1084,EDATE(Таблицаx_2[[#This Row],[Месяц]],1)=D1084),F1084,0)</f>
        <v>0</v>
      </c>
      <c r="K1083" s="8">
        <f>IF(AND(Таблицаx_2[[#This Row],[Месяц окончания]]=Таблицаx_2[[#This Row],[Месяц]],Таблицаx_2[[#This Row],[id]]=A1084,EDATE(Таблицаx_2[[#This Row],[Месяц]],2)=D1084),F1084,0)</f>
        <v>0</v>
      </c>
    </row>
    <row r="1084" spans="1:11" ht="12.75" hidden="1" customHeight="1" x14ac:dyDescent="0.2">
      <c r="A1084" s="8">
        <v>946</v>
      </c>
      <c r="B1084" s="8" t="s">
        <v>52</v>
      </c>
      <c r="C1084" s="8" t="s">
        <v>8</v>
      </c>
      <c r="D1084" s="12">
        <v>45231</v>
      </c>
      <c r="E1084" s="8">
        <v>64400</v>
      </c>
      <c r="F1084" s="10">
        <f>IF(ISTEXT(Таблицаx_2[[#This Row],[Значение]]), 0, Таблицаx_2[[#This Row],[Значение]])</f>
        <v>64400</v>
      </c>
      <c r="G1084" s="12">
        <v>45170</v>
      </c>
      <c r="H1084" s="10" t="str">
        <f>IFERROR(VLOOKUP(Таблицаx_2[[#This Row],[id]],prolongations!A:C,2,)," ")</f>
        <v>сентябрь 2023</v>
      </c>
      <c r="I1084" s="10">
        <f>IF(Таблицаx_2[[#This Row],[Месяц окончания]]=Таблицаx_2[[#This Row],[Месяц]],Таблицаx_2[[#This Row],[Значения числа]],0)</f>
        <v>0</v>
      </c>
      <c r="J1084" s="8">
        <f>IF(AND(Таблицаx_2[[#This Row],[Месяц окончания]]=Таблицаx_2[[#This Row],[Месяц]],Таблицаx_2[[#This Row],[id]]=A1085,EDATE(Таблицаx_2[[#This Row],[Месяц]],1)=D1085),F1085,0)</f>
        <v>0</v>
      </c>
      <c r="K1084" s="8">
        <f>IF(AND(Таблицаx_2[[#This Row],[Месяц окончания]]=Таблицаx_2[[#This Row],[Месяц]],Таблицаx_2[[#This Row],[id]]=A1085,EDATE(Таблицаx_2[[#This Row],[Месяц]],2)=D1085),F1085,0)</f>
        <v>0</v>
      </c>
    </row>
    <row r="1085" spans="1:11" ht="12.75" hidden="1" customHeight="1" x14ac:dyDescent="0.2">
      <c r="A1085" s="8">
        <v>946</v>
      </c>
      <c r="B1085" s="8" t="s">
        <v>52</v>
      </c>
      <c r="C1085" s="8" t="s">
        <v>8</v>
      </c>
      <c r="D1085" s="12">
        <v>45261</v>
      </c>
      <c r="E1085" s="8">
        <v>64400</v>
      </c>
      <c r="F1085" s="10">
        <f>IF(ISTEXT(Таблицаx_2[[#This Row],[Значение]]), 0, Таблицаx_2[[#This Row],[Значение]])</f>
        <v>64400</v>
      </c>
      <c r="G1085" s="12">
        <v>45170</v>
      </c>
      <c r="H1085" s="10" t="str">
        <f>IFERROR(VLOOKUP(Таблицаx_2[[#This Row],[id]],prolongations!A:C,2,)," ")</f>
        <v>сентябрь 2023</v>
      </c>
      <c r="I1085" s="10">
        <f>IF(Таблицаx_2[[#This Row],[Месяц окончания]]=Таблицаx_2[[#This Row],[Месяц]],Таблицаx_2[[#This Row],[Значения числа]],0)</f>
        <v>0</v>
      </c>
      <c r="J1085" s="8">
        <f>IF(AND(Таблицаx_2[[#This Row],[Месяц окончания]]=Таблицаx_2[[#This Row],[Месяц]],Таблицаx_2[[#This Row],[id]]=A1086,EDATE(Таблицаx_2[[#This Row],[Месяц]],1)=D1086),F1086,0)</f>
        <v>0</v>
      </c>
      <c r="K1085" s="8">
        <f>IF(AND(Таблицаx_2[[#This Row],[Месяц окончания]]=Таблицаx_2[[#This Row],[Месяц]],Таблицаx_2[[#This Row],[id]]=A1086,EDATE(Таблицаx_2[[#This Row],[Месяц]],2)=D1086),F1086,0)</f>
        <v>0</v>
      </c>
    </row>
    <row r="1086" spans="1:11" ht="12.75" hidden="1" customHeight="1" x14ac:dyDescent="0.2">
      <c r="A1086" s="8">
        <v>946</v>
      </c>
      <c r="B1086" s="8" t="s">
        <v>52</v>
      </c>
      <c r="C1086" s="8" t="s">
        <v>8</v>
      </c>
      <c r="D1086" s="12">
        <v>45292</v>
      </c>
      <c r="E1086" s="8" t="s">
        <v>46</v>
      </c>
      <c r="F1086" s="10">
        <f>IF(ISTEXT(Таблицаx_2[[#This Row],[Значение]]), 0, Таблицаx_2[[#This Row],[Значение]])</f>
        <v>0</v>
      </c>
      <c r="G1086" s="12">
        <v>45170</v>
      </c>
      <c r="H1086" s="10" t="str">
        <f>IFERROR(VLOOKUP(Таблицаx_2[[#This Row],[id]],prolongations!A:C,2,)," ")</f>
        <v>сентябрь 2023</v>
      </c>
      <c r="I1086" s="10">
        <f>IF(Таблицаx_2[[#This Row],[Месяц окончания]]=Таблицаx_2[[#This Row],[Месяц]],Таблицаx_2[[#This Row],[Значения числа]],0)</f>
        <v>0</v>
      </c>
      <c r="J1086" s="8">
        <f>IF(AND(Таблицаx_2[[#This Row],[Месяц окончания]]=Таблицаx_2[[#This Row],[Месяц]],Таблицаx_2[[#This Row],[id]]=A1087,EDATE(Таблицаx_2[[#This Row],[Месяц]],1)=D1087),F1087,0)</f>
        <v>0</v>
      </c>
      <c r="K1086" s="8">
        <f>IF(AND(Таблицаx_2[[#This Row],[Месяц окончания]]=Таблицаx_2[[#This Row],[Месяц]],Таблицаx_2[[#This Row],[id]]=A1087,EDATE(Таблицаx_2[[#This Row],[Месяц]],2)=D1087),F1087,0)</f>
        <v>0</v>
      </c>
    </row>
    <row r="1087" spans="1:11" ht="12.75" hidden="1" customHeight="1" x14ac:dyDescent="0.2">
      <c r="A1087" s="8">
        <v>946</v>
      </c>
      <c r="B1087" s="8" t="s">
        <v>50</v>
      </c>
      <c r="C1087" s="8" t="s">
        <v>8</v>
      </c>
      <c r="D1087" s="12">
        <v>45139</v>
      </c>
      <c r="E1087" s="8" t="s">
        <v>48</v>
      </c>
      <c r="F1087" s="10">
        <f>IF(ISTEXT(Таблицаx_2[[#This Row],[Значение]]), 0, Таблицаx_2[[#This Row],[Значение]])</f>
        <v>0</v>
      </c>
      <c r="G1087" s="12">
        <v>45170</v>
      </c>
      <c r="H1087" s="10" t="str">
        <f>IFERROR(VLOOKUP(Таблицаx_2[[#This Row],[id]],prolongations!A:C,2,)," ")</f>
        <v>сентябрь 2023</v>
      </c>
      <c r="I1087" s="10">
        <f>IF(Таблицаx_2[[#This Row],[Месяц окончания]]=Таблицаx_2[[#This Row],[Месяц]],Таблицаx_2[[#This Row],[Значения числа]],0)</f>
        <v>0</v>
      </c>
      <c r="J1087" s="8">
        <f>IF(AND(Таблицаx_2[[#This Row],[Месяц окончания]]=Таблицаx_2[[#This Row],[Месяц]],Таблицаx_2[[#This Row],[id]]=A1088,EDATE(Таблицаx_2[[#This Row],[Месяц]],1)=D1088),F1088,0)</f>
        <v>0</v>
      </c>
      <c r="K1087" s="8">
        <f>IF(AND(Таблицаx_2[[#This Row],[Месяц окончания]]=Таблицаx_2[[#This Row],[Месяц]],Таблицаx_2[[#This Row],[id]]=A1088,EDATE(Таблицаx_2[[#This Row],[Месяц]],2)=D1088),F1088,0)</f>
        <v>0</v>
      </c>
    </row>
    <row r="1088" spans="1:11" ht="12.75" hidden="1" customHeight="1" x14ac:dyDescent="0.2">
      <c r="A1088" s="8">
        <v>946</v>
      </c>
      <c r="B1088" s="8" t="s">
        <v>50</v>
      </c>
      <c r="C1088" s="8" t="s">
        <v>8</v>
      </c>
      <c r="D1088" s="12">
        <v>45170</v>
      </c>
      <c r="E1088" s="8" t="s">
        <v>48</v>
      </c>
      <c r="F1088" s="10">
        <f>IF(ISTEXT(Таблицаx_2[[#This Row],[Значение]]), 0, Таблицаx_2[[#This Row],[Значение]])</f>
        <v>0</v>
      </c>
      <c r="G1088" s="12">
        <v>45170</v>
      </c>
      <c r="H1088" s="10" t="str">
        <f>IFERROR(VLOOKUP(Таблицаx_2[[#This Row],[id]],prolongations!A:C,2,)," ")</f>
        <v>сентябрь 2023</v>
      </c>
      <c r="I1088" s="10">
        <f>IF(Таблицаx_2[[#This Row],[Месяц окончания]]=Таблицаx_2[[#This Row],[Месяц]],Таблицаx_2[[#This Row],[Значения числа]],0)</f>
        <v>0</v>
      </c>
      <c r="J1088" s="8">
        <f>IF(AND(Таблицаx_2[[#This Row],[Месяц окончания]]=Таблицаx_2[[#This Row],[Месяц]],Таблицаx_2[[#This Row],[id]]=A1089,EDATE(Таблицаx_2[[#This Row],[Месяц]],1)=D1089),F1089,0)</f>
        <v>0</v>
      </c>
      <c r="K1088" s="8">
        <f>IF(AND(Таблицаx_2[[#This Row],[Месяц окончания]]=Таблицаx_2[[#This Row],[Месяц]],Таблицаx_2[[#This Row],[id]]=A1089,EDATE(Таблицаx_2[[#This Row],[Месяц]],2)=D1089),F1089,0)</f>
        <v>0</v>
      </c>
    </row>
    <row r="1089" spans="1:11" ht="12.75" hidden="1" customHeight="1" x14ac:dyDescent="0.2">
      <c r="A1089" s="8">
        <v>946</v>
      </c>
      <c r="B1089" s="8" t="s">
        <v>50</v>
      </c>
      <c r="C1089" s="8" t="s">
        <v>8</v>
      </c>
      <c r="D1089" s="12">
        <v>45200</v>
      </c>
      <c r="E1089" s="8" t="s">
        <v>48</v>
      </c>
      <c r="F1089" s="10">
        <f>IF(ISTEXT(Таблицаx_2[[#This Row],[Значение]]), 0, Таблицаx_2[[#This Row],[Значение]])</f>
        <v>0</v>
      </c>
      <c r="G1089" s="12">
        <v>45170</v>
      </c>
      <c r="H1089" s="10" t="str">
        <f>IFERROR(VLOOKUP(Таблицаx_2[[#This Row],[id]],prolongations!A:C,2,)," ")</f>
        <v>сентябрь 2023</v>
      </c>
      <c r="I1089" s="10">
        <f>IF(Таблицаx_2[[#This Row],[Месяц окончания]]=Таблицаx_2[[#This Row],[Месяц]],Таблицаx_2[[#This Row],[Значения числа]],0)</f>
        <v>0</v>
      </c>
      <c r="J1089" s="8">
        <f>IF(AND(Таблицаx_2[[#This Row],[Месяц окончания]]=Таблицаx_2[[#This Row],[Месяц]],Таблицаx_2[[#This Row],[id]]=A1090,EDATE(Таблицаx_2[[#This Row],[Месяц]],1)=D1090),F1090,0)</f>
        <v>0</v>
      </c>
      <c r="K1089" s="8">
        <f>IF(AND(Таблицаx_2[[#This Row],[Месяц окончания]]=Таблицаx_2[[#This Row],[Месяц]],Таблицаx_2[[#This Row],[id]]=A1090,EDATE(Таблицаx_2[[#This Row],[Месяц]],2)=D1090),F1090,0)</f>
        <v>0</v>
      </c>
    </row>
    <row r="1090" spans="1:11" ht="12.75" hidden="1" customHeight="1" x14ac:dyDescent="0.2">
      <c r="A1090" s="8">
        <v>946</v>
      </c>
      <c r="B1090" s="8" t="s">
        <v>50</v>
      </c>
      <c r="C1090" s="8" t="s">
        <v>8</v>
      </c>
      <c r="D1090" s="12">
        <v>45231</v>
      </c>
      <c r="E1090" s="8" t="s">
        <v>48</v>
      </c>
      <c r="F1090" s="10">
        <f>IF(ISTEXT(Таблицаx_2[[#This Row],[Значение]]), 0, Таблицаx_2[[#This Row],[Значение]])</f>
        <v>0</v>
      </c>
      <c r="G1090" s="12">
        <v>45170</v>
      </c>
      <c r="H1090" s="10" t="str">
        <f>IFERROR(VLOOKUP(Таблицаx_2[[#This Row],[id]],prolongations!A:C,2,)," ")</f>
        <v>сентябрь 2023</v>
      </c>
      <c r="I1090" s="10">
        <f>IF(Таблицаx_2[[#This Row],[Месяц окончания]]=Таблицаx_2[[#This Row],[Месяц]],Таблицаx_2[[#This Row],[Значения числа]],0)</f>
        <v>0</v>
      </c>
      <c r="J1090" s="8">
        <f>IF(AND(Таблицаx_2[[#This Row],[Месяц окончания]]=Таблицаx_2[[#This Row],[Месяц]],Таблицаx_2[[#This Row],[id]]=A1091,EDATE(Таблицаx_2[[#This Row],[Месяц]],1)=D1091),F1091,0)</f>
        <v>0</v>
      </c>
      <c r="K1090" s="8">
        <f>IF(AND(Таблицаx_2[[#This Row],[Месяц окончания]]=Таблицаx_2[[#This Row],[Месяц]],Таблицаx_2[[#This Row],[id]]=A1091,EDATE(Таблицаx_2[[#This Row],[Месяц]],2)=D1091),F1091,0)</f>
        <v>0</v>
      </c>
    </row>
    <row r="1091" spans="1:11" ht="12.75" hidden="1" customHeight="1" x14ac:dyDescent="0.2">
      <c r="A1091" s="8">
        <v>946</v>
      </c>
      <c r="B1091" s="8" t="s">
        <v>50</v>
      </c>
      <c r="C1091" s="8" t="s">
        <v>8</v>
      </c>
      <c r="D1091" s="12">
        <v>45261</v>
      </c>
      <c r="E1091" s="8" t="s">
        <v>48</v>
      </c>
      <c r="F1091" s="10">
        <f>IF(ISTEXT(Таблицаx_2[[#This Row],[Значение]]), 0, Таблицаx_2[[#This Row],[Значение]])</f>
        <v>0</v>
      </c>
      <c r="G1091" s="12">
        <v>45170</v>
      </c>
      <c r="H1091" s="10" t="str">
        <f>IFERROR(VLOOKUP(Таблицаx_2[[#This Row],[id]],prolongations!A:C,2,)," ")</f>
        <v>сентябрь 2023</v>
      </c>
      <c r="I1091" s="10">
        <f>IF(Таблицаx_2[[#This Row],[Месяц окончания]]=Таблицаx_2[[#This Row],[Месяц]],Таблицаx_2[[#This Row],[Значения числа]],0)</f>
        <v>0</v>
      </c>
      <c r="J1091" s="8">
        <f>IF(AND(Таблицаx_2[[#This Row],[Месяц окончания]]=Таблицаx_2[[#This Row],[Месяц]],Таблицаx_2[[#This Row],[id]]=A1092,EDATE(Таблицаx_2[[#This Row],[Месяц]],1)=D1092),F1092,0)</f>
        <v>0</v>
      </c>
      <c r="K1091" s="8">
        <f>IF(AND(Таблицаx_2[[#This Row],[Месяц окончания]]=Таблицаx_2[[#This Row],[Месяц]],Таблицаx_2[[#This Row],[id]]=A1092,EDATE(Таблицаx_2[[#This Row],[Месяц]],2)=D1092),F1092,0)</f>
        <v>0</v>
      </c>
    </row>
    <row r="1092" spans="1:11" ht="12.75" hidden="1" customHeight="1" x14ac:dyDescent="0.2">
      <c r="A1092" s="8">
        <v>946</v>
      </c>
      <c r="B1092" s="8" t="s">
        <v>50</v>
      </c>
      <c r="C1092" s="8" t="s">
        <v>8</v>
      </c>
      <c r="D1092" s="12">
        <v>45292</v>
      </c>
      <c r="E1092" s="8" t="s">
        <v>46</v>
      </c>
      <c r="F1092" s="10">
        <f>IF(ISTEXT(Таблицаx_2[[#This Row],[Значение]]), 0, Таблицаx_2[[#This Row],[Значение]])</f>
        <v>0</v>
      </c>
      <c r="G1092" s="12">
        <v>45170</v>
      </c>
      <c r="H1092" s="10" t="str">
        <f>IFERROR(VLOOKUP(Таблицаx_2[[#This Row],[id]],prolongations!A:C,2,)," ")</f>
        <v>сентябрь 2023</v>
      </c>
      <c r="I1092" s="10">
        <f>IF(Таблицаx_2[[#This Row],[Месяц окончания]]=Таблицаx_2[[#This Row],[Месяц]],Таблицаx_2[[#This Row],[Значения числа]],0)</f>
        <v>0</v>
      </c>
      <c r="J1092" s="8">
        <f>IF(AND(Таблицаx_2[[#This Row],[Месяц окончания]]=Таблицаx_2[[#This Row],[Месяц]],Таблицаx_2[[#This Row],[id]]=A1093,EDATE(Таблицаx_2[[#This Row],[Месяц]],1)=D1093),F1093,0)</f>
        <v>0</v>
      </c>
      <c r="K1092" s="8">
        <f>IF(AND(Таблицаx_2[[#This Row],[Месяц окончания]]=Таблицаx_2[[#This Row],[Месяц]],Таблицаx_2[[#This Row],[id]]=A1093,EDATE(Таблицаx_2[[#This Row],[Месяц]],2)=D1093),F1093,0)</f>
        <v>0</v>
      </c>
    </row>
    <row r="1093" spans="1:11" ht="12.75" hidden="1" customHeight="1" x14ac:dyDescent="0.2">
      <c r="A1093" s="8">
        <v>831</v>
      </c>
      <c r="B1093" s="8" t="s">
        <v>52</v>
      </c>
      <c r="C1093" s="8" t="s">
        <v>7</v>
      </c>
      <c r="D1093" s="12">
        <v>45017</v>
      </c>
      <c r="E1093" s="8">
        <v>51030</v>
      </c>
      <c r="F1093" s="10">
        <f>IF(ISTEXT(Таблицаx_2[[#This Row],[Значение]]), 0, Таблицаx_2[[#This Row],[Значение]])</f>
        <v>51030</v>
      </c>
      <c r="G1093" s="12">
        <v>45170</v>
      </c>
      <c r="H1093" s="10" t="str">
        <f>IFERROR(VLOOKUP(Таблицаx_2[[#This Row],[id]],prolongations!A:C,2,)," ")</f>
        <v>сентябрь 2023</v>
      </c>
      <c r="I1093" s="10">
        <f>IF(Таблицаx_2[[#This Row],[Месяц окончания]]=Таблицаx_2[[#This Row],[Месяц]],Таблицаx_2[[#This Row],[Значения числа]],0)</f>
        <v>0</v>
      </c>
      <c r="J1093" s="8">
        <f>IF(AND(Таблицаx_2[[#This Row],[Месяц окончания]]=Таблицаx_2[[#This Row],[Месяц]],Таблицаx_2[[#This Row],[id]]=A1094,EDATE(Таблицаx_2[[#This Row],[Месяц]],1)=D1094),F1094,0)</f>
        <v>0</v>
      </c>
      <c r="K1093" s="8">
        <f>IF(AND(Таблицаx_2[[#This Row],[Месяц окончания]]=Таблицаx_2[[#This Row],[Месяц]],Таблицаx_2[[#This Row],[id]]=A1094,EDATE(Таблицаx_2[[#This Row],[Месяц]],2)=D1094),F1094,0)</f>
        <v>0</v>
      </c>
    </row>
    <row r="1094" spans="1:11" ht="12.75" hidden="1" customHeight="1" x14ac:dyDescent="0.2">
      <c r="A1094" s="8">
        <v>831</v>
      </c>
      <c r="B1094" s="8" t="s">
        <v>52</v>
      </c>
      <c r="C1094" s="8" t="s">
        <v>7</v>
      </c>
      <c r="D1094" s="12">
        <v>45047</v>
      </c>
      <c r="E1094" s="8">
        <v>51000</v>
      </c>
      <c r="F1094" s="10">
        <f>IF(ISTEXT(Таблицаx_2[[#This Row],[Значение]]), 0, Таблицаx_2[[#This Row],[Значение]])</f>
        <v>51000</v>
      </c>
      <c r="G1094" s="12">
        <v>45170</v>
      </c>
      <c r="H1094" s="10" t="str">
        <f>IFERROR(VLOOKUP(Таблицаx_2[[#This Row],[id]],prolongations!A:C,2,)," ")</f>
        <v>сентябрь 2023</v>
      </c>
      <c r="I1094" s="10">
        <f>IF(Таблицаx_2[[#This Row],[Месяц окончания]]=Таблицаx_2[[#This Row],[Месяц]],Таблицаx_2[[#This Row],[Значения числа]],0)</f>
        <v>0</v>
      </c>
      <c r="J1094" s="8">
        <f>IF(AND(Таблицаx_2[[#This Row],[Месяц окончания]]=Таблицаx_2[[#This Row],[Месяц]],Таблицаx_2[[#This Row],[id]]=A1095,EDATE(Таблицаx_2[[#This Row],[Месяц]],1)=D1095),F1095,0)</f>
        <v>0</v>
      </c>
      <c r="K1094" s="8">
        <f>IF(AND(Таблицаx_2[[#This Row],[Месяц окончания]]=Таблицаx_2[[#This Row],[Месяц]],Таблицаx_2[[#This Row],[id]]=A1095,EDATE(Таблицаx_2[[#This Row],[Месяц]],2)=D1095),F1095,0)</f>
        <v>0</v>
      </c>
    </row>
    <row r="1095" spans="1:11" ht="12.75" hidden="1" customHeight="1" x14ac:dyDescent="0.2">
      <c r="A1095" s="8">
        <v>831</v>
      </c>
      <c r="B1095" s="8" t="s">
        <v>52</v>
      </c>
      <c r="C1095" s="8" t="s">
        <v>7</v>
      </c>
      <c r="D1095" s="12">
        <v>45078</v>
      </c>
      <c r="E1095" s="8">
        <v>48600</v>
      </c>
      <c r="F1095" s="10">
        <f>IF(ISTEXT(Таблицаx_2[[#This Row],[Значение]]), 0, Таблицаx_2[[#This Row],[Значение]])</f>
        <v>48600</v>
      </c>
      <c r="G1095" s="12">
        <v>45170</v>
      </c>
      <c r="H1095" s="10" t="str">
        <f>IFERROR(VLOOKUP(Таблицаx_2[[#This Row],[id]],prolongations!A:C,2,)," ")</f>
        <v>сентябрь 2023</v>
      </c>
      <c r="I1095" s="10">
        <f>IF(Таблицаx_2[[#This Row],[Месяц окончания]]=Таблицаx_2[[#This Row],[Месяц]],Таблицаx_2[[#This Row],[Значения числа]],0)</f>
        <v>0</v>
      </c>
      <c r="J1095" s="8">
        <f>IF(AND(Таблицаx_2[[#This Row],[Месяц окончания]]=Таблицаx_2[[#This Row],[Месяц]],Таблицаx_2[[#This Row],[id]]=A1096,EDATE(Таблицаx_2[[#This Row],[Месяц]],1)=D1096),F1096,0)</f>
        <v>0</v>
      </c>
      <c r="K1095" s="8">
        <f>IF(AND(Таблицаx_2[[#This Row],[Месяц окончания]]=Таблицаx_2[[#This Row],[Месяц]],Таблицаx_2[[#This Row],[id]]=A1096,EDATE(Таблицаx_2[[#This Row],[Месяц]],2)=D1096),F1096,0)</f>
        <v>0</v>
      </c>
    </row>
    <row r="1096" spans="1:11" ht="12.75" hidden="1" customHeight="1" x14ac:dyDescent="0.2">
      <c r="A1096" s="8">
        <v>831</v>
      </c>
      <c r="B1096" s="8" t="s">
        <v>52</v>
      </c>
      <c r="C1096" s="8" t="s">
        <v>7</v>
      </c>
      <c r="D1096" s="12">
        <v>45108</v>
      </c>
      <c r="E1096" s="8">
        <v>48600</v>
      </c>
      <c r="F1096" s="10">
        <f>IF(ISTEXT(Таблицаx_2[[#This Row],[Значение]]), 0, Таблицаx_2[[#This Row],[Значение]])</f>
        <v>48600</v>
      </c>
      <c r="G1096" s="12">
        <v>45170</v>
      </c>
      <c r="H1096" s="10" t="str">
        <f>IFERROR(VLOOKUP(Таблицаx_2[[#This Row],[id]],prolongations!A:C,2,)," ")</f>
        <v>сентябрь 2023</v>
      </c>
      <c r="I1096" s="10">
        <f>IF(Таблицаx_2[[#This Row],[Месяц окончания]]=Таблицаx_2[[#This Row],[Месяц]],Таблицаx_2[[#This Row],[Значения числа]],0)</f>
        <v>0</v>
      </c>
      <c r="J1096" s="8">
        <f>IF(AND(Таблицаx_2[[#This Row],[Месяц окончания]]=Таблицаx_2[[#This Row],[Месяц]],Таблицаx_2[[#This Row],[id]]=A1097,EDATE(Таблицаx_2[[#This Row],[Месяц]],1)=D1097),F1097,0)</f>
        <v>0</v>
      </c>
      <c r="K1096" s="8">
        <f>IF(AND(Таблицаx_2[[#This Row],[Месяц окончания]]=Таблицаx_2[[#This Row],[Месяц]],Таблицаx_2[[#This Row],[id]]=A1097,EDATE(Таблицаx_2[[#This Row],[Месяц]],2)=D1097),F1097,0)</f>
        <v>0</v>
      </c>
    </row>
    <row r="1097" spans="1:11" ht="12.75" hidden="1" customHeight="1" x14ac:dyDescent="0.2">
      <c r="A1097" s="8">
        <v>831</v>
      </c>
      <c r="B1097" s="8" t="s">
        <v>52</v>
      </c>
      <c r="C1097" s="8" t="s">
        <v>7</v>
      </c>
      <c r="D1097" s="12">
        <v>45139</v>
      </c>
      <c r="E1097" s="8">
        <v>13550</v>
      </c>
      <c r="F1097" s="10">
        <f>IF(ISTEXT(Таблицаx_2[[#This Row],[Значение]]), 0, Таблицаx_2[[#This Row],[Значение]])</f>
        <v>13550</v>
      </c>
      <c r="G1097" s="12">
        <v>45170</v>
      </c>
      <c r="H1097" s="10" t="str">
        <f>IFERROR(VLOOKUP(Таблицаx_2[[#This Row],[id]],prolongations!A:C,2,)," ")</f>
        <v>сентябрь 2023</v>
      </c>
      <c r="I1097" s="10">
        <f>IF(Таблицаx_2[[#This Row],[Месяц окончания]]=Таблицаx_2[[#This Row],[Месяц]],Таблицаx_2[[#This Row],[Значения числа]],0)</f>
        <v>0</v>
      </c>
      <c r="J1097" s="8">
        <f>IF(AND(Таблицаx_2[[#This Row],[Месяц окончания]]=Таблицаx_2[[#This Row],[Месяц]],Таблицаx_2[[#This Row],[id]]=A1098,EDATE(Таблицаx_2[[#This Row],[Месяц]],1)=D1098),F1098,0)</f>
        <v>0</v>
      </c>
      <c r="K1097" s="8">
        <f>IF(AND(Таблицаx_2[[#This Row],[Месяц окончания]]=Таблицаx_2[[#This Row],[Месяц]],Таблицаx_2[[#This Row],[id]]=A1098,EDATE(Таблицаx_2[[#This Row],[Месяц]],2)=D1098),F1098,0)</f>
        <v>0</v>
      </c>
    </row>
    <row r="1098" spans="1:11" ht="12.75" hidden="1" customHeight="1" x14ac:dyDescent="0.2">
      <c r="A1098" s="8">
        <v>831</v>
      </c>
      <c r="B1098" s="8" t="s">
        <v>52</v>
      </c>
      <c r="C1098" s="8" t="s">
        <v>7</v>
      </c>
      <c r="D1098" s="12">
        <v>45170</v>
      </c>
      <c r="E1098" s="8" t="s">
        <v>46</v>
      </c>
      <c r="F1098" s="10">
        <f>IF(ISTEXT(Таблицаx_2[[#This Row],[Значение]]), 0, Таблицаx_2[[#This Row],[Значение]])</f>
        <v>0</v>
      </c>
      <c r="G1098" s="12">
        <v>45170</v>
      </c>
      <c r="H1098" s="10" t="str">
        <f>IFERROR(VLOOKUP(Таблицаx_2[[#This Row],[id]],prolongations!A:C,2,)," ")</f>
        <v>сентябрь 2023</v>
      </c>
      <c r="I1098" s="10">
        <f>IF(Таблицаx_2[[#This Row],[Месяц окончания]]=Таблицаx_2[[#This Row],[Месяц]],Таблицаx_2[[#This Row],[Значения числа]],0)</f>
        <v>0</v>
      </c>
      <c r="J1098" s="8">
        <f>IF(AND(Таблицаx_2[[#This Row],[Месяц окончания]]=Таблицаx_2[[#This Row],[Месяц]],Таблицаx_2[[#This Row],[id]]=A1099,EDATE(Таблицаx_2[[#This Row],[Месяц]],1)=D1099),F1099,0)</f>
        <v>0</v>
      </c>
      <c r="K1098" s="8">
        <f>IF(AND(Таблицаx_2[[#This Row],[Месяц окончания]]=Таблицаx_2[[#This Row],[Месяц]],Таблицаx_2[[#This Row],[id]]=A1099,EDATE(Таблицаx_2[[#This Row],[Месяц]],2)=D1099),F1099,0)</f>
        <v>0</v>
      </c>
    </row>
    <row r="1099" spans="1:11" ht="12.75" hidden="1" customHeight="1" x14ac:dyDescent="0.2">
      <c r="A1099" s="8">
        <v>831</v>
      </c>
      <c r="B1099" s="8" t="s">
        <v>50</v>
      </c>
      <c r="C1099" s="8" t="s">
        <v>7</v>
      </c>
      <c r="D1099" s="12">
        <v>45017</v>
      </c>
      <c r="E1099" s="8" t="s">
        <v>48</v>
      </c>
      <c r="F1099" s="10">
        <f>IF(ISTEXT(Таблицаx_2[[#This Row],[Значение]]), 0, Таблицаx_2[[#This Row],[Значение]])</f>
        <v>0</v>
      </c>
      <c r="G1099" s="12">
        <v>45170</v>
      </c>
      <c r="H1099" s="10" t="str">
        <f>IFERROR(VLOOKUP(Таблицаx_2[[#This Row],[id]],prolongations!A:C,2,)," ")</f>
        <v>сентябрь 2023</v>
      </c>
      <c r="I1099" s="10">
        <f>IF(Таблицаx_2[[#This Row],[Месяц окончания]]=Таблицаx_2[[#This Row],[Месяц]],Таблицаx_2[[#This Row],[Значения числа]],0)</f>
        <v>0</v>
      </c>
      <c r="J1099" s="8">
        <f>IF(AND(Таблицаx_2[[#This Row],[Месяц окончания]]=Таблицаx_2[[#This Row],[Месяц]],Таблицаx_2[[#This Row],[id]]=A1100,EDATE(Таблицаx_2[[#This Row],[Месяц]],1)=D1100),F1100,0)</f>
        <v>0</v>
      </c>
      <c r="K1099" s="8">
        <f>IF(AND(Таблицаx_2[[#This Row],[Месяц окончания]]=Таблицаx_2[[#This Row],[Месяц]],Таблицаx_2[[#This Row],[id]]=A1100,EDATE(Таблицаx_2[[#This Row],[Месяц]],2)=D1100),F1100,0)</f>
        <v>0</v>
      </c>
    </row>
    <row r="1100" spans="1:11" ht="12.75" hidden="1" customHeight="1" x14ac:dyDescent="0.2">
      <c r="A1100" s="8">
        <v>831</v>
      </c>
      <c r="B1100" s="8" t="s">
        <v>50</v>
      </c>
      <c r="C1100" s="8" t="s">
        <v>7</v>
      </c>
      <c r="D1100" s="12">
        <v>45047</v>
      </c>
      <c r="E1100" s="8" t="s">
        <v>48</v>
      </c>
      <c r="F1100" s="10">
        <f>IF(ISTEXT(Таблицаx_2[[#This Row],[Значение]]), 0, Таблицаx_2[[#This Row],[Значение]])</f>
        <v>0</v>
      </c>
      <c r="G1100" s="12">
        <v>45170</v>
      </c>
      <c r="H1100" s="10" t="str">
        <f>IFERROR(VLOOKUP(Таблицаx_2[[#This Row],[id]],prolongations!A:C,2,)," ")</f>
        <v>сентябрь 2023</v>
      </c>
      <c r="I1100" s="10">
        <f>IF(Таблицаx_2[[#This Row],[Месяц окончания]]=Таблицаx_2[[#This Row],[Месяц]],Таблицаx_2[[#This Row],[Значения числа]],0)</f>
        <v>0</v>
      </c>
      <c r="J1100" s="8">
        <f>IF(AND(Таблицаx_2[[#This Row],[Месяц окончания]]=Таблицаx_2[[#This Row],[Месяц]],Таблицаx_2[[#This Row],[id]]=A1101,EDATE(Таблицаx_2[[#This Row],[Месяц]],1)=D1101),F1101,0)</f>
        <v>0</v>
      </c>
      <c r="K1100" s="8">
        <f>IF(AND(Таблицаx_2[[#This Row],[Месяц окончания]]=Таблицаx_2[[#This Row],[Месяц]],Таблицаx_2[[#This Row],[id]]=A1101,EDATE(Таблицаx_2[[#This Row],[Месяц]],2)=D1101),F1101,0)</f>
        <v>0</v>
      </c>
    </row>
    <row r="1101" spans="1:11" ht="12.75" hidden="1" customHeight="1" x14ac:dyDescent="0.2">
      <c r="A1101" s="8">
        <v>831</v>
      </c>
      <c r="B1101" s="8" t="s">
        <v>50</v>
      </c>
      <c r="C1101" s="8" t="s">
        <v>7</v>
      </c>
      <c r="D1101" s="12">
        <v>45078</v>
      </c>
      <c r="E1101" s="8">
        <v>8055</v>
      </c>
      <c r="F1101" s="10">
        <f>IF(ISTEXT(Таблицаx_2[[#This Row],[Значение]]), 0, Таблицаx_2[[#This Row],[Значение]])</f>
        <v>8055</v>
      </c>
      <c r="G1101" s="12">
        <v>45170</v>
      </c>
      <c r="H1101" s="10" t="str">
        <f>IFERROR(VLOOKUP(Таблицаx_2[[#This Row],[id]],prolongations!A:C,2,)," ")</f>
        <v>сентябрь 2023</v>
      </c>
      <c r="I1101" s="10">
        <f>IF(Таблицаx_2[[#This Row],[Месяц окончания]]=Таблицаx_2[[#This Row],[Месяц]],Таблицаx_2[[#This Row],[Значения числа]],0)</f>
        <v>0</v>
      </c>
      <c r="J1101" s="8">
        <f>IF(AND(Таблицаx_2[[#This Row],[Месяц окончания]]=Таблицаx_2[[#This Row],[Месяц]],Таблицаx_2[[#This Row],[id]]=A1102,EDATE(Таблицаx_2[[#This Row],[Месяц]],1)=D1102),F1102,0)</f>
        <v>0</v>
      </c>
      <c r="K1101" s="8">
        <f>IF(AND(Таблицаx_2[[#This Row],[Месяц окончания]]=Таблицаx_2[[#This Row],[Месяц]],Таблицаx_2[[#This Row],[id]]=A1102,EDATE(Таблицаx_2[[#This Row],[Месяц]],2)=D1102),F1102,0)</f>
        <v>0</v>
      </c>
    </row>
    <row r="1102" spans="1:11" ht="12.75" hidden="1" customHeight="1" x14ac:dyDescent="0.2">
      <c r="A1102" s="8">
        <v>831</v>
      </c>
      <c r="B1102" s="8" t="s">
        <v>50</v>
      </c>
      <c r="C1102" s="8" t="s">
        <v>7</v>
      </c>
      <c r="D1102" s="12">
        <v>45108</v>
      </c>
      <c r="E1102" s="8">
        <v>3580</v>
      </c>
      <c r="F1102" s="10">
        <f>IF(ISTEXT(Таблицаx_2[[#This Row],[Значение]]), 0, Таблицаx_2[[#This Row],[Значение]])</f>
        <v>3580</v>
      </c>
      <c r="G1102" s="12">
        <v>45170</v>
      </c>
      <c r="H1102" s="10" t="str">
        <f>IFERROR(VLOOKUP(Таблицаx_2[[#This Row],[id]],prolongations!A:C,2,)," ")</f>
        <v>сентябрь 2023</v>
      </c>
      <c r="I1102" s="10">
        <f>IF(Таблицаx_2[[#This Row],[Месяц окончания]]=Таблицаx_2[[#This Row],[Месяц]],Таблицаx_2[[#This Row],[Значения числа]],0)</f>
        <v>0</v>
      </c>
      <c r="J1102" s="8">
        <f>IF(AND(Таблицаx_2[[#This Row],[Месяц окончания]]=Таблицаx_2[[#This Row],[Месяц]],Таблицаx_2[[#This Row],[id]]=A1103,EDATE(Таблицаx_2[[#This Row],[Месяц]],1)=D1103),F1103,0)</f>
        <v>0</v>
      </c>
      <c r="K1102" s="8">
        <f>IF(AND(Таблицаx_2[[#This Row],[Месяц окончания]]=Таблицаx_2[[#This Row],[Месяц]],Таблицаx_2[[#This Row],[id]]=A1103,EDATE(Таблицаx_2[[#This Row],[Месяц]],2)=D1103),F1103,0)</f>
        <v>0</v>
      </c>
    </row>
    <row r="1103" spans="1:11" ht="12.75" hidden="1" customHeight="1" x14ac:dyDescent="0.2">
      <c r="A1103" s="8">
        <v>831</v>
      </c>
      <c r="B1103" s="8" t="s">
        <v>50</v>
      </c>
      <c r="C1103" s="8" t="s">
        <v>7</v>
      </c>
      <c r="D1103" s="12">
        <v>45139</v>
      </c>
      <c r="E1103" s="8">
        <v>1790</v>
      </c>
      <c r="F1103" s="10">
        <f>IF(ISTEXT(Таблицаx_2[[#This Row],[Значение]]), 0, Таблицаx_2[[#This Row],[Значение]])</f>
        <v>1790</v>
      </c>
      <c r="G1103" s="12">
        <v>45170</v>
      </c>
      <c r="H1103" s="10" t="str">
        <f>IFERROR(VLOOKUP(Таблицаx_2[[#This Row],[id]],prolongations!A:C,2,)," ")</f>
        <v>сентябрь 2023</v>
      </c>
      <c r="I1103" s="10">
        <f>IF(Таблицаx_2[[#This Row],[Месяц окончания]]=Таблицаx_2[[#This Row],[Месяц]],Таблицаx_2[[#This Row],[Значения числа]],0)</f>
        <v>0</v>
      </c>
      <c r="J1103" s="8">
        <f>IF(AND(Таблицаx_2[[#This Row],[Месяц окончания]]=Таблицаx_2[[#This Row],[Месяц]],Таблицаx_2[[#This Row],[id]]=A1104,EDATE(Таблицаx_2[[#This Row],[Месяц]],1)=D1104),F1104,0)</f>
        <v>0</v>
      </c>
      <c r="K1103" s="8">
        <f>IF(AND(Таблицаx_2[[#This Row],[Месяц окончания]]=Таблицаx_2[[#This Row],[Месяц]],Таблицаx_2[[#This Row],[id]]=A1104,EDATE(Таблицаx_2[[#This Row],[Месяц]],2)=D1104),F1104,0)</f>
        <v>0</v>
      </c>
    </row>
    <row r="1104" spans="1:11" ht="12.75" hidden="1" customHeight="1" x14ac:dyDescent="0.2">
      <c r="A1104" s="8">
        <v>831</v>
      </c>
      <c r="B1104" s="8" t="s">
        <v>50</v>
      </c>
      <c r="C1104" s="8" t="s">
        <v>7</v>
      </c>
      <c r="D1104" s="12">
        <v>45170</v>
      </c>
      <c r="E1104" s="8" t="s">
        <v>46</v>
      </c>
      <c r="F1104" s="10">
        <f>IF(ISTEXT(Таблицаx_2[[#This Row],[Значение]]), 0, Таблицаx_2[[#This Row],[Значение]])</f>
        <v>0</v>
      </c>
      <c r="G1104" s="12">
        <v>45170</v>
      </c>
      <c r="H1104" s="10" t="str">
        <f>IFERROR(VLOOKUP(Таблицаx_2[[#This Row],[id]],prolongations!A:C,2,)," ")</f>
        <v>сентябрь 2023</v>
      </c>
      <c r="I1104" s="10">
        <f>IF(Таблицаx_2[[#This Row],[Месяц окончания]]=Таблицаx_2[[#This Row],[Месяц]],Таблицаx_2[[#This Row],[Значения числа]],0)</f>
        <v>0</v>
      </c>
      <c r="J1104" s="8">
        <f>IF(AND(Таблицаx_2[[#This Row],[Месяц окончания]]=Таблицаx_2[[#This Row],[Месяц]],Таблицаx_2[[#This Row],[id]]=A1105,EDATE(Таблицаx_2[[#This Row],[Месяц]],1)=D1105),F1105,0)</f>
        <v>0</v>
      </c>
      <c r="K1104" s="8">
        <f>IF(AND(Таблицаx_2[[#This Row],[Месяц окончания]]=Таблицаx_2[[#This Row],[Месяц]],Таблицаx_2[[#This Row],[id]]=A1105,EDATE(Таблицаx_2[[#This Row],[Месяц]],2)=D1105),F1105,0)</f>
        <v>0</v>
      </c>
    </row>
    <row r="1105" spans="1:11" ht="12.75" hidden="1" customHeight="1" x14ac:dyDescent="0.2">
      <c r="A1105" s="8">
        <v>782</v>
      </c>
      <c r="B1105" s="8" t="s">
        <v>49</v>
      </c>
      <c r="C1105" s="8" t="s">
        <v>5</v>
      </c>
      <c r="D1105" s="12">
        <v>44927</v>
      </c>
      <c r="E1105" s="8">
        <v>207030</v>
      </c>
      <c r="F1105" s="10">
        <f>IF(ISTEXT(Таблицаx_2[[#This Row],[Значение]]), 0, Таблицаx_2[[#This Row],[Значение]])</f>
        <v>207030</v>
      </c>
      <c r="G1105" s="12">
        <v>45017</v>
      </c>
      <c r="H1105" s="10" t="str">
        <f>IFERROR(VLOOKUP(Таблицаx_2[[#This Row],[id]],prolongations!A:C,2,)," ")</f>
        <v>апрель 2023</v>
      </c>
      <c r="I1105" s="10">
        <f>IF(Таблицаx_2[[#This Row],[Месяц окончания]]=Таблицаx_2[[#This Row],[Месяц]],Таблицаx_2[[#This Row],[Значения числа]],0)</f>
        <v>0</v>
      </c>
      <c r="J1105" s="8">
        <f>IF(AND(Таблицаx_2[[#This Row],[Месяц окончания]]=Таблицаx_2[[#This Row],[Месяц]],Таблицаx_2[[#This Row],[id]]=A1106,EDATE(Таблицаx_2[[#This Row],[Месяц]],1)=D1106),F1106,0)</f>
        <v>0</v>
      </c>
      <c r="K1105" s="8">
        <f>IF(AND(Таблицаx_2[[#This Row],[Месяц окончания]]=Таблицаx_2[[#This Row],[Месяц]],Таблицаx_2[[#This Row],[id]]=A1106,EDATE(Таблицаx_2[[#This Row],[Месяц]],2)=D1106),F1106,0)</f>
        <v>0</v>
      </c>
    </row>
    <row r="1106" spans="1:11" ht="12.75" hidden="1" customHeight="1" x14ac:dyDescent="0.2">
      <c r="A1106" s="8">
        <v>782</v>
      </c>
      <c r="B1106" s="8" t="s">
        <v>49</v>
      </c>
      <c r="C1106" s="8" t="s">
        <v>5</v>
      </c>
      <c r="D1106" s="12">
        <v>44958</v>
      </c>
      <c r="E1106" s="8">
        <v>219805</v>
      </c>
      <c r="F1106" s="10">
        <f>IF(ISTEXT(Таблицаx_2[[#This Row],[Значение]]), 0, Таблицаx_2[[#This Row],[Значение]])</f>
        <v>219805</v>
      </c>
      <c r="G1106" s="12">
        <v>45017</v>
      </c>
      <c r="H1106" s="10" t="str">
        <f>IFERROR(VLOOKUP(Таблицаx_2[[#This Row],[id]],prolongations!A:C,2,)," ")</f>
        <v>апрель 2023</v>
      </c>
      <c r="I1106" s="10">
        <f>IF(Таблицаx_2[[#This Row],[Месяц окончания]]=Таблицаx_2[[#This Row],[Месяц]],Таблицаx_2[[#This Row],[Значения числа]],0)</f>
        <v>0</v>
      </c>
      <c r="J1106" s="8">
        <f>IF(AND(Таблицаx_2[[#This Row],[Месяц окончания]]=Таблицаx_2[[#This Row],[Месяц]],Таблицаx_2[[#This Row],[id]]=A1107,EDATE(Таблицаx_2[[#This Row],[Месяц]],1)=D1107),F1107,0)</f>
        <v>0</v>
      </c>
      <c r="K1106" s="8">
        <f>IF(AND(Таблицаx_2[[#This Row],[Месяц окончания]]=Таблицаx_2[[#This Row],[Месяц]],Таблицаx_2[[#This Row],[id]]=A1107,EDATE(Таблицаx_2[[#This Row],[Месяц]],2)=D1107),F1107,0)</f>
        <v>0</v>
      </c>
    </row>
    <row r="1107" spans="1:11" ht="12.75" hidden="1" customHeight="1" x14ac:dyDescent="0.2">
      <c r="A1107" s="8">
        <v>782</v>
      </c>
      <c r="B1107" s="8" t="s">
        <v>49</v>
      </c>
      <c r="C1107" s="8" t="s">
        <v>5</v>
      </c>
      <c r="D1107" s="12">
        <v>45170</v>
      </c>
      <c r="E1107" s="8">
        <v>316620.75</v>
      </c>
      <c r="F1107" s="10">
        <f>IF(ISTEXT(Таблицаx_2[[#This Row],[Значение]]), 0, Таблицаx_2[[#This Row],[Значение]])</f>
        <v>316620.75</v>
      </c>
      <c r="G1107" s="12">
        <v>45017</v>
      </c>
      <c r="H1107" s="10" t="str">
        <f>IFERROR(VLOOKUP(Таблицаx_2[[#This Row],[id]],prolongations!A:C,2,)," ")</f>
        <v>апрель 2023</v>
      </c>
      <c r="I1107" s="10">
        <f>IF(Таблицаx_2[[#This Row],[Месяц окончания]]=Таблицаx_2[[#This Row],[Месяц]],Таблицаx_2[[#This Row],[Значения числа]],0)</f>
        <v>0</v>
      </c>
      <c r="J1107" s="8">
        <f>IF(AND(Таблицаx_2[[#This Row],[Месяц окончания]]=Таблицаx_2[[#This Row],[Месяц]],Таблицаx_2[[#This Row],[id]]=A1108,EDATE(Таблицаx_2[[#This Row],[Месяц]],1)=D1108),F1108,0)</f>
        <v>0</v>
      </c>
      <c r="K1107" s="8">
        <f>IF(AND(Таблицаx_2[[#This Row],[Месяц окончания]]=Таблицаx_2[[#This Row],[Месяц]],Таблицаx_2[[#This Row],[id]]=A1108,EDATE(Таблицаx_2[[#This Row],[Месяц]],2)=D1108),F1108,0)</f>
        <v>0</v>
      </c>
    </row>
    <row r="1108" spans="1:11" ht="12.75" hidden="1" customHeight="1" x14ac:dyDescent="0.2">
      <c r="A1108" s="8">
        <v>933</v>
      </c>
      <c r="B1108" s="8"/>
      <c r="C1108" s="8" t="s">
        <v>5</v>
      </c>
      <c r="D1108" s="12">
        <v>45139</v>
      </c>
      <c r="E1108" s="8">
        <v>18635</v>
      </c>
      <c r="F1108" s="10">
        <f>IF(ISTEXT(Таблицаx_2[[#This Row],[Значение]]), 0, Таблицаx_2[[#This Row],[Значение]])</f>
        <v>18635</v>
      </c>
      <c r="G1108" s="12">
        <v>45170</v>
      </c>
      <c r="H1108" s="10" t="str">
        <f>IFERROR(VLOOKUP(Таблицаx_2[[#This Row],[id]],prolongations!A:C,2,)," ")</f>
        <v>сентябрь 2023</v>
      </c>
      <c r="I1108" s="10">
        <f>IF(Таблицаx_2[[#This Row],[Месяц окончания]]=Таблицаx_2[[#This Row],[Месяц]],Таблицаx_2[[#This Row],[Значения числа]],0)</f>
        <v>0</v>
      </c>
      <c r="J1108" s="8">
        <f>IF(AND(Таблицаx_2[[#This Row],[Месяц окончания]]=Таблицаx_2[[#This Row],[Месяц]],Таблицаx_2[[#This Row],[id]]=A1109,EDATE(Таблицаx_2[[#This Row],[Месяц]],1)=D1109),F1109,0)</f>
        <v>0</v>
      </c>
      <c r="K1108" s="8">
        <f>IF(AND(Таблицаx_2[[#This Row],[Месяц окончания]]=Таблицаx_2[[#This Row],[Месяц]],Таблицаx_2[[#This Row],[id]]=A1109,EDATE(Таблицаx_2[[#This Row],[Месяц]],2)=D1109),F1109,0)</f>
        <v>0</v>
      </c>
    </row>
    <row r="1109" spans="1:11" ht="12.75" hidden="1" customHeight="1" x14ac:dyDescent="0.2">
      <c r="A1109" s="8">
        <v>933</v>
      </c>
      <c r="B1109" s="8"/>
      <c r="C1109" s="8" t="s">
        <v>5</v>
      </c>
      <c r="D1109" s="12">
        <v>45170</v>
      </c>
      <c r="E1109" s="8">
        <v>20440</v>
      </c>
      <c r="F1109" s="10">
        <f>IF(ISTEXT(Таблицаx_2[[#This Row],[Значение]]), 0, Таблицаx_2[[#This Row],[Значение]])</f>
        <v>20440</v>
      </c>
      <c r="G1109" s="12">
        <v>45170</v>
      </c>
      <c r="H1109" s="10" t="str">
        <f>IFERROR(VLOOKUP(Таблицаx_2[[#This Row],[id]],prolongations!A:C,2,)," ")</f>
        <v>сентябрь 2023</v>
      </c>
      <c r="I1109" s="10">
        <f>IF(Таблицаx_2[[#This Row],[Месяц окончания]]=Таблицаx_2[[#This Row],[Месяц]],Таблицаx_2[[#This Row],[Значения числа]],0)</f>
        <v>20440</v>
      </c>
      <c r="J1109" s="8">
        <f>IF(AND(Таблицаx_2[[#This Row],[Месяц окончания]]=Таблицаx_2[[#This Row],[Месяц]],Таблицаx_2[[#This Row],[id]]=A1110,EDATE(Таблицаx_2[[#This Row],[Месяц]],1)=D1110),F1110,0)</f>
        <v>0</v>
      </c>
      <c r="K1109" s="8">
        <f>IF(AND(Таблицаx_2[[#This Row],[Месяц окончания]]=Таблицаx_2[[#This Row],[Месяц]],Таблицаx_2[[#This Row],[id]]=A1110,EDATE(Таблицаx_2[[#This Row],[Месяц]],2)=D1110),F1110,0)</f>
        <v>0</v>
      </c>
    </row>
    <row r="1110" spans="1:11" ht="12.75" customHeight="1" x14ac:dyDescent="0.2">
      <c r="A1110" s="8">
        <v>83</v>
      </c>
      <c r="B1110" s="8"/>
      <c r="C1110" s="8" t="s">
        <v>10</v>
      </c>
      <c r="D1110" s="12">
        <v>44927</v>
      </c>
      <c r="E1110" s="8">
        <v>100166.39999999999</v>
      </c>
      <c r="F1110" s="10">
        <f>IF(ISTEXT(Таблицаx_2[[#This Row],[Значение]]), 0, Таблицаx_2[[#This Row],[Значение]])</f>
        <v>100166.39999999999</v>
      </c>
      <c r="G1110" s="12">
        <v>45200</v>
      </c>
      <c r="H1110" s="10" t="str">
        <f>IFERROR(VLOOKUP(Таблицаx_2[[#This Row],[id]],prolongations!A:C,2,)," ")</f>
        <v>октябрь 2023</v>
      </c>
      <c r="I1110" s="10">
        <f>IF(Таблицаx_2[[#This Row],[Месяц окончания]]=Таблицаx_2[[#This Row],[Месяц]],Таблицаx_2[[#This Row],[Значения числа]],0)</f>
        <v>0</v>
      </c>
      <c r="J1110" s="8">
        <f>IF(AND(Таблицаx_2[[#This Row],[Месяц окончания]]=Таблицаx_2[[#This Row],[Месяц]],Таблицаx_2[[#This Row],[id]]=A1111,EDATE(Таблицаx_2[[#This Row],[Месяц]],1)=D1111),F1111,0)</f>
        <v>0</v>
      </c>
      <c r="K1110" s="8">
        <f>IF(AND(Таблицаx_2[[#This Row],[Месяц окончания]]=Таблицаx_2[[#This Row],[Месяц]],Таблицаx_2[[#This Row],[id]]=A1111,EDATE(Таблицаx_2[[#This Row],[Месяц]],2)=D1111),F1111,0)</f>
        <v>0</v>
      </c>
    </row>
    <row r="1111" spans="1:11" ht="12.75" customHeight="1" x14ac:dyDescent="0.2">
      <c r="A1111" s="8">
        <v>83</v>
      </c>
      <c r="B1111" s="8"/>
      <c r="C1111" s="8" t="s">
        <v>10</v>
      </c>
      <c r="D1111" s="12">
        <v>44958</v>
      </c>
      <c r="E1111" s="8">
        <v>96881.1</v>
      </c>
      <c r="F1111" s="10">
        <f>IF(ISTEXT(Таблицаx_2[[#This Row],[Значение]]), 0, Таблицаx_2[[#This Row],[Значение]])</f>
        <v>96881.1</v>
      </c>
      <c r="G1111" s="12">
        <v>45200</v>
      </c>
      <c r="H1111" s="10" t="str">
        <f>IFERROR(VLOOKUP(Таблицаx_2[[#This Row],[id]],prolongations!A:C,2,)," ")</f>
        <v>октябрь 2023</v>
      </c>
      <c r="I1111" s="10">
        <f>IF(Таблицаx_2[[#This Row],[Месяц окончания]]=Таблицаx_2[[#This Row],[Месяц]],Таблицаx_2[[#This Row],[Значения числа]],0)</f>
        <v>0</v>
      </c>
      <c r="J1111" s="8">
        <f>IF(AND(Таблицаx_2[[#This Row],[Месяц окончания]]=Таблицаx_2[[#This Row],[Месяц]],Таблицаx_2[[#This Row],[id]]=A1112,EDATE(Таблицаx_2[[#This Row],[Месяц]],1)=D1112),F1112,0)</f>
        <v>0</v>
      </c>
      <c r="K1111" s="8">
        <f>IF(AND(Таблицаx_2[[#This Row],[Месяц окончания]]=Таблицаx_2[[#This Row],[Месяц]],Таблицаx_2[[#This Row],[id]]=A1112,EDATE(Таблицаx_2[[#This Row],[Месяц]],2)=D1112),F1112,0)</f>
        <v>0</v>
      </c>
    </row>
    <row r="1112" spans="1:11" ht="12.75" customHeight="1" x14ac:dyDescent="0.2">
      <c r="A1112" s="8">
        <v>83</v>
      </c>
      <c r="B1112" s="8"/>
      <c r="C1112" s="8" t="s">
        <v>10</v>
      </c>
      <c r="D1112" s="12">
        <v>44986</v>
      </c>
      <c r="E1112" s="8">
        <v>101759.7</v>
      </c>
      <c r="F1112" s="10">
        <f>IF(ISTEXT(Таблицаx_2[[#This Row],[Значение]]), 0, Таблицаx_2[[#This Row],[Значение]])</f>
        <v>101759.7</v>
      </c>
      <c r="G1112" s="12">
        <v>45200</v>
      </c>
      <c r="H1112" s="10" t="str">
        <f>IFERROR(VLOOKUP(Таблицаx_2[[#This Row],[id]],prolongations!A:C,2,)," ")</f>
        <v>октябрь 2023</v>
      </c>
      <c r="I1112" s="10">
        <f>IF(Таблицаx_2[[#This Row],[Месяц окончания]]=Таблицаx_2[[#This Row],[Месяц]],Таблицаx_2[[#This Row],[Значения числа]],0)</f>
        <v>0</v>
      </c>
      <c r="J1112" s="8">
        <f>IF(AND(Таблицаx_2[[#This Row],[Месяц окончания]]=Таблицаx_2[[#This Row],[Месяц]],Таблицаx_2[[#This Row],[id]]=A1113,EDATE(Таблицаx_2[[#This Row],[Месяц]],1)=D1113),F1113,0)</f>
        <v>0</v>
      </c>
      <c r="K1112" s="8">
        <f>IF(AND(Таблицаx_2[[#This Row],[Месяц окончания]]=Таблицаx_2[[#This Row],[Месяц]],Таблицаx_2[[#This Row],[id]]=A1113,EDATE(Таблицаx_2[[#This Row],[Месяц]],2)=D1113),F1113,0)</f>
        <v>0</v>
      </c>
    </row>
    <row r="1113" spans="1:11" ht="12.75" customHeight="1" x14ac:dyDescent="0.2">
      <c r="A1113" s="8">
        <v>83</v>
      </c>
      <c r="B1113" s="8"/>
      <c r="C1113" s="8" t="s">
        <v>10</v>
      </c>
      <c r="D1113" s="12">
        <v>45017</v>
      </c>
      <c r="E1113" s="8">
        <v>97543.8</v>
      </c>
      <c r="F1113" s="10">
        <f>IF(ISTEXT(Таблицаx_2[[#This Row],[Значение]]), 0, Таблицаx_2[[#This Row],[Значение]])</f>
        <v>97543.8</v>
      </c>
      <c r="G1113" s="12">
        <v>45200</v>
      </c>
      <c r="H1113" s="10" t="str">
        <f>IFERROR(VLOOKUP(Таблицаx_2[[#This Row],[id]],prolongations!A:C,2,)," ")</f>
        <v>октябрь 2023</v>
      </c>
      <c r="I1113" s="10">
        <f>IF(Таблицаx_2[[#This Row],[Месяц окончания]]=Таблицаx_2[[#This Row],[Месяц]],Таблицаx_2[[#This Row],[Значения числа]],0)</f>
        <v>0</v>
      </c>
      <c r="J1113" s="8">
        <f>IF(AND(Таблицаx_2[[#This Row],[Месяц окончания]]=Таблицаx_2[[#This Row],[Месяц]],Таблицаx_2[[#This Row],[id]]=A1114,EDATE(Таблицаx_2[[#This Row],[Месяц]],1)=D1114),F1114,0)</f>
        <v>0</v>
      </c>
      <c r="K1113" s="8">
        <f>IF(AND(Таблицаx_2[[#This Row],[Месяц окончания]]=Таблицаx_2[[#This Row],[Месяц]],Таблицаx_2[[#This Row],[id]]=A1114,EDATE(Таблицаx_2[[#This Row],[Месяц]],2)=D1114),F1114,0)</f>
        <v>0</v>
      </c>
    </row>
    <row r="1114" spans="1:11" ht="12.75" customHeight="1" x14ac:dyDescent="0.2">
      <c r="A1114" s="8">
        <v>83</v>
      </c>
      <c r="B1114" s="8"/>
      <c r="C1114" s="8" t="s">
        <v>10</v>
      </c>
      <c r="D1114" s="12">
        <v>45047</v>
      </c>
      <c r="E1114" s="8">
        <v>101007.7</v>
      </c>
      <c r="F1114" s="10">
        <f>IF(ISTEXT(Таблицаx_2[[#This Row],[Значение]]), 0, Таблицаx_2[[#This Row],[Значение]])</f>
        <v>101007.7</v>
      </c>
      <c r="G1114" s="12">
        <v>45200</v>
      </c>
      <c r="H1114" s="10" t="str">
        <f>IFERROR(VLOOKUP(Таблицаx_2[[#This Row],[id]],prolongations!A:C,2,)," ")</f>
        <v>октябрь 2023</v>
      </c>
      <c r="I1114" s="10">
        <f>IF(Таблицаx_2[[#This Row],[Месяц окончания]]=Таблицаx_2[[#This Row],[Месяц]],Таблицаx_2[[#This Row],[Значения числа]],0)</f>
        <v>0</v>
      </c>
      <c r="J1114" s="8">
        <f>IF(AND(Таблицаx_2[[#This Row],[Месяц окончания]]=Таблицаx_2[[#This Row],[Месяц]],Таблицаx_2[[#This Row],[id]]=A1115,EDATE(Таблицаx_2[[#This Row],[Месяц]],1)=D1115),F1115,0)</f>
        <v>0</v>
      </c>
      <c r="K1114" s="8">
        <f>IF(AND(Таблицаx_2[[#This Row],[Месяц окончания]]=Таблицаx_2[[#This Row],[Месяц]],Таблицаx_2[[#This Row],[id]]=A1115,EDATE(Таблицаx_2[[#This Row],[Месяц]],2)=D1115),F1115,0)</f>
        <v>0</v>
      </c>
    </row>
    <row r="1115" spans="1:11" ht="12.75" customHeight="1" x14ac:dyDescent="0.2">
      <c r="A1115" s="8">
        <v>83</v>
      </c>
      <c r="B1115" s="8"/>
      <c r="C1115" s="8" t="s">
        <v>10</v>
      </c>
      <c r="D1115" s="12">
        <v>45108</v>
      </c>
      <c r="E1115" s="8">
        <v>79021.100000000006</v>
      </c>
      <c r="F1115" s="10">
        <f>IF(ISTEXT(Таблицаx_2[[#This Row],[Значение]]), 0, Таблицаx_2[[#This Row],[Значение]])</f>
        <v>79021.100000000006</v>
      </c>
      <c r="G1115" s="12">
        <v>45200</v>
      </c>
      <c r="H1115" s="10" t="str">
        <f>IFERROR(VLOOKUP(Таблицаx_2[[#This Row],[id]],prolongations!A:C,2,)," ")</f>
        <v>октябрь 2023</v>
      </c>
      <c r="I1115" s="10">
        <f>IF(Таблицаx_2[[#This Row],[Месяц окончания]]=Таблицаx_2[[#This Row],[Месяц]],Таблицаx_2[[#This Row],[Значения числа]],0)</f>
        <v>0</v>
      </c>
      <c r="J1115" s="8">
        <f>IF(AND(Таблицаx_2[[#This Row],[Месяц окончания]]=Таблицаx_2[[#This Row],[Месяц]],Таблицаx_2[[#This Row],[id]]=A1116,EDATE(Таблицаx_2[[#This Row],[Месяц]],1)=D1116),F1116,0)</f>
        <v>0</v>
      </c>
      <c r="K1115" s="8">
        <f>IF(AND(Таблицаx_2[[#This Row],[Месяц окончания]]=Таблицаx_2[[#This Row],[Месяц]],Таблицаx_2[[#This Row],[id]]=A1116,EDATE(Таблицаx_2[[#This Row],[Месяц]],2)=D1116),F1116,0)</f>
        <v>0</v>
      </c>
    </row>
    <row r="1116" spans="1:11" ht="12.75" customHeight="1" x14ac:dyDescent="0.2">
      <c r="A1116" s="8">
        <v>83</v>
      </c>
      <c r="B1116" s="8"/>
      <c r="C1116" s="8" t="s">
        <v>10</v>
      </c>
      <c r="D1116" s="12">
        <v>45139</v>
      </c>
      <c r="E1116" s="8">
        <v>79021.100000000006</v>
      </c>
      <c r="F1116" s="10">
        <f>IF(ISTEXT(Таблицаx_2[[#This Row],[Значение]]), 0, Таблицаx_2[[#This Row],[Значение]])</f>
        <v>79021.100000000006</v>
      </c>
      <c r="G1116" s="12">
        <v>45200</v>
      </c>
      <c r="H1116" s="10" t="str">
        <f>IFERROR(VLOOKUP(Таблицаx_2[[#This Row],[id]],prolongations!A:C,2,)," ")</f>
        <v>октябрь 2023</v>
      </c>
      <c r="I1116" s="10">
        <f>IF(Таблицаx_2[[#This Row],[Месяц окончания]]=Таблицаx_2[[#This Row],[Месяц]],Таблицаx_2[[#This Row],[Значения числа]],0)</f>
        <v>0</v>
      </c>
      <c r="J1116" s="8">
        <f>IF(AND(Таблицаx_2[[#This Row],[Месяц окончания]]=Таблицаx_2[[#This Row],[Месяц]],Таблицаx_2[[#This Row],[id]]=A1117,EDATE(Таблицаx_2[[#This Row],[Месяц]],1)=D1117),F1117,0)</f>
        <v>0</v>
      </c>
      <c r="K1116" s="8">
        <f>IF(AND(Таблицаx_2[[#This Row],[Месяц окончания]]=Таблицаx_2[[#This Row],[Месяц]],Таблицаx_2[[#This Row],[id]]=A1117,EDATE(Таблицаx_2[[#This Row],[Месяц]],2)=D1117),F1117,0)</f>
        <v>0</v>
      </c>
    </row>
    <row r="1117" spans="1:11" ht="12.75" customHeight="1" x14ac:dyDescent="0.2">
      <c r="A1117" s="8">
        <v>83</v>
      </c>
      <c r="B1117" s="8"/>
      <c r="C1117" s="8" t="s">
        <v>10</v>
      </c>
      <c r="D1117" s="12">
        <v>45170</v>
      </c>
      <c r="E1117" s="8">
        <v>79021.100000000006</v>
      </c>
      <c r="F1117" s="10">
        <f>IF(ISTEXT(Таблицаx_2[[#This Row],[Значение]]), 0, Таблицаx_2[[#This Row],[Значение]])</f>
        <v>79021.100000000006</v>
      </c>
      <c r="G1117" s="12">
        <v>45200</v>
      </c>
      <c r="H1117" s="10" t="str">
        <f>IFERROR(VLOOKUP(Таблицаx_2[[#This Row],[id]],prolongations!A:C,2,)," ")</f>
        <v>октябрь 2023</v>
      </c>
      <c r="I1117" s="10">
        <f>IF(Таблицаx_2[[#This Row],[Месяц окончания]]=Таблицаx_2[[#This Row],[Месяц]],Таблицаx_2[[#This Row],[Значения числа]],0)</f>
        <v>0</v>
      </c>
      <c r="J1117" s="8">
        <f>IF(AND(Таблицаx_2[[#This Row],[Месяц окончания]]=Таблицаx_2[[#This Row],[Месяц]],Таблицаx_2[[#This Row],[id]]=A1118,EDATE(Таблицаx_2[[#This Row],[Месяц]],1)=D1118),F1118,0)</f>
        <v>0</v>
      </c>
      <c r="K1117" s="8">
        <f>IF(AND(Таблицаx_2[[#This Row],[Месяц окончания]]=Таблицаx_2[[#This Row],[Месяц]],Таблицаx_2[[#This Row],[id]]=A1118,EDATE(Таблицаx_2[[#This Row],[Месяц]],2)=D1118),F1118,0)</f>
        <v>0</v>
      </c>
    </row>
    <row r="1118" spans="1:11" ht="12.75" customHeight="1" x14ac:dyDescent="0.2">
      <c r="A1118" s="8">
        <v>83</v>
      </c>
      <c r="B1118" s="8"/>
      <c r="C1118" s="8" t="s">
        <v>10</v>
      </c>
      <c r="D1118" s="12">
        <v>45200</v>
      </c>
      <c r="E1118" s="8" t="s">
        <v>46</v>
      </c>
      <c r="F1118" s="10">
        <f>IF(ISTEXT(Таблицаx_2[[#This Row],[Значение]]), 0, Таблицаx_2[[#This Row],[Значение]])</f>
        <v>0</v>
      </c>
      <c r="G1118" s="12">
        <v>45200</v>
      </c>
      <c r="H1118" s="10" t="str">
        <f>IFERROR(VLOOKUP(Таблицаx_2[[#This Row],[id]],prolongations!A:C,2,)," ")</f>
        <v>октябрь 2023</v>
      </c>
      <c r="I1118" s="10">
        <f>IF(Таблицаx_2[[#This Row],[Месяц окончания]]=Таблицаx_2[[#This Row],[Месяц]],Таблицаx_2[[#This Row],[Значения числа]],0)</f>
        <v>0</v>
      </c>
      <c r="J1118" s="8">
        <f>IF(AND(Таблицаx_2[[#This Row],[Месяц окончания]]=Таблицаx_2[[#This Row],[Месяц]],Таблицаx_2[[#This Row],[id]]=A1119,EDATE(Таблицаx_2[[#This Row],[Месяц]],1)=D1119),F1119,0)</f>
        <v>0</v>
      </c>
      <c r="K1118" s="8">
        <f>IF(AND(Таблицаx_2[[#This Row],[Месяц окончания]]=Таблицаx_2[[#This Row],[Месяц]],Таблицаx_2[[#This Row],[id]]=A1119,EDATE(Таблицаx_2[[#This Row],[Месяц]],2)=D1119),F1119,0)</f>
        <v>0</v>
      </c>
    </row>
    <row r="1119" spans="1:11" ht="12.75" customHeight="1" x14ac:dyDescent="0.2">
      <c r="A1119" s="8">
        <v>460</v>
      </c>
      <c r="B1119" s="8"/>
      <c r="C1119" s="8" t="s">
        <v>10</v>
      </c>
      <c r="D1119" s="12">
        <v>44927</v>
      </c>
      <c r="E1119" s="8">
        <v>49765</v>
      </c>
      <c r="F1119" s="10">
        <f>IF(ISTEXT(Таблицаx_2[[#This Row],[Значение]]), 0, Таблицаx_2[[#This Row],[Значение]])</f>
        <v>49765</v>
      </c>
      <c r="G1119" s="12">
        <v>45200</v>
      </c>
      <c r="H1119" s="10" t="str">
        <f>IFERROR(VLOOKUP(Таблицаx_2[[#This Row],[id]],prolongations!A:C,2,)," ")</f>
        <v>октябрь 2023</v>
      </c>
      <c r="I1119" s="10">
        <f>IF(Таблицаx_2[[#This Row],[Месяц окончания]]=Таблицаx_2[[#This Row],[Месяц]],Таблицаx_2[[#This Row],[Значения числа]],0)</f>
        <v>0</v>
      </c>
      <c r="J1119" s="8">
        <f>IF(AND(Таблицаx_2[[#This Row],[Месяц окончания]]=Таблицаx_2[[#This Row],[Месяц]],Таблицаx_2[[#This Row],[id]]=A1120,EDATE(Таблицаx_2[[#This Row],[Месяц]],1)=D1120),F1120,0)</f>
        <v>0</v>
      </c>
      <c r="K1119" s="8">
        <f>IF(AND(Таблицаx_2[[#This Row],[Месяц окончания]]=Таблицаx_2[[#This Row],[Месяц]],Таблицаx_2[[#This Row],[id]]=A1120,EDATE(Таблицаx_2[[#This Row],[Месяц]],2)=D1120),F1120,0)</f>
        <v>0</v>
      </c>
    </row>
    <row r="1120" spans="1:11" ht="12.75" customHeight="1" x14ac:dyDescent="0.2">
      <c r="A1120" s="8">
        <v>460</v>
      </c>
      <c r="B1120" s="8"/>
      <c r="C1120" s="8" t="s">
        <v>10</v>
      </c>
      <c r="D1120" s="12">
        <v>44958</v>
      </c>
      <c r="E1120" s="8">
        <v>50660</v>
      </c>
      <c r="F1120" s="10">
        <f>IF(ISTEXT(Таблицаx_2[[#This Row],[Значение]]), 0, Таблицаx_2[[#This Row],[Значение]])</f>
        <v>50660</v>
      </c>
      <c r="G1120" s="12">
        <v>45200</v>
      </c>
      <c r="H1120" s="10" t="str">
        <f>IFERROR(VLOOKUP(Таблицаx_2[[#This Row],[id]],prolongations!A:C,2,)," ")</f>
        <v>октябрь 2023</v>
      </c>
      <c r="I1120" s="10">
        <f>IF(Таблицаx_2[[#This Row],[Месяц окончания]]=Таблицаx_2[[#This Row],[Месяц]],Таблицаx_2[[#This Row],[Значения числа]],0)</f>
        <v>0</v>
      </c>
      <c r="J1120" s="8">
        <f>IF(AND(Таблицаx_2[[#This Row],[Месяц окончания]]=Таблицаx_2[[#This Row],[Месяц]],Таблицаx_2[[#This Row],[id]]=A1121,EDATE(Таблицаx_2[[#This Row],[Месяц]],1)=D1121),F1121,0)</f>
        <v>0</v>
      </c>
      <c r="K1120" s="8">
        <f>IF(AND(Таблицаx_2[[#This Row],[Месяц окончания]]=Таблицаx_2[[#This Row],[Месяц]],Таблицаx_2[[#This Row],[id]]=A1121,EDATE(Таблицаx_2[[#This Row],[Месяц]],2)=D1121),F1121,0)</f>
        <v>0</v>
      </c>
    </row>
    <row r="1121" spans="1:11" ht="12.75" customHeight="1" x14ac:dyDescent="0.2">
      <c r="A1121" s="8">
        <v>460</v>
      </c>
      <c r="B1121" s="8"/>
      <c r="C1121" s="8" t="s">
        <v>10</v>
      </c>
      <c r="D1121" s="12">
        <v>44986</v>
      </c>
      <c r="E1121" s="8">
        <v>49605</v>
      </c>
      <c r="F1121" s="10">
        <f>IF(ISTEXT(Таблицаx_2[[#This Row],[Значение]]), 0, Таблицаx_2[[#This Row],[Значение]])</f>
        <v>49605</v>
      </c>
      <c r="G1121" s="12">
        <v>45200</v>
      </c>
      <c r="H1121" s="10" t="str">
        <f>IFERROR(VLOOKUP(Таблицаx_2[[#This Row],[id]],prolongations!A:C,2,)," ")</f>
        <v>октябрь 2023</v>
      </c>
      <c r="I1121" s="10">
        <f>IF(Таблицаx_2[[#This Row],[Месяц окончания]]=Таблицаx_2[[#This Row],[Месяц]],Таблицаx_2[[#This Row],[Значения числа]],0)</f>
        <v>0</v>
      </c>
      <c r="J1121" s="8">
        <f>IF(AND(Таблицаx_2[[#This Row],[Месяц окончания]]=Таблицаx_2[[#This Row],[Месяц]],Таблицаx_2[[#This Row],[id]]=A1122,EDATE(Таблицаx_2[[#This Row],[Месяц]],1)=D1122),F1122,0)</f>
        <v>0</v>
      </c>
      <c r="K1121" s="8">
        <f>IF(AND(Таблицаx_2[[#This Row],[Месяц окончания]]=Таблицаx_2[[#This Row],[Месяц]],Таблицаx_2[[#This Row],[id]]=A1122,EDATE(Таблицаx_2[[#This Row],[Месяц]],2)=D1122),F1122,0)</f>
        <v>0</v>
      </c>
    </row>
    <row r="1122" spans="1:11" ht="12.75" customHeight="1" x14ac:dyDescent="0.2">
      <c r="A1122" s="8">
        <v>460</v>
      </c>
      <c r="B1122" s="8"/>
      <c r="C1122" s="8" t="s">
        <v>10</v>
      </c>
      <c r="D1122" s="12">
        <v>45017</v>
      </c>
      <c r="E1122" s="8">
        <v>50660</v>
      </c>
      <c r="F1122" s="10">
        <f>IF(ISTEXT(Таблицаx_2[[#This Row],[Значение]]), 0, Таблицаx_2[[#This Row],[Значение]])</f>
        <v>50660</v>
      </c>
      <c r="G1122" s="12">
        <v>45200</v>
      </c>
      <c r="H1122" s="10" t="str">
        <f>IFERROR(VLOOKUP(Таблицаx_2[[#This Row],[id]],prolongations!A:C,2,)," ")</f>
        <v>октябрь 2023</v>
      </c>
      <c r="I1122" s="10">
        <f>IF(Таблицаx_2[[#This Row],[Месяц окончания]]=Таблицаx_2[[#This Row],[Месяц]],Таблицаx_2[[#This Row],[Значения числа]],0)</f>
        <v>0</v>
      </c>
      <c r="J1122" s="8">
        <f>IF(AND(Таблицаx_2[[#This Row],[Месяц окончания]]=Таблицаx_2[[#This Row],[Месяц]],Таблицаx_2[[#This Row],[id]]=A1123,EDATE(Таблицаx_2[[#This Row],[Месяц]],1)=D1123),F1123,0)</f>
        <v>0</v>
      </c>
      <c r="K1122" s="8">
        <f>IF(AND(Таблицаx_2[[#This Row],[Месяц окончания]]=Таблицаx_2[[#This Row],[Месяц]],Таблицаx_2[[#This Row],[id]]=A1123,EDATE(Таблицаx_2[[#This Row],[Месяц]],2)=D1123),F1123,0)</f>
        <v>0</v>
      </c>
    </row>
    <row r="1123" spans="1:11" ht="12.75" customHeight="1" x14ac:dyDescent="0.2">
      <c r="A1123" s="8">
        <v>460</v>
      </c>
      <c r="B1123" s="8"/>
      <c r="C1123" s="8" t="s">
        <v>10</v>
      </c>
      <c r="D1123" s="12">
        <v>45047</v>
      </c>
      <c r="E1123" s="8">
        <v>49605</v>
      </c>
      <c r="F1123" s="10">
        <f>IF(ISTEXT(Таблицаx_2[[#This Row],[Значение]]), 0, Таблицаx_2[[#This Row],[Значение]])</f>
        <v>49605</v>
      </c>
      <c r="G1123" s="12">
        <v>45200</v>
      </c>
      <c r="H1123" s="10" t="str">
        <f>IFERROR(VLOOKUP(Таблицаx_2[[#This Row],[id]],prolongations!A:C,2,)," ")</f>
        <v>октябрь 2023</v>
      </c>
      <c r="I1123" s="10">
        <f>IF(Таблицаx_2[[#This Row],[Месяц окончания]]=Таблицаx_2[[#This Row],[Месяц]],Таблицаx_2[[#This Row],[Значения числа]],0)</f>
        <v>0</v>
      </c>
      <c r="J1123" s="8">
        <f>IF(AND(Таблицаx_2[[#This Row],[Месяц окончания]]=Таблицаx_2[[#This Row],[Месяц]],Таблицаx_2[[#This Row],[id]]=A1124,EDATE(Таблицаx_2[[#This Row],[Месяц]],1)=D1124),F1124,0)</f>
        <v>0</v>
      </c>
      <c r="K1123" s="8">
        <f>IF(AND(Таблицаx_2[[#This Row],[Месяц окончания]]=Таблицаx_2[[#This Row],[Месяц]],Таблицаx_2[[#This Row],[id]]=A1124,EDATE(Таблицаx_2[[#This Row],[Месяц]],2)=D1124),F1124,0)</f>
        <v>0</v>
      </c>
    </row>
    <row r="1124" spans="1:11" ht="12.75" customHeight="1" x14ac:dyDescent="0.2">
      <c r="A1124" s="8">
        <v>460</v>
      </c>
      <c r="B1124" s="8"/>
      <c r="C1124" s="8" t="s">
        <v>10</v>
      </c>
      <c r="D1124" s="12">
        <v>45108</v>
      </c>
      <c r="E1124" s="8">
        <v>45860</v>
      </c>
      <c r="F1124" s="10">
        <f>IF(ISTEXT(Таблицаx_2[[#This Row],[Значение]]), 0, Таблицаx_2[[#This Row],[Значение]])</f>
        <v>45860</v>
      </c>
      <c r="G1124" s="12">
        <v>45200</v>
      </c>
      <c r="H1124" s="10" t="str">
        <f>IFERROR(VLOOKUP(Таблицаx_2[[#This Row],[id]],prolongations!A:C,2,)," ")</f>
        <v>октябрь 2023</v>
      </c>
      <c r="I1124" s="10">
        <f>IF(Таблицаx_2[[#This Row],[Месяц окончания]]=Таблицаx_2[[#This Row],[Месяц]],Таблицаx_2[[#This Row],[Значения числа]],0)</f>
        <v>0</v>
      </c>
      <c r="J1124" s="8">
        <f>IF(AND(Таблицаx_2[[#This Row],[Месяц окончания]]=Таблицаx_2[[#This Row],[Месяц]],Таблицаx_2[[#This Row],[id]]=A1125,EDATE(Таблицаx_2[[#This Row],[Месяц]],1)=D1125),F1125,0)</f>
        <v>0</v>
      </c>
      <c r="K1124" s="8">
        <f>IF(AND(Таблицаx_2[[#This Row],[Месяц окончания]]=Таблицаx_2[[#This Row],[Месяц]],Таблицаx_2[[#This Row],[id]]=A1125,EDATE(Таблицаx_2[[#This Row],[Месяц]],2)=D1125),F1125,0)</f>
        <v>0</v>
      </c>
    </row>
    <row r="1125" spans="1:11" ht="12.75" customHeight="1" x14ac:dyDescent="0.2">
      <c r="A1125" s="8">
        <v>460</v>
      </c>
      <c r="B1125" s="8"/>
      <c r="C1125" s="8" t="s">
        <v>10</v>
      </c>
      <c r="D1125" s="12">
        <v>45139</v>
      </c>
      <c r="E1125" s="8">
        <v>46660</v>
      </c>
      <c r="F1125" s="10">
        <f>IF(ISTEXT(Таблицаx_2[[#This Row],[Значение]]), 0, Таблицаx_2[[#This Row],[Значение]])</f>
        <v>46660</v>
      </c>
      <c r="G1125" s="12">
        <v>45200</v>
      </c>
      <c r="H1125" s="10" t="str">
        <f>IFERROR(VLOOKUP(Таблицаx_2[[#This Row],[id]],prolongations!A:C,2,)," ")</f>
        <v>октябрь 2023</v>
      </c>
      <c r="I1125" s="10">
        <f>IF(Таблицаx_2[[#This Row],[Месяц окончания]]=Таблицаx_2[[#This Row],[Месяц]],Таблицаx_2[[#This Row],[Значения числа]],0)</f>
        <v>0</v>
      </c>
      <c r="J1125" s="8">
        <f>IF(AND(Таблицаx_2[[#This Row],[Месяц окончания]]=Таблицаx_2[[#This Row],[Месяц]],Таблицаx_2[[#This Row],[id]]=A1126,EDATE(Таблицаx_2[[#This Row],[Месяц]],1)=D1126),F1126,0)</f>
        <v>0</v>
      </c>
      <c r="K1125" s="8">
        <f>IF(AND(Таблицаx_2[[#This Row],[Месяц окончания]]=Таблицаx_2[[#This Row],[Месяц]],Таблицаx_2[[#This Row],[id]]=A1126,EDATE(Таблицаx_2[[#This Row],[Месяц]],2)=D1126),F1126,0)</f>
        <v>0</v>
      </c>
    </row>
    <row r="1126" spans="1:11" ht="12.75" customHeight="1" x14ac:dyDescent="0.2">
      <c r="A1126" s="8">
        <v>460</v>
      </c>
      <c r="B1126" s="8"/>
      <c r="C1126" s="8" t="s">
        <v>10</v>
      </c>
      <c r="D1126" s="12">
        <v>45170</v>
      </c>
      <c r="E1126" s="8">
        <v>44550</v>
      </c>
      <c r="F1126" s="10">
        <f>IF(ISTEXT(Таблицаx_2[[#This Row],[Значение]]), 0, Таблицаx_2[[#This Row],[Значение]])</f>
        <v>44550</v>
      </c>
      <c r="G1126" s="12">
        <v>45200</v>
      </c>
      <c r="H1126" s="10" t="str">
        <f>IFERROR(VLOOKUP(Таблицаx_2[[#This Row],[id]],prolongations!A:C,2,)," ")</f>
        <v>октябрь 2023</v>
      </c>
      <c r="I1126" s="10">
        <f>IF(Таблицаx_2[[#This Row],[Месяц окончания]]=Таблицаx_2[[#This Row],[Месяц]],Таблицаx_2[[#This Row],[Значения числа]],0)</f>
        <v>0</v>
      </c>
      <c r="J1126" s="8">
        <f>IF(AND(Таблицаx_2[[#This Row],[Месяц окончания]]=Таблицаx_2[[#This Row],[Месяц]],Таблицаx_2[[#This Row],[id]]=A1127,EDATE(Таблицаx_2[[#This Row],[Месяц]],1)=D1127),F1127,0)</f>
        <v>0</v>
      </c>
      <c r="K1126" s="8">
        <f>IF(AND(Таблицаx_2[[#This Row],[Месяц окончания]]=Таблицаx_2[[#This Row],[Месяц]],Таблицаx_2[[#This Row],[id]]=A1127,EDATE(Таблицаx_2[[#This Row],[Месяц]],2)=D1127),F1127,0)</f>
        <v>0</v>
      </c>
    </row>
    <row r="1127" spans="1:11" ht="12.75" customHeight="1" x14ac:dyDescent="0.2">
      <c r="A1127" s="8">
        <v>460</v>
      </c>
      <c r="B1127" s="8"/>
      <c r="C1127" s="8" t="s">
        <v>10</v>
      </c>
      <c r="D1127" s="12">
        <v>45200</v>
      </c>
      <c r="E1127" s="8" t="s">
        <v>46</v>
      </c>
      <c r="F1127" s="10">
        <f>IF(ISTEXT(Таблицаx_2[[#This Row],[Значение]]), 0, Таблицаx_2[[#This Row],[Значение]])</f>
        <v>0</v>
      </c>
      <c r="G1127" s="12">
        <v>45200</v>
      </c>
      <c r="H1127" s="10" t="str">
        <f>IFERROR(VLOOKUP(Таблицаx_2[[#This Row],[id]],prolongations!A:C,2,)," ")</f>
        <v>октябрь 2023</v>
      </c>
      <c r="I1127" s="10">
        <f>IF(Таблицаx_2[[#This Row],[Месяц окончания]]=Таблицаx_2[[#This Row],[Месяц]],Таблицаx_2[[#This Row],[Значения числа]],0)</f>
        <v>0</v>
      </c>
      <c r="J1127" s="8">
        <f>IF(AND(Таблицаx_2[[#This Row],[Месяц окончания]]=Таблицаx_2[[#This Row],[Месяц]],Таблицаx_2[[#This Row],[id]]=A1128,EDATE(Таблицаx_2[[#This Row],[Месяц]],1)=D1128),F1128,0)</f>
        <v>0</v>
      </c>
      <c r="K1127" s="8">
        <f>IF(AND(Таблицаx_2[[#This Row],[Месяц окончания]]=Таблицаx_2[[#This Row],[Месяц]],Таблицаx_2[[#This Row],[id]]=A1128,EDATE(Таблицаx_2[[#This Row],[Месяц]],2)=D1128),F1128,0)</f>
        <v>0</v>
      </c>
    </row>
    <row r="1128" spans="1:11" ht="12.75" hidden="1" customHeight="1" x14ac:dyDescent="0.2">
      <c r="A1128" s="8">
        <v>841</v>
      </c>
      <c r="B1128" s="8" t="s">
        <v>45</v>
      </c>
      <c r="C1128" s="8" t="s">
        <v>11</v>
      </c>
      <c r="D1128" s="12">
        <v>44986</v>
      </c>
      <c r="E1128" s="8">
        <v>80200</v>
      </c>
      <c r="F1128" s="10">
        <f>IF(ISTEXT(Таблицаx_2[[#This Row],[Значение]]), 0, Таблицаx_2[[#This Row],[Значение]])</f>
        <v>80200</v>
      </c>
      <c r="G1128" s="12">
        <v>45200</v>
      </c>
      <c r="H1128" s="10" t="str">
        <f>IFERROR(VLOOKUP(Таблицаx_2[[#This Row],[id]],prolongations!A:C,2,)," ")</f>
        <v>октябрь 2023</v>
      </c>
      <c r="I1128" s="10">
        <f>IF(Таблицаx_2[[#This Row],[Месяц окончания]]=Таблицаx_2[[#This Row],[Месяц]],Таблицаx_2[[#This Row],[Значения числа]],0)</f>
        <v>0</v>
      </c>
      <c r="J1128" s="8">
        <f>IF(AND(Таблицаx_2[[#This Row],[Месяц окончания]]=Таблицаx_2[[#This Row],[Месяц]],Таблицаx_2[[#This Row],[id]]=A1129,EDATE(Таблицаx_2[[#This Row],[Месяц]],1)=D1129),F1129,0)</f>
        <v>0</v>
      </c>
      <c r="K1128" s="8">
        <f>IF(AND(Таблицаx_2[[#This Row],[Месяц окончания]]=Таблицаx_2[[#This Row],[Месяц]],Таблицаx_2[[#This Row],[id]]=A1129,EDATE(Таблицаx_2[[#This Row],[Месяц]],2)=D1129),F1129,0)</f>
        <v>0</v>
      </c>
    </row>
    <row r="1129" spans="1:11" ht="12.75" hidden="1" customHeight="1" x14ac:dyDescent="0.2">
      <c r="A1129" s="8">
        <v>841</v>
      </c>
      <c r="B1129" s="8" t="s">
        <v>45</v>
      </c>
      <c r="C1129" s="8" t="s">
        <v>11</v>
      </c>
      <c r="D1129" s="12">
        <v>45017</v>
      </c>
      <c r="E1129" s="8">
        <v>80200</v>
      </c>
      <c r="F1129" s="10">
        <f>IF(ISTEXT(Таблицаx_2[[#This Row],[Значение]]), 0, Таблицаx_2[[#This Row],[Значение]])</f>
        <v>80200</v>
      </c>
      <c r="G1129" s="12">
        <v>45200</v>
      </c>
      <c r="H1129" s="10" t="str">
        <f>IFERROR(VLOOKUP(Таблицаx_2[[#This Row],[id]],prolongations!A:C,2,)," ")</f>
        <v>октябрь 2023</v>
      </c>
      <c r="I1129" s="10">
        <f>IF(Таблицаx_2[[#This Row],[Месяц окончания]]=Таблицаx_2[[#This Row],[Месяц]],Таблицаx_2[[#This Row],[Значения числа]],0)</f>
        <v>0</v>
      </c>
      <c r="J1129" s="8">
        <f>IF(AND(Таблицаx_2[[#This Row],[Месяц окончания]]=Таблицаx_2[[#This Row],[Месяц]],Таблицаx_2[[#This Row],[id]]=A1130,EDATE(Таблицаx_2[[#This Row],[Месяц]],1)=D1130),F1130,0)</f>
        <v>0</v>
      </c>
      <c r="K1129" s="8">
        <f>IF(AND(Таблицаx_2[[#This Row],[Месяц окончания]]=Таблицаx_2[[#This Row],[Месяц]],Таблицаx_2[[#This Row],[id]]=A1130,EDATE(Таблицаx_2[[#This Row],[Месяц]],2)=D1130),F1130,0)</f>
        <v>0</v>
      </c>
    </row>
    <row r="1130" spans="1:11" ht="12.75" hidden="1" customHeight="1" x14ac:dyDescent="0.2">
      <c r="A1130" s="8">
        <v>841</v>
      </c>
      <c r="B1130" s="8" t="s">
        <v>45</v>
      </c>
      <c r="C1130" s="8" t="s">
        <v>11</v>
      </c>
      <c r="D1130" s="12">
        <v>45047</v>
      </c>
      <c r="E1130" s="8">
        <v>80675</v>
      </c>
      <c r="F1130" s="10">
        <f>IF(ISTEXT(Таблицаx_2[[#This Row],[Значение]]), 0, Таблицаx_2[[#This Row],[Значение]])</f>
        <v>80675</v>
      </c>
      <c r="G1130" s="12">
        <v>45200</v>
      </c>
      <c r="H1130" s="10" t="str">
        <f>IFERROR(VLOOKUP(Таблицаx_2[[#This Row],[id]],prolongations!A:C,2,)," ")</f>
        <v>октябрь 2023</v>
      </c>
      <c r="I1130" s="10">
        <f>IF(Таблицаx_2[[#This Row],[Месяц окончания]]=Таблицаx_2[[#This Row],[Месяц]],Таблицаx_2[[#This Row],[Значения числа]],0)</f>
        <v>0</v>
      </c>
      <c r="J1130" s="8">
        <f>IF(AND(Таблицаx_2[[#This Row],[Месяц окончания]]=Таблицаx_2[[#This Row],[Месяц]],Таблицаx_2[[#This Row],[id]]=A1131,EDATE(Таблицаx_2[[#This Row],[Месяц]],1)=D1131),F1131,0)</f>
        <v>0</v>
      </c>
      <c r="K1130" s="8">
        <f>IF(AND(Таблицаx_2[[#This Row],[Месяц окончания]]=Таблицаx_2[[#This Row],[Месяц]],Таблицаx_2[[#This Row],[id]]=A1131,EDATE(Таблицаx_2[[#This Row],[Месяц]],2)=D1131),F1131,0)</f>
        <v>0</v>
      </c>
    </row>
    <row r="1131" spans="1:11" ht="12.75" hidden="1" customHeight="1" x14ac:dyDescent="0.2">
      <c r="A1131" s="8">
        <v>841</v>
      </c>
      <c r="B1131" s="8" t="s">
        <v>45</v>
      </c>
      <c r="C1131" s="8" t="s">
        <v>11</v>
      </c>
      <c r="D1131" s="12">
        <v>45078</v>
      </c>
      <c r="E1131" s="8">
        <v>80675</v>
      </c>
      <c r="F1131" s="10">
        <f>IF(ISTEXT(Таблицаx_2[[#This Row],[Значение]]), 0, Таблицаx_2[[#This Row],[Значение]])</f>
        <v>80675</v>
      </c>
      <c r="G1131" s="12">
        <v>45200</v>
      </c>
      <c r="H1131" s="10" t="str">
        <f>IFERROR(VLOOKUP(Таблицаx_2[[#This Row],[id]],prolongations!A:C,2,)," ")</f>
        <v>октябрь 2023</v>
      </c>
      <c r="I1131" s="10">
        <f>IF(Таблицаx_2[[#This Row],[Месяц окончания]]=Таблицаx_2[[#This Row],[Месяц]],Таблицаx_2[[#This Row],[Значения числа]],0)</f>
        <v>0</v>
      </c>
      <c r="J1131" s="8">
        <f>IF(AND(Таблицаx_2[[#This Row],[Месяц окончания]]=Таблицаx_2[[#This Row],[Месяц]],Таблицаx_2[[#This Row],[id]]=A1132,EDATE(Таблицаx_2[[#This Row],[Месяц]],1)=D1132),F1132,0)</f>
        <v>0</v>
      </c>
      <c r="K1131" s="8">
        <f>IF(AND(Таблицаx_2[[#This Row],[Месяц окончания]]=Таблицаx_2[[#This Row],[Месяц]],Таблицаx_2[[#This Row],[id]]=A1132,EDATE(Таблицаx_2[[#This Row],[Месяц]],2)=D1132),F1132,0)</f>
        <v>0</v>
      </c>
    </row>
    <row r="1132" spans="1:11" ht="12.75" hidden="1" customHeight="1" x14ac:dyDescent="0.2">
      <c r="A1132" s="8">
        <v>841</v>
      </c>
      <c r="B1132" s="8" t="s">
        <v>45</v>
      </c>
      <c r="C1132" s="8" t="s">
        <v>11</v>
      </c>
      <c r="D1132" s="12">
        <v>45108</v>
      </c>
      <c r="E1132" s="8">
        <v>80675</v>
      </c>
      <c r="F1132" s="10">
        <f>IF(ISTEXT(Таблицаx_2[[#This Row],[Значение]]), 0, Таблицаx_2[[#This Row],[Значение]])</f>
        <v>80675</v>
      </c>
      <c r="G1132" s="12">
        <v>45200</v>
      </c>
      <c r="H1132" s="10" t="str">
        <f>IFERROR(VLOOKUP(Таблицаx_2[[#This Row],[id]],prolongations!A:C,2,)," ")</f>
        <v>октябрь 2023</v>
      </c>
      <c r="I1132" s="10">
        <f>IF(Таблицаx_2[[#This Row],[Месяц окончания]]=Таблицаx_2[[#This Row],[Месяц]],Таблицаx_2[[#This Row],[Значения числа]],0)</f>
        <v>0</v>
      </c>
      <c r="J1132" s="8">
        <f>IF(AND(Таблицаx_2[[#This Row],[Месяц окончания]]=Таблицаx_2[[#This Row],[Месяц]],Таблицаx_2[[#This Row],[id]]=A1133,EDATE(Таблицаx_2[[#This Row],[Месяц]],1)=D1133),F1133,0)</f>
        <v>0</v>
      </c>
      <c r="K1132" s="8">
        <f>IF(AND(Таблицаx_2[[#This Row],[Месяц окончания]]=Таблицаx_2[[#This Row],[Месяц]],Таблицаx_2[[#This Row],[id]]=A1133,EDATE(Таблицаx_2[[#This Row],[Месяц]],2)=D1133),F1133,0)</f>
        <v>0</v>
      </c>
    </row>
    <row r="1133" spans="1:11" ht="12.75" hidden="1" customHeight="1" x14ac:dyDescent="0.2">
      <c r="A1133" s="8">
        <v>841</v>
      </c>
      <c r="B1133" s="8" t="s">
        <v>45</v>
      </c>
      <c r="C1133" s="8" t="s">
        <v>11</v>
      </c>
      <c r="D1133" s="12">
        <v>45139</v>
      </c>
      <c r="E1133" s="8">
        <v>80675</v>
      </c>
      <c r="F1133" s="10">
        <f>IF(ISTEXT(Таблицаx_2[[#This Row],[Значение]]), 0, Таблицаx_2[[#This Row],[Значение]])</f>
        <v>80675</v>
      </c>
      <c r="G1133" s="12">
        <v>45200</v>
      </c>
      <c r="H1133" s="10" t="str">
        <f>IFERROR(VLOOKUP(Таблицаx_2[[#This Row],[id]],prolongations!A:C,2,)," ")</f>
        <v>октябрь 2023</v>
      </c>
      <c r="I1133" s="10">
        <f>IF(Таблицаx_2[[#This Row],[Месяц окончания]]=Таблицаx_2[[#This Row],[Месяц]],Таблицаx_2[[#This Row],[Значения числа]],0)</f>
        <v>0</v>
      </c>
      <c r="J1133" s="8">
        <f>IF(AND(Таблицаx_2[[#This Row],[Месяц окончания]]=Таблицаx_2[[#This Row],[Месяц]],Таблицаx_2[[#This Row],[id]]=A1134,EDATE(Таблицаx_2[[#This Row],[Месяц]],1)=D1134),F1134,0)</f>
        <v>0</v>
      </c>
      <c r="K1133" s="8">
        <f>IF(AND(Таблицаx_2[[#This Row],[Месяц окончания]]=Таблицаx_2[[#This Row],[Месяц]],Таблицаx_2[[#This Row],[id]]=A1134,EDATE(Таблицаx_2[[#This Row],[Месяц]],2)=D1134),F1134,0)</f>
        <v>0</v>
      </c>
    </row>
    <row r="1134" spans="1:11" ht="12.75" hidden="1" customHeight="1" x14ac:dyDescent="0.2">
      <c r="A1134" s="8">
        <v>841</v>
      </c>
      <c r="B1134" s="8" t="s">
        <v>45</v>
      </c>
      <c r="C1134" s="8" t="s">
        <v>11</v>
      </c>
      <c r="D1134" s="12">
        <v>45170</v>
      </c>
      <c r="E1134" s="8">
        <v>80675</v>
      </c>
      <c r="F1134" s="10">
        <f>IF(ISTEXT(Таблицаx_2[[#This Row],[Значение]]), 0, Таблицаx_2[[#This Row],[Значение]])</f>
        <v>80675</v>
      </c>
      <c r="G1134" s="12">
        <v>45200</v>
      </c>
      <c r="H1134" s="10" t="str">
        <f>IFERROR(VLOOKUP(Таблицаx_2[[#This Row],[id]],prolongations!A:C,2,)," ")</f>
        <v>октябрь 2023</v>
      </c>
      <c r="I1134" s="10">
        <f>IF(Таблицаx_2[[#This Row],[Месяц окончания]]=Таблицаx_2[[#This Row],[Месяц]],Таблицаx_2[[#This Row],[Значения числа]],0)</f>
        <v>0</v>
      </c>
      <c r="J1134" s="8">
        <f>IF(AND(Таблицаx_2[[#This Row],[Месяц окончания]]=Таблицаx_2[[#This Row],[Месяц]],Таблицаx_2[[#This Row],[id]]=A1135,EDATE(Таблицаx_2[[#This Row],[Месяц]],1)=D1135),F1135,0)</f>
        <v>0</v>
      </c>
      <c r="K1134" s="8">
        <f>IF(AND(Таблицаx_2[[#This Row],[Месяц окончания]]=Таблицаx_2[[#This Row],[Месяц]],Таблицаx_2[[#This Row],[id]]=A1135,EDATE(Таблицаx_2[[#This Row],[Месяц]],2)=D1135),F1135,0)</f>
        <v>0</v>
      </c>
    </row>
    <row r="1135" spans="1:11" ht="12.75" hidden="1" customHeight="1" x14ac:dyDescent="0.2">
      <c r="A1135" s="8">
        <v>841</v>
      </c>
      <c r="B1135" s="8" t="s">
        <v>45</v>
      </c>
      <c r="C1135" s="8" t="s">
        <v>11</v>
      </c>
      <c r="D1135" s="12">
        <v>45200</v>
      </c>
      <c r="E1135" s="8">
        <v>80675</v>
      </c>
      <c r="F1135" s="10">
        <f>IF(ISTEXT(Таблицаx_2[[#This Row],[Значение]]), 0, Таблицаx_2[[#This Row],[Значение]])</f>
        <v>80675</v>
      </c>
      <c r="G1135" s="12">
        <v>45200</v>
      </c>
      <c r="H1135" s="10" t="str">
        <f>IFERROR(VLOOKUP(Таблицаx_2[[#This Row],[id]],prolongations!A:C,2,)," ")</f>
        <v>октябрь 2023</v>
      </c>
      <c r="I1135" s="10">
        <f>IF(Таблицаx_2[[#This Row],[Месяц окончания]]=Таблицаx_2[[#This Row],[Месяц]],Таблицаx_2[[#This Row],[Значения числа]],0)</f>
        <v>80675</v>
      </c>
      <c r="J1135" s="8">
        <f>IF(AND(Таблицаx_2[[#This Row],[Месяц окончания]]=Таблицаx_2[[#This Row],[Месяц]],Таблицаx_2[[#This Row],[id]]=A1136,EDATE(Таблицаx_2[[#This Row],[Месяц]],1)=D1136),F1136,0)</f>
        <v>87880</v>
      </c>
      <c r="K1135" s="8">
        <f>IF(AND(Таблицаx_2[[#This Row],[Месяц окончания]]=Таблицаx_2[[#This Row],[Месяц]],Таблицаx_2[[#This Row],[id]]=A1136,EDATE(Таблицаx_2[[#This Row],[Месяц]],2)=D1136),F1136,0)</f>
        <v>0</v>
      </c>
    </row>
    <row r="1136" spans="1:11" ht="12.75" hidden="1" customHeight="1" x14ac:dyDescent="0.2">
      <c r="A1136" s="8">
        <v>841</v>
      </c>
      <c r="B1136" s="8" t="s">
        <v>45</v>
      </c>
      <c r="C1136" s="8" t="s">
        <v>11</v>
      </c>
      <c r="D1136" s="12">
        <v>45231</v>
      </c>
      <c r="E1136" s="8">
        <v>87880</v>
      </c>
      <c r="F1136" s="10">
        <f>IF(ISTEXT(Таблицаx_2[[#This Row],[Значение]]), 0, Таблицаx_2[[#This Row],[Значение]])</f>
        <v>87880</v>
      </c>
      <c r="G1136" s="12">
        <v>45200</v>
      </c>
      <c r="H1136" s="10" t="str">
        <f>IFERROR(VLOOKUP(Таблицаx_2[[#This Row],[id]],prolongations!A:C,2,)," ")</f>
        <v>октябрь 2023</v>
      </c>
      <c r="I1136" s="10">
        <f>IF(Таблицаx_2[[#This Row],[Месяц окончания]]=Таблицаx_2[[#This Row],[Месяц]],Таблицаx_2[[#This Row],[Значения числа]],0)</f>
        <v>0</v>
      </c>
      <c r="J1136" s="8">
        <f>IF(AND(Таблицаx_2[[#This Row],[Месяц окончания]]=Таблицаx_2[[#This Row],[Месяц]],Таблицаx_2[[#This Row],[id]]=A1137,EDATE(Таблицаx_2[[#This Row],[Месяц]],1)=D1137),F1137,0)</f>
        <v>0</v>
      </c>
      <c r="K1136" s="8">
        <f>IF(AND(Таблицаx_2[[#This Row],[Месяц окончания]]=Таблицаx_2[[#This Row],[Месяц]],Таблицаx_2[[#This Row],[id]]=A1137,EDATE(Таблицаx_2[[#This Row],[Месяц]],2)=D1137),F1137,0)</f>
        <v>0</v>
      </c>
    </row>
    <row r="1137" spans="1:11" ht="12.75" hidden="1" customHeight="1" x14ac:dyDescent="0.2">
      <c r="A1137" s="8">
        <v>841</v>
      </c>
      <c r="B1137" s="8" t="s">
        <v>45</v>
      </c>
      <c r="C1137" s="8" t="s">
        <v>11</v>
      </c>
      <c r="D1137" s="12">
        <v>45261</v>
      </c>
      <c r="E1137" s="8">
        <v>87880</v>
      </c>
      <c r="F1137" s="10">
        <f>IF(ISTEXT(Таблицаx_2[[#This Row],[Значение]]), 0, Таблицаx_2[[#This Row],[Значение]])</f>
        <v>87880</v>
      </c>
      <c r="G1137" s="12">
        <v>45200</v>
      </c>
      <c r="H1137" s="10" t="str">
        <f>IFERROR(VLOOKUP(Таблицаx_2[[#This Row],[id]],prolongations!A:C,2,)," ")</f>
        <v>октябрь 2023</v>
      </c>
      <c r="I1137" s="10">
        <f>IF(Таблицаx_2[[#This Row],[Месяц окончания]]=Таблицаx_2[[#This Row],[Месяц]],Таблицаx_2[[#This Row],[Значения числа]],0)</f>
        <v>0</v>
      </c>
      <c r="J1137" s="8">
        <f>IF(AND(Таблицаx_2[[#This Row],[Месяц окончания]]=Таблицаx_2[[#This Row],[Месяц]],Таблицаx_2[[#This Row],[id]]=A1138,EDATE(Таблицаx_2[[#This Row],[Месяц]],1)=D1138),F1138,0)</f>
        <v>0</v>
      </c>
      <c r="K1137" s="8">
        <f>IF(AND(Таблицаx_2[[#This Row],[Месяц окончания]]=Таблицаx_2[[#This Row],[Месяц]],Таблицаx_2[[#This Row],[id]]=A1138,EDATE(Таблицаx_2[[#This Row],[Месяц]],2)=D1138),F1138,0)</f>
        <v>0</v>
      </c>
    </row>
    <row r="1138" spans="1:11" ht="12.75" hidden="1" customHeight="1" x14ac:dyDescent="0.2">
      <c r="A1138" s="8">
        <v>841</v>
      </c>
      <c r="B1138" s="8" t="s">
        <v>45</v>
      </c>
      <c r="C1138" s="8" t="s">
        <v>11</v>
      </c>
      <c r="D1138" s="12">
        <v>45292</v>
      </c>
      <c r="E1138" s="8">
        <v>88100</v>
      </c>
      <c r="F1138" s="10">
        <f>IF(ISTEXT(Таблицаx_2[[#This Row],[Значение]]), 0, Таблицаx_2[[#This Row],[Значение]])</f>
        <v>88100</v>
      </c>
      <c r="G1138" s="12">
        <v>45200</v>
      </c>
      <c r="H1138" s="10" t="str">
        <f>IFERROR(VLOOKUP(Таблицаx_2[[#This Row],[id]],prolongations!A:C,2,)," ")</f>
        <v>октябрь 2023</v>
      </c>
      <c r="I1138" s="10">
        <f>IF(Таблицаx_2[[#This Row],[Месяц окончания]]=Таблицаx_2[[#This Row],[Месяц]],Таблицаx_2[[#This Row],[Значения числа]],0)</f>
        <v>0</v>
      </c>
      <c r="J1138" s="8">
        <f>IF(AND(Таблицаx_2[[#This Row],[Месяц окончания]]=Таблицаx_2[[#This Row],[Месяц]],Таблицаx_2[[#This Row],[id]]=A1139,EDATE(Таблицаx_2[[#This Row],[Месяц]],1)=D1139),F1139,0)</f>
        <v>0</v>
      </c>
      <c r="K1138" s="8">
        <f>IF(AND(Таблицаx_2[[#This Row],[Месяц окончания]]=Таблицаx_2[[#This Row],[Месяц]],Таблицаx_2[[#This Row],[id]]=A1139,EDATE(Таблицаx_2[[#This Row],[Месяц]],2)=D1139),F1139,0)</f>
        <v>0</v>
      </c>
    </row>
    <row r="1139" spans="1:11" ht="12.75" hidden="1" customHeight="1" x14ac:dyDescent="0.2">
      <c r="A1139" s="8">
        <v>841</v>
      </c>
      <c r="B1139" s="8" t="s">
        <v>45</v>
      </c>
      <c r="C1139" s="8" t="s">
        <v>11</v>
      </c>
      <c r="D1139" s="12">
        <v>45323</v>
      </c>
      <c r="E1139" s="8">
        <v>88100</v>
      </c>
      <c r="F1139" s="10">
        <f>IF(ISTEXT(Таблицаx_2[[#This Row],[Значение]]), 0, Таблицаx_2[[#This Row],[Значение]])</f>
        <v>88100</v>
      </c>
      <c r="G1139" s="12">
        <v>45200</v>
      </c>
      <c r="H1139" s="10" t="str">
        <f>IFERROR(VLOOKUP(Таблицаx_2[[#This Row],[id]],prolongations!A:C,2,)," ")</f>
        <v>октябрь 2023</v>
      </c>
      <c r="I1139" s="10">
        <f>IF(Таблицаx_2[[#This Row],[Месяц окончания]]=Таблицаx_2[[#This Row],[Месяц]],Таблицаx_2[[#This Row],[Значения числа]],0)</f>
        <v>0</v>
      </c>
      <c r="J1139" s="8">
        <f>IF(AND(Таблицаx_2[[#This Row],[Месяц окончания]]=Таблицаx_2[[#This Row],[Месяц]],Таблицаx_2[[#This Row],[id]]=A1140,EDATE(Таблицаx_2[[#This Row],[Месяц]],1)=D1140),F1140,0)</f>
        <v>0</v>
      </c>
      <c r="K1139" s="8">
        <f>IF(AND(Таблицаx_2[[#This Row],[Месяц окончания]]=Таблицаx_2[[#This Row],[Месяц]],Таблицаx_2[[#This Row],[id]]=A1140,EDATE(Таблицаx_2[[#This Row],[Месяц]],2)=D1140),F1140,0)</f>
        <v>0</v>
      </c>
    </row>
    <row r="1140" spans="1:11" ht="12.75" hidden="1" customHeight="1" x14ac:dyDescent="0.2">
      <c r="A1140" s="8">
        <v>841</v>
      </c>
      <c r="B1140" s="8" t="s">
        <v>47</v>
      </c>
      <c r="C1140" s="8" t="s">
        <v>11</v>
      </c>
      <c r="D1140" s="12">
        <v>44986</v>
      </c>
      <c r="E1140" s="8">
        <v>7718.97</v>
      </c>
      <c r="F1140" s="10">
        <f>IF(ISTEXT(Таблицаx_2[[#This Row],[Значение]]), 0, Таблицаx_2[[#This Row],[Значение]])</f>
        <v>7718.97</v>
      </c>
      <c r="G1140" s="12">
        <v>45200</v>
      </c>
      <c r="H1140" s="10" t="str">
        <f>IFERROR(VLOOKUP(Таблицаx_2[[#This Row],[id]],prolongations!A:C,2,)," ")</f>
        <v>октябрь 2023</v>
      </c>
      <c r="I1140" s="10">
        <f>IF(Таблицаx_2[[#This Row],[Месяц окончания]]=Таблицаx_2[[#This Row],[Месяц]],Таблицаx_2[[#This Row],[Значения числа]],0)</f>
        <v>0</v>
      </c>
      <c r="J1140" s="8">
        <f>IF(AND(Таблицаx_2[[#This Row],[Месяц окончания]]=Таблицаx_2[[#This Row],[Месяц]],Таблицаx_2[[#This Row],[id]]=A1141,EDATE(Таблицаx_2[[#This Row],[Месяц]],1)=D1141),F1141,0)</f>
        <v>0</v>
      </c>
      <c r="K1140" s="8">
        <f>IF(AND(Таблицаx_2[[#This Row],[Месяц окончания]]=Таблицаx_2[[#This Row],[Месяц]],Таблицаx_2[[#This Row],[id]]=A1141,EDATE(Таблицаx_2[[#This Row],[Месяц]],2)=D1141),F1141,0)</f>
        <v>0</v>
      </c>
    </row>
    <row r="1141" spans="1:11" ht="12.75" hidden="1" customHeight="1" x14ac:dyDescent="0.2">
      <c r="A1141" s="8">
        <v>841</v>
      </c>
      <c r="B1141" s="8" t="s">
        <v>47</v>
      </c>
      <c r="C1141" s="8" t="s">
        <v>11</v>
      </c>
      <c r="D1141" s="12">
        <v>45017</v>
      </c>
      <c r="E1141" s="8">
        <v>7119</v>
      </c>
      <c r="F1141" s="10">
        <f>IF(ISTEXT(Таблицаx_2[[#This Row],[Значение]]), 0, Таблицаx_2[[#This Row],[Значение]])</f>
        <v>7119</v>
      </c>
      <c r="G1141" s="12">
        <v>45200</v>
      </c>
      <c r="H1141" s="10" t="str">
        <f>IFERROR(VLOOKUP(Таблицаx_2[[#This Row],[id]],prolongations!A:C,2,)," ")</f>
        <v>октябрь 2023</v>
      </c>
      <c r="I1141" s="10">
        <f>IF(Таблицаx_2[[#This Row],[Месяц окончания]]=Таблицаx_2[[#This Row],[Месяц]],Таблицаx_2[[#This Row],[Значения числа]],0)</f>
        <v>0</v>
      </c>
      <c r="J1141" s="8">
        <f>IF(AND(Таблицаx_2[[#This Row],[Месяц окончания]]=Таблицаx_2[[#This Row],[Месяц]],Таблицаx_2[[#This Row],[id]]=A1142,EDATE(Таблицаx_2[[#This Row],[Месяц]],1)=D1142),F1142,0)</f>
        <v>0</v>
      </c>
      <c r="K1141" s="8">
        <f>IF(AND(Таблицаx_2[[#This Row],[Месяц окончания]]=Таблицаx_2[[#This Row],[Месяц]],Таблицаx_2[[#This Row],[id]]=A1142,EDATE(Таблицаx_2[[#This Row],[Месяц]],2)=D1142),F1142,0)</f>
        <v>0</v>
      </c>
    </row>
    <row r="1142" spans="1:11" ht="12.75" hidden="1" customHeight="1" x14ac:dyDescent="0.2">
      <c r="A1142" s="8">
        <v>841</v>
      </c>
      <c r="B1142" s="8" t="s">
        <v>47</v>
      </c>
      <c r="C1142" s="8" t="s">
        <v>11</v>
      </c>
      <c r="D1142" s="12">
        <v>45047</v>
      </c>
      <c r="E1142" s="8">
        <v>12255</v>
      </c>
      <c r="F1142" s="10">
        <f>IF(ISTEXT(Таблицаx_2[[#This Row],[Значение]]), 0, Таблицаx_2[[#This Row],[Значение]])</f>
        <v>12255</v>
      </c>
      <c r="G1142" s="12">
        <v>45200</v>
      </c>
      <c r="H1142" s="10" t="str">
        <f>IFERROR(VLOOKUP(Таблицаx_2[[#This Row],[id]],prolongations!A:C,2,)," ")</f>
        <v>октябрь 2023</v>
      </c>
      <c r="I1142" s="10">
        <f>IF(Таблицаx_2[[#This Row],[Месяц окончания]]=Таблицаx_2[[#This Row],[Месяц]],Таблицаx_2[[#This Row],[Значения числа]],0)</f>
        <v>0</v>
      </c>
      <c r="J1142" s="8">
        <f>IF(AND(Таблицаx_2[[#This Row],[Месяц окончания]]=Таблицаx_2[[#This Row],[Месяц]],Таблицаx_2[[#This Row],[id]]=A1143,EDATE(Таблицаx_2[[#This Row],[Месяц]],1)=D1143),F1143,0)</f>
        <v>0</v>
      </c>
      <c r="K1142" s="8">
        <f>IF(AND(Таблицаx_2[[#This Row],[Месяц окончания]]=Таблицаx_2[[#This Row],[Месяц]],Таблицаx_2[[#This Row],[id]]=A1143,EDATE(Таблицаx_2[[#This Row],[Месяц]],2)=D1143),F1143,0)</f>
        <v>0</v>
      </c>
    </row>
    <row r="1143" spans="1:11" ht="12.75" hidden="1" customHeight="1" x14ac:dyDescent="0.2">
      <c r="A1143" s="8">
        <v>841</v>
      </c>
      <c r="B1143" s="8" t="s">
        <v>47</v>
      </c>
      <c r="C1143" s="8" t="s">
        <v>11</v>
      </c>
      <c r="D1143" s="12">
        <v>45078</v>
      </c>
      <c r="E1143" s="8">
        <v>9711.49</v>
      </c>
      <c r="F1143" s="10">
        <f>IF(ISTEXT(Таблицаx_2[[#This Row],[Значение]]), 0, Таблицаx_2[[#This Row],[Значение]])</f>
        <v>9711.49</v>
      </c>
      <c r="G1143" s="12">
        <v>45200</v>
      </c>
      <c r="H1143" s="10" t="str">
        <f>IFERROR(VLOOKUP(Таблицаx_2[[#This Row],[id]],prolongations!A:C,2,)," ")</f>
        <v>октябрь 2023</v>
      </c>
      <c r="I1143" s="10">
        <f>IF(Таблицаx_2[[#This Row],[Месяц окончания]]=Таблицаx_2[[#This Row],[Месяц]],Таблицаx_2[[#This Row],[Значения числа]],0)</f>
        <v>0</v>
      </c>
      <c r="J1143" s="8">
        <f>IF(AND(Таблицаx_2[[#This Row],[Месяц окончания]]=Таблицаx_2[[#This Row],[Месяц]],Таблицаx_2[[#This Row],[id]]=A1144,EDATE(Таблицаx_2[[#This Row],[Месяц]],1)=D1144),F1144,0)</f>
        <v>0</v>
      </c>
      <c r="K1143" s="8">
        <f>IF(AND(Таблицаx_2[[#This Row],[Месяц окончания]]=Таблицаx_2[[#This Row],[Месяц]],Таблицаx_2[[#This Row],[id]]=A1144,EDATE(Таблицаx_2[[#This Row],[Месяц]],2)=D1144),F1144,0)</f>
        <v>0</v>
      </c>
    </row>
    <row r="1144" spans="1:11" ht="12.75" hidden="1" customHeight="1" x14ac:dyDescent="0.2">
      <c r="A1144" s="8">
        <v>841</v>
      </c>
      <c r="B1144" s="8" t="s">
        <v>47</v>
      </c>
      <c r="C1144" s="8" t="s">
        <v>11</v>
      </c>
      <c r="D1144" s="12">
        <v>45108</v>
      </c>
      <c r="E1144" s="8">
        <v>7536.79</v>
      </c>
      <c r="F1144" s="10">
        <f>IF(ISTEXT(Таблицаx_2[[#This Row],[Значение]]), 0, Таблицаx_2[[#This Row],[Значение]])</f>
        <v>7536.79</v>
      </c>
      <c r="G1144" s="12">
        <v>45200</v>
      </c>
      <c r="H1144" s="10" t="str">
        <f>IFERROR(VLOOKUP(Таблицаx_2[[#This Row],[id]],prolongations!A:C,2,)," ")</f>
        <v>октябрь 2023</v>
      </c>
      <c r="I1144" s="10">
        <f>IF(Таблицаx_2[[#This Row],[Месяц окончания]]=Таблицаx_2[[#This Row],[Месяц]],Таблицаx_2[[#This Row],[Значения числа]],0)</f>
        <v>0</v>
      </c>
      <c r="J1144" s="8">
        <f>IF(AND(Таблицаx_2[[#This Row],[Месяц окончания]]=Таблицаx_2[[#This Row],[Месяц]],Таблицаx_2[[#This Row],[id]]=A1145,EDATE(Таблицаx_2[[#This Row],[Месяц]],1)=D1145),F1145,0)</f>
        <v>0</v>
      </c>
      <c r="K1144" s="8">
        <f>IF(AND(Таблицаx_2[[#This Row],[Месяц окончания]]=Таблицаx_2[[#This Row],[Месяц]],Таблицаx_2[[#This Row],[id]]=A1145,EDATE(Таблицаx_2[[#This Row],[Месяц]],2)=D1145),F1145,0)</f>
        <v>0</v>
      </c>
    </row>
    <row r="1145" spans="1:11" ht="12.75" hidden="1" customHeight="1" x14ac:dyDescent="0.2">
      <c r="A1145" s="8">
        <v>841</v>
      </c>
      <c r="B1145" s="8" t="s">
        <v>47</v>
      </c>
      <c r="C1145" s="8" t="s">
        <v>11</v>
      </c>
      <c r="D1145" s="12">
        <v>45139</v>
      </c>
      <c r="E1145" s="8" t="s">
        <v>48</v>
      </c>
      <c r="F1145" s="10">
        <f>IF(ISTEXT(Таблицаx_2[[#This Row],[Значение]]), 0, Таблицаx_2[[#This Row],[Значение]])</f>
        <v>0</v>
      </c>
      <c r="G1145" s="12">
        <v>45200</v>
      </c>
      <c r="H1145" s="10" t="str">
        <f>IFERROR(VLOOKUP(Таблицаx_2[[#This Row],[id]],prolongations!A:C,2,)," ")</f>
        <v>октябрь 2023</v>
      </c>
      <c r="I1145" s="10">
        <f>IF(Таблицаx_2[[#This Row],[Месяц окончания]]=Таблицаx_2[[#This Row],[Месяц]],Таблицаx_2[[#This Row],[Значения числа]],0)</f>
        <v>0</v>
      </c>
      <c r="J1145" s="8">
        <f>IF(AND(Таблицаx_2[[#This Row],[Месяц окончания]]=Таблицаx_2[[#This Row],[Месяц]],Таблицаx_2[[#This Row],[id]]=A1146,EDATE(Таблицаx_2[[#This Row],[Месяц]],1)=D1146),F1146,0)</f>
        <v>0</v>
      </c>
      <c r="K1145" s="8">
        <f>IF(AND(Таблицаx_2[[#This Row],[Месяц окончания]]=Таблицаx_2[[#This Row],[Месяц]],Таблицаx_2[[#This Row],[id]]=A1146,EDATE(Таблицаx_2[[#This Row],[Месяц]],2)=D1146),F1146,0)</f>
        <v>0</v>
      </c>
    </row>
    <row r="1146" spans="1:11" ht="12.75" hidden="1" customHeight="1" x14ac:dyDescent="0.2">
      <c r="A1146" s="8">
        <v>841</v>
      </c>
      <c r="B1146" s="8" t="s">
        <v>47</v>
      </c>
      <c r="C1146" s="8" t="s">
        <v>11</v>
      </c>
      <c r="D1146" s="12">
        <v>45170</v>
      </c>
      <c r="E1146" s="8">
        <v>2165.1</v>
      </c>
      <c r="F1146" s="10">
        <f>IF(ISTEXT(Таблицаx_2[[#This Row],[Значение]]), 0, Таблицаx_2[[#This Row],[Значение]])</f>
        <v>2165.1</v>
      </c>
      <c r="G1146" s="12">
        <v>45200</v>
      </c>
      <c r="H1146" s="10" t="str">
        <f>IFERROR(VLOOKUP(Таблицаx_2[[#This Row],[id]],prolongations!A:C,2,)," ")</f>
        <v>октябрь 2023</v>
      </c>
      <c r="I1146" s="10">
        <f>IF(Таблицаx_2[[#This Row],[Месяц окончания]]=Таблицаx_2[[#This Row],[Месяц]],Таблицаx_2[[#This Row],[Значения числа]],0)</f>
        <v>0</v>
      </c>
      <c r="J1146" s="8">
        <f>IF(AND(Таблицаx_2[[#This Row],[Месяц окончания]]=Таблицаx_2[[#This Row],[Месяц]],Таблицаx_2[[#This Row],[id]]=A1147,EDATE(Таблицаx_2[[#This Row],[Месяц]],1)=D1147),F1147,0)</f>
        <v>0</v>
      </c>
      <c r="K1146" s="8">
        <f>IF(AND(Таблицаx_2[[#This Row],[Месяц окончания]]=Таблицаx_2[[#This Row],[Месяц]],Таблицаx_2[[#This Row],[id]]=A1147,EDATE(Таблицаx_2[[#This Row],[Месяц]],2)=D1147),F1147,0)</f>
        <v>0</v>
      </c>
    </row>
    <row r="1147" spans="1:11" ht="12.75" hidden="1" customHeight="1" x14ac:dyDescent="0.2">
      <c r="A1147" s="8">
        <v>841</v>
      </c>
      <c r="B1147" s="8" t="s">
        <v>47</v>
      </c>
      <c r="C1147" s="8" t="s">
        <v>11</v>
      </c>
      <c r="D1147" s="12">
        <v>45200</v>
      </c>
      <c r="E1147" s="8">
        <v>4851.47</v>
      </c>
      <c r="F1147" s="10">
        <f>IF(ISTEXT(Таблицаx_2[[#This Row],[Значение]]), 0, Таблицаx_2[[#This Row],[Значение]])</f>
        <v>4851.47</v>
      </c>
      <c r="G1147" s="12">
        <v>45200</v>
      </c>
      <c r="H1147" s="10" t="str">
        <f>IFERROR(VLOOKUP(Таблицаx_2[[#This Row],[id]],prolongations!A:C,2,)," ")</f>
        <v>октябрь 2023</v>
      </c>
      <c r="I1147" s="10">
        <f>IF(Таблицаx_2[[#This Row],[Месяц окончания]]=Таблицаx_2[[#This Row],[Месяц]],Таблицаx_2[[#This Row],[Значения числа]],0)</f>
        <v>4851.47</v>
      </c>
      <c r="J1147" s="8">
        <f>IF(AND(Таблицаx_2[[#This Row],[Месяц окончания]]=Таблицаx_2[[#This Row],[Месяц]],Таблицаx_2[[#This Row],[id]]=A1148,EDATE(Таблицаx_2[[#This Row],[Месяц]],1)=D1148),F1148,0)</f>
        <v>0</v>
      </c>
      <c r="K1147" s="8">
        <f>IF(AND(Таблицаx_2[[#This Row],[Месяц окончания]]=Таблицаx_2[[#This Row],[Месяц]],Таблицаx_2[[#This Row],[id]]=A1148,EDATE(Таблицаx_2[[#This Row],[Месяц]],2)=D1148),F1148,0)</f>
        <v>0</v>
      </c>
    </row>
    <row r="1148" spans="1:11" ht="12.75" hidden="1" customHeight="1" x14ac:dyDescent="0.2">
      <c r="A1148" s="8">
        <v>841</v>
      </c>
      <c r="B1148" s="8" t="s">
        <v>47</v>
      </c>
      <c r="C1148" s="8" t="s">
        <v>11</v>
      </c>
      <c r="D1148" s="12">
        <v>45231</v>
      </c>
      <c r="E1148" s="8" t="s">
        <v>48</v>
      </c>
      <c r="F1148" s="10">
        <f>IF(ISTEXT(Таблицаx_2[[#This Row],[Значение]]), 0, Таблицаx_2[[#This Row],[Значение]])</f>
        <v>0</v>
      </c>
      <c r="G1148" s="12">
        <v>45200</v>
      </c>
      <c r="H1148" s="10" t="str">
        <f>IFERROR(VLOOKUP(Таблицаx_2[[#This Row],[id]],prolongations!A:C,2,)," ")</f>
        <v>октябрь 2023</v>
      </c>
      <c r="I1148" s="10">
        <f>IF(Таблицаx_2[[#This Row],[Месяц окончания]]=Таблицаx_2[[#This Row],[Месяц]],Таблицаx_2[[#This Row],[Значения числа]],0)</f>
        <v>0</v>
      </c>
      <c r="J1148" s="8">
        <f>IF(AND(Таблицаx_2[[#This Row],[Месяц окончания]]=Таблицаx_2[[#This Row],[Месяц]],Таблицаx_2[[#This Row],[id]]=A1149,EDATE(Таблицаx_2[[#This Row],[Месяц]],1)=D1149),F1149,0)</f>
        <v>0</v>
      </c>
      <c r="K1148" s="8">
        <f>IF(AND(Таблицаx_2[[#This Row],[Месяц окончания]]=Таблицаx_2[[#This Row],[Месяц]],Таблицаx_2[[#This Row],[id]]=A1149,EDATE(Таблицаx_2[[#This Row],[Месяц]],2)=D1149),F1149,0)</f>
        <v>0</v>
      </c>
    </row>
    <row r="1149" spans="1:11" ht="12.75" hidden="1" customHeight="1" x14ac:dyDescent="0.2">
      <c r="A1149" s="8">
        <v>841</v>
      </c>
      <c r="B1149" s="8" t="s">
        <v>47</v>
      </c>
      <c r="C1149" s="8" t="s">
        <v>11</v>
      </c>
      <c r="D1149" s="12">
        <v>45261</v>
      </c>
      <c r="E1149" s="8">
        <v>13943.39</v>
      </c>
      <c r="F1149" s="10">
        <f>IF(ISTEXT(Таблицаx_2[[#This Row],[Значение]]), 0, Таблицаx_2[[#This Row],[Значение]])</f>
        <v>13943.39</v>
      </c>
      <c r="G1149" s="12">
        <v>45200</v>
      </c>
      <c r="H1149" s="10" t="str">
        <f>IFERROR(VLOOKUP(Таблицаx_2[[#This Row],[id]],prolongations!A:C,2,)," ")</f>
        <v>октябрь 2023</v>
      </c>
      <c r="I1149" s="10">
        <f>IF(Таблицаx_2[[#This Row],[Месяц окончания]]=Таблицаx_2[[#This Row],[Месяц]],Таблицаx_2[[#This Row],[Значения числа]],0)</f>
        <v>0</v>
      </c>
      <c r="J1149" s="8">
        <f>IF(AND(Таблицаx_2[[#This Row],[Месяц окончания]]=Таблицаx_2[[#This Row],[Месяц]],Таблицаx_2[[#This Row],[id]]=A1150,EDATE(Таблицаx_2[[#This Row],[Месяц]],1)=D1150),F1150,0)</f>
        <v>0</v>
      </c>
      <c r="K1149" s="8">
        <f>IF(AND(Таблицаx_2[[#This Row],[Месяц окончания]]=Таблицаx_2[[#This Row],[Месяц]],Таблицаx_2[[#This Row],[id]]=A1150,EDATE(Таблицаx_2[[#This Row],[Месяц]],2)=D1150),F1150,0)</f>
        <v>0</v>
      </c>
    </row>
    <row r="1150" spans="1:11" ht="12.75" hidden="1" customHeight="1" x14ac:dyDescent="0.2">
      <c r="A1150" s="8">
        <v>841</v>
      </c>
      <c r="B1150" s="8" t="s">
        <v>47</v>
      </c>
      <c r="C1150" s="8" t="s">
        <v>11</v>
      </c>
      <c r="D1150" s="12">
        <v>45292</v>
      </c>
      <c r="E1150" s="8">
        <v>5287.23</v>
      </c>
      <c r="F1150" s="10">
        <f>IF(ISTEXT(Таблицаx_2[[#This Row],[Значение]]), 0, Таблицаx_2[[#This Row],[Значение]])</f>
        <v>5287.23</v>
      </c>
      <c r="G1150" s="12">
        <v>45200</v>
      </c>
      <c r="H1150" s="10" t="str">
        <f>IFERROR(VLOOKUP(Таблицаx_2[[#This Row],[id]],prolongations!A:C,2,)," ")</f>
        <v>октябрь 2023</v>
      </c>
      <c r="I1150" s="10">
        <f>IF(Таблицаx_2[[#This Row],[Месяц окончания]]=Таблицаx_2[[#This Row],[Месяц]],Таблицаx_2[[#This Row],[Значения числа]],0)</f>
        <v>0</v>
      </c>
      <c r="J1150" s="8">
        <f>IF(AND(Таблицаx_2[[#This Row],[Месяц окончания]]=Таблицаx_2[[#This Row],[Месяц]],Таблицаx_2[[#This Row],[id]]=A1151,EDATE(Таблицаx_2[[#This Row],[Месяц]],1)=D1151),F1151,0)</f>
        <v>0</v>
      </c>
      <c r="K1150" s="8">
        <f>IF(AND(Таблицаx_2[[#This Row],[Месяц окончания]]=Таблицаx_2[[#This Row],[Месяц]],Таблицаx_2[[#This Row],[id]]=A1151,EDATE(Таблицаx_2[[#This Row],[Месяц]],2)=D1151),F1151,0)</f>
        <v>0</v>
      </c>
    </row>
    <row r="1151" spans="1:11" ht="12.75" hidden="1" customHeight="1" x14ac:dyDescent="0.2">
      <c r="A1151" s="8">
        <v>841</v>
      </c>
      <c r="B1151" s="8" t="s">
        <v>47</v>
      </c>
      <c r="C1151" s="8" t="s">
        <v>11</v>
      </c>
      <c r="D1151" s="12">
        <v>45323</v>
      </c>
      <c r="E1151" s="8">
        <v>9201.06</v>
      </c>
      <c r="F1151" s="10">
        <f>IF(ISTEXT(Таблицаx_2[[#This Row],[Значение]]), 0, Таблицаx_2[[#This Row],[Значение]])</f>
        <v>9201.06</v>
      </c>
      <c r="G1151" s="12">
        <v>45200</v>
      </c>
      <c r="H1151" s="10" t="str">
        <f>IFERROR(VLOOKUP(Таблицаx_2[[#This Row],[id]],prolongations!A:C,2,)," ")</f>
        <v>октябрь 2023</v>
      </c>
      <c r="I1151" s="10">
        <f>IF(Таблицаx_2[[#This Row],[Месяц окончания]]=Таблицаx_2[[#This Row],[Месяц]],Таблицаx_2[[#This Row],[Значения числа]],0)</f>
        <v>0</v>
      </c>
      <c r="J1151" s="8">
        <f>IF(AND(Таблицаx_2[[#This Row],[Месяц окончания]]=Таблицаx_2[[#This Row],[Месяц]],Таблицаx_2[[#This Row],[id]]=A1152,EDATE(Таблицаx_2[[#This Row],[Месяц]],1)=D1152),F1152,0)</f>
        <v>0</v>
      </c>
      <c r="K1151" s="8">
        <f>IF(AND(Таблицаx_2[[#This Row],[Месяц окончания]]=Таблицаx_2[[#This Row],[Месяц]],Таблицаx_2[[#This Row],[id]]=A1152,EDATE(Таблицаx_2[[#This Row],[Месяц]],2)=D1152),F1152,0)</f>
        <v>0</v>
      </c>
    </row>
    <row r="1152" spans="1:11" ht="12.75" hidden="1" customHeight="1" x14ac:dyDescent="0.2">
      <c r="A1152" s="8">
        <v>822</v>
      </c>
      <c r="B1152" s="8" t="s">
        <v>45</v>
      </c>
      <c r="C1152" s="8" t="s">
        <v>4</v>
      </c>
      <c r="D1152" s="12">
        <v>45047</v>
      </c>
      <c r="E1152" s="8">
        <v>50085</v>
      </c>
      <c r="F1152" s="10">
        <f>IF(ISTEXT(Таблицаx_2[[#This Row],[Значение]]), 0, Таблицаx_2[[#This Row],[Значение]])</f>
        <v>50085</v>
      </c>
      <c r="G1152" s="12">
        <v>45200</v>
      </c>
      <c r="H1152" s="10" t="str">
        <f>IFERROR(VLOOKUP(Таблицаx_2[[#This Row],[id]],prolongations!A:C,2,)," ")</f>
        <v>октябрь 2023</v>
      </c>
      <c r="I1152" s="10">
        <f>IF(Таблицаx_2[[#This Row],[Месяц окончания]]=Таблицаx_2[[#This Row],[Месяц]],Таблицаx_2[[#This Row],[Значения числа]],0)</f>
        <v>0</v>
      </c>
      <c r="J1152" s="8">
        <f>IF(AND(Таблицаx_2[[#This Row],[Месяц окончания]]=Таблицаx_2[[#This Row],[Месяц]],Таблицаx_2[[#This Row],[id]]=A1153,EDATE(Таблицаx_2[[#This Row],[Месяц]],1)=D1153),F1153,0)</f>
        <v>0</v>
      </c>
      <c r="K1152" s="8">
        <f>IF(AND(Таблицаx_2[[#This Row],[Месяц окончания]]=Таблицаx_2[[#This Row],[Месяц]],Таблицаx_2[[#This Row],[id]]=A1153,EDATE(Таблицаx_2[[#This Row],[Месяц]],2)=D1153),F1153,0)</f>
        <v>0</v>
      </c>
    </row>
    <row r="1153" spans="1:11" ht="12.75" hidden="1" customHeight="1" x14ac:dyDescent="0.2">
      <c r="A1153" s="8">
        <v>822</v>
      </c>
      <c r="B1153" s="8" t="s">
        <v>45</v>
      </c>
      <c r="C1153" s="8" t="s">
        <v>4</v>
      </c>
      <c r="D1153" s="12">
        <v>45078</v>
      </c>
      <c r="E1153" s="8">
        <v>38013.75</v>
      </c>
      <c r="F1153" s="10">
        <f>IF(ISTEXT(Таблицаx_2[[#This Row],[Значение]]), 0, Таблицаx_2[[#This Row],[Значение]])</f>
        <v>38013.75</v>
      </c>
      <c r="G1153" s="12">
        <v>45200</v>
      </c>
      <c r="H1153" s="10" t="str">
        <f>IFERROR(VLOOKUP(Таблицаx_2[[#This Row],[id]],prolongations!A:C,2,)," ")</f>
        <v>октябрь 2023</v>
      </c>
      <c r="I1153" s="10">
        <f>IF(Таблицаx_2[[#This Row],[Месяц окончания]]=Таблицаx_2[[#This Row],[Месяц]],Таблицаx_2[[#This Row],[Значения числа]],0)</f>
        <v>0</v>
      </c>
      <c r="J1153" s="8">
        <f>IF(AND(Таблицаx_2[[#This Row],[Месяц окончания]]=Таблицаx_2[[#This Row],[Месяц]],Таблицаx_2[[#This Row],[id]]=A1154,EDATE(Таблицаx_2[[#This Row],[Месяц]],1)=D1154),F1154,0)</f>
        <v>0</v>
      </c>
      <c r="K1153" s="8">
        <f>IF(AND(Таблицаx_2[[#This Row],[Месяц окончания]]=Таблицаx_2[[#This Row],[Месяц]],Таблицаx_2[[#This Row],[id]]=A1154,EDATE(Таблицаx_2[[#This Row],[Месяц]],2)=D1154),F1154,0)</f>
        <v>0</v>
      </c>
    </row>
    <row r="1154" spans="1:11" ht="12.75" hidden="1" customHeight="1" x14ac:dyDescent="0.2">
      <c r="A1154" s="8">
        <v>822</v>
      </c>
      <c r="B1154" s="8" t="s">
        <v>45</v>
      </c>
      <c r="C1154" s="8" t="s">
        <v>4</v>
      </c>
      <c r="D1154" s="12">
        <v>45108</v>
      </c>
      <c r="E1154" s="8">
        <v>49263.75</v>
      </c>
      <c r="F1154" s="10">
        <f>IF(ISTEXT(Таблицаx_2[[#This Row],[Значение]]), 0, Таблицаx_2[[#This Row],[Значение]])</f>
        <v>49263.75</v>
      </c>
      <c r="G1154" s="12">
        <v>45200</v>
      </c>
      <c r="H1154" s="10" t="str">
        <f>IFERROR(VLOOKUP(Таблицаx_2[[#This Row],[id]],prolongations!A:C,2,)," ")</f>
        <v>октябрь 2023</v>
      </c>
      <c r="I1154" s="10">
        <f>IF(Таблицаx_2[[#This Row],[Месяц окончания]]=Таблицаx_2[[#This Row],[Месяц]],Таблицаx_2[[#This Row],[Значения числа]],0)</f>
        <v>0</v>
      </c>
      <c r="J1154" s="8">
        <f>IF(AND(Таблицаx_2[[#This Row],[Месяц окончания]]=Таблицаx_2[[#This Row],[Месяц]],Таблицаx_2[[#This Row],[id]]=A1155,EDATE(Таблицаx_2[[#This Row],[Месяц]],1)=D1155),F1155,0)</f>
        <v>0</v>
      </c>
      <c r="K1154" s="8">
        <f>IF(AND(Таблицаx_2[[#This Row],[Месяц окончания]]=Таблицаx_2[[#This Row],[Месяц]],Таблицаx_2[[#This Row],[id]]=A1155,EDATE(Таблицаx_2[[#This Row],[Месяц]],2)=D1155),F1155,0)</f>
        <v>0</v>
      </c>
    </row>
    <row r="1155" spans="1:11" ht="12.75" hidden="1" customHeight="1" x14ac:dyDescent="0.2">
      <c r="A1155" s="8">
        <v>822</v>
      </c>
      <c r="B1155" s="8" t="s">
        <v>45</v>
      </c>
      <c r="C1155" s="8" t="s">
        <v>4</v>
      </c>
      <c r="D1155" s="12">
        <v>45139</v>
      </c>
      <c r="E1155" s="8">
        <v>38227.5</v>
      </c>
      <c r="F1155" s="10">
        <f>IF(ISTEXT(Таблицаx_2[[#This Row],[Значение]]), 0, Таблицаx_2[[#This Row],[Значение]])</f>
        <v>38227.5</v>
      </c>
      <c r="G1155" s="12">
        <v>45200</v>
      </c>
      <c r="H1155" s="10" t="str">
        <f>IFERROR(VLOOKUP(Таблицаx_2[[#This Row],[id]],prolongations!A:C,2,)," ")</f>
        <v>октябрь 2023</v>
      </c>
      <c r="I1155" s="10">
        <f>IF(Таблицаx_2[[#This Row],[Месяц окончания]]=Таблицаx_2[[#This Row],[Месяц]],Таблицаx_2[[#This Row],[Значения числа]],0)</f>
        <v>0</v>
      </c>
      <c r="J1155" s="8">
        <f>IF(AND(Таблицаx_2[[#This Row],[Месяц окончания]]=Таблицаx_2[[#This Row],[Месяц]],Таблицаx_2[[#This Row],[id]]=A1156,EDATE(Таблицаx_2[[#This Row],[Месяц]],1)=D1156),F1156,0)</f>
        <v>0</v>
      </c>
      <c r="K1155" s="8">
        <f>IF(AND(Таблицаx_2[[#This Row],[Месяц окончания]]=Таблицаx_2[[#This Row],[Месяц]],Таблицаx_2[[#This Row],[id]]=A1156,EDATE(Таблицаx_2[[#This Row],[Месяц]],2)=D1156),F1156,0)</f>
        <v>0</v>
      </c>
    </row>
    <row r="1156" spans="1:11" ht="12.75" hidden="1" customHeight="1" x14ac:dyDescent="0.2">
      <c r="A1156" s="8">
        <v>822</v>
      </c>
      <c r="B1156" s="8" t="s">
        <v>45</v>
      </c>
      <c r="C1156" s="8" t="s">
        <v>4</v>
      </c>
      <c r="D1156" s="12">
        <v>45170</v>
      </c>
      <c r="E1156" s="8">
        <v>38013.75</v>
      </c>
      <c r="F1156" s="10">
        <f>IF(ISTEXT(Таблицаx_2[[#This Row],[Значение]]), 0, Таблицаx_2[[#This Row],[Значение]])</f>
        <v>38013.75</v>
      </c>
      <c r="G1156" s="12">
        <v>45200</v>
      </c>
      <c r="H1156" s="10" t="str">
        <f>IFERROR(VLOOKUP(Таблицаx_2[[#This Row],[id]],prolongations!A:C,2,)," ")</f>
        <v>октябрь 2023</v>
      </c>
      <c r="I1156" s="10">
        <f>IF(Таблицаx_2[[#This Row],[Месяц окончания]]=Таблицаx_2[[#This Row],[Месяц]],Таблицаx_2[[#This Row],[Значения числа]],0)</f>
        <v>0</v>
      </c>
      <c r="J1156" s="8">
        <f>IF(AND(Таблицаx_2[[#This Row],[Месяц окончания]]=Таблицаx_2[[#This Row],[Месяц]],Таблицаx_2[[#This Row],[id]]=A1157,EDATE(Таблицаx_2[[#This Row],[Месяц]],1)=D1157),F1157,0)</f>
        <v>0</v>
      </c>
      <c r="K1156" s="8">
        <f>IF(AND(Таблицаx_2[[#This Row],[Месяц окончания]]=Таблицаx_2[[#This Row],[Месяц]],Таблицаx_2[[#This Row],[id]]=A1157,EDATE(Таблицаx_2[[#This Row],[Месяц]],2)=D1157),F1157,0)</f>
        <v>0</v>
      </c>
    </row>
    <row r="1157" spans="1:11" ht="12.75" hidden="1" customHeight="1" x14ac:dyDescent="0.2">
      <c r="A1157" s="8">
        <v>822</v>
      </c>
      <c r="B1157" s="8" t="s">
        <v>45</v>
      </c>
      <c r="C1157" s="8" t="s">
        <v>4</v>
      </c>
      <c r="D1157" s="12">
        <v>45200</v>
      </c>
      <c r="E1157" s="8">
        <v>49263.75</v>
      </c>
      <c r="F1157" s="10">
        <f>IF(ISTEXT(Таблицаx_2[[#This Row],[Значение]]), 0, Таблицаx_2[[#This Row],[Значение]])</f>
        <v>49263.75</v>
      </c>
      <c r="G1157" s="12">
        <v>45200</v>
      </c>
      <c r="H1157" s="10" t="str">
        <f>IFERROR(VLOOKUP(Таблицаx_2[[#This Row],[id]],prolongations!A:C,2,)," ")</f>
        <v>октябрь 2023</v>
      </c>
      <c r="I1157" s="10">
        <f>IF(Таблицаx_2[[#This Row],[Месяц окончания]]=Таблицаx_2[[#This Row],[Месяц]],Таблицаx_2[[#This Row],[Значения числа]],0)</f>
        <v>49263.75</v>
      </c>
      <c r="J1157" s="8">
        <f>IF(AND(Таблицаx_2[[#This Row],[Месяц окончания]]=Таблицаx_2[[#This Row],[Месяц]],Таблицаx_2[[#This Row],[id]]=A1158,EDATE(Таблицаx_2[[#This Row],[Месяц]],1)=D1158),F1158,0)</f>
        <v>0</v>
      </c>
      <c r="K1157" s="8">
        <f>IF(AND(Таблицаx_2[[#This Row],[Месяц окончания]]=Таблицаx_2[[#This Row],[Месяц]],Таблицаx_2[[#This Row],[id]]=A1158,EDATE(Таблицаx_2[[#This Row],[Месяц]],2)=D1158),F1158,0)</f>
        <v>43770</v>
      </c>
    </row>
    <row r="1158" spans="1:11" ht="12.75" hidden="1" customHeight="1" x14ac:dyDescent="0.2">
      <c r="A1158" s="8">
        <v>822</v>
      </c>
      <c r="B1158" s="8" t="s">
        <v>45</v>
      </c>
      <c r="C1158" s="8" t="s">
        <v>4</v>
      </c>
      <c r="D1158" s="12">
        <v>45261</v>
      </c>
      <c r="E1158" s="8">
        <v>43770</v>
      </c>
      <c r="F1158" s="10">
        <f>IF(ISTEXT(Таблицаx_2[[#This Row],[Значение]]), 0, Таблицаx_2[[#This Row],[Значение]])</f>
        <v>43770</v>
      </c>
      <c r="G1158" s="12">
        <v>45200</v>
      </c>
      <c r="H1158" s="10" t="str">
        <f>IFERROR(VLOOKUP(Таблицаx_2[[#This Row],[id]],prolongations!A:C,2,)," ")</f>
        <v>октябрь 2023</v>
      </c>
      <c r="I1158" s="10">
        <f>IF(Таблицаx_2[[#This Row],[Месяц окончания]]=Таблицаx_2[[#This Row],[Месяц]],Таблицаx_2[[#This Row],[Значения числа]],0)</f>
        <v>0</v>
      </c>
      <c r="J1158" s="8">
        <f>IF(AND(Таблицаx_2[[#This Row],[Месяц окончания]]=Таблицаx_2[[#This Row],[Месяц]],Таблицаx_2[[#This Row],[id]]=A1159,EDATE(Таблицаx_2[[#This Row],[Месяц]],1)=D1159),F1159,0)</f>
        <v>0</v>
      </c>
      <c r="K1158" s="8">
        <f>IF(AND(Таблицаx_2[[#This Row],[Месяц окончания]]=Таблицаx_2[[#This Row],[Месяц]],Таблицаx_2[[#This Row],[id]]=A1159,EDATE(Таблицаx_2[[#This Row],[Месяц]],2)=D1159),F1159,0)</f>
        <v>0</v>
      </c>
    </row>
    <row r="1159" spans="1:11" ht="12.75" hidden="1" customHeight="1" x14ac:dyDescent="0.2">
      <c r="A1159" s="8">
        <v>822</v>
      </c>
      <c r="B1159" s="8" t="s">
        <v>45</v>
      </c>
      <c r="C1159" s="8" t="s">
        <v>4</v>
      </c>
      <c r="D1159" s="12">
        <v>45292</v>
      </c>
      <c r="E1159" s="8">
        <v>43770</v>
      </c>
      <c r="F1159" s="10">
        <f>IF(ISTEXT(Таблицаx_2[[#This Row],[Значение]]), 0, Таблицаx_2[[#This Row],[Значение]])</f>
        <v>43770</v>
      </c>
      <c r="G1159" s="12">
        <v>45200</v>
      </c>
      <c r="H1159" s="10" t="str">
        <f>IFERROR(VLOOKUP(Таблицаx_2[[#This Row],[id]],prolongations!A:C,2,)," ")</f>
        <v>октябрь 2023</v>
      </c>
      <c r="I1159" s="10">
        <f>IF(Таблицаx_2[[#This Row],[Месяц окончания]]=Таблицаx_2[[#This Row],[Месяц]],Таблицаx_2[[#This Row],[Значения числа]],0)</f>
        <v>0</v>
      </c>
      <c r="J1159" s="8">
        <f>IF(AND(Таблицаx_2[[#This Row],[Месяц окончания]]=Таблицаx_2[[#This Row],[Месяц]],Таблицаx_2[[#This Row],[id]]=A1160,EDATE(Таблицаx_2[[#This Row],[Месяц]],1)=D1160),F1160,0)</f>
        <v>0</v>
      </c>
      <c r="K1159" s="8">
        <f>IF(AND(Таблицаx_2[[#This Row],[Месяц окончания]]=Таблицаx_2[[#This Row],[Месяц]],Таблицаx_2[[#This Row],[id]]=A1160,EDATE(Таблицаx_2[[#This Row],[Месяц]],2)=D1160),F1160,0)</f>
        <v>0</v>
      </c>
    </row>
    <row r="1160" spans="1:11" ht="12.75" hidden="1" customHeight="1" x14ac:dyDescent="0.2">
      <c r="A1160" s="8">
        <v>822</v>
      </c>
      <c r="B1160" s="8" t="s">
        <v>45</v>
      </c>
      <c r="C1160" s="8" t="s">
        <v>4</v>
      </c>
      <c r="D1160" s="12">
        <v>45323</v>
      </c>
      <c r="E1160" s="8">
        <v>43770</v>
      </c>
      <c r="F1160" s="10">
        <f>IF(ISTEXT(Таблицаx_2[[#This Row],[Значение]]), 0, Таблицаx_2[[#This Row],[Значение]])</f>
        <v>43770</v>
      </c>
      <c r="G1160" s="12">
        <v>45200</v>
      </c>
      <c r="H1160" s="10" t="str">
        <f>IFERROR(VLOOKUP(Таблицаx_2[[#This Row],[id]],prolongations!A:C,2,)," ")</f>
        <v>октябрь 2023</v>
      </c>
      <c r="I1160" s="10">
        <f>IF(Таблицаx_2[[#This Row],[Месяц окончания]]=Таблицаx_2[[#This Row],[Месяц]],Таблицаx_2[[#This Row],[Значения числа]],0)</f>
        <v>0</v>
      </c>
      <c r="J1160" s="8">
        <f>IF(AND(Таблицаx_2[[#This Row],[Месяц окончания]]=Таблицаx_2[[#This Row],[Месяц]],Таблицаx_2[[#This Row],[id]]=A1161,EDATE(Таблицаx_2[[#This Row],[Месяц]],1)=D1161),F1161,0)</f>
        <v>0</v>
      </c>
      <c r="K1160" s="8">
        <f>IF(AND(Таблицаx_2[[#This Row],[Месяц окончания]]=Таблицаx_2[[#This Row],[Месяц]],Таблицаx_2[[#This Row],[id]]=A1161,EDATE(Таблицаx_2[[#This Row],[Месяц]],2)=D1161),F1161,0)</f>
        <v>0</v>
      </c>
    </row>
    <row r="1161" spans="1:11" ht="12.75" hidden="1" customHeight="1" x14ac:dyDescent="0.2">
      <c r="A1161" s="8">
        <v>822</v>
      </c>
      <c r="B1161" s="8" t="s">
        <v>47</v>
      </c>
      <c r="C1161" s="8" t="s">
        <v>4</v>
      </c>
      <c r="D1161" s="12">
        <v>45047</v>
      </c>
      <c r="E1161" s="8">
        <v>50085</v>
      </c>
      <c r="F1161" s="10">
        <f>IF(ISTEXT(Таблицаx_2[[#This Row],[Значение]]), 0, Таблицаx_2[[#This Row],[Значение]])</f>
        <v>50085</v>
      </c>
      <c r="G1161" s="12">
        <v>45200</v>
      </c>
      <c r="H1161" s="10" t="str">
        <f>IFERROR(VLOOKUP(Таблицаx_2[[#This Row],[id]],prolongations!A:C,2,)," ")</f>
        <v>октябрь 2023</v>
      </c>
      <c r="I1161" s="10">
        <f>IF(Таблицаx_2[[#This Row],[Месяц окончания]]=Таблицаx_2[[#This Row],[Месяц]],Таблицаx_2[[#This Row],[Значения числа]],0)</f>
        <v>0</v>
      </c>
      <c r="J1161" s="8">
        <f>IF(AND(Таблицаx_2[[#This Row],[Месяц окончания]]=Таблицаx_2[[#This Row],[Месяц]],Таблицаx_2[[#This Row],[id]]=A1162,EDATE(Таблицаx_2[[#This Row],[Месяц]],1)=D1162),F1162,0)</f>
        <v>0</v>
      </c>
      <c r="K1161" s="8">
        <f>IF(AND(Таблицаx_2[[#This Row],[Месяц окончания]]=Таблицаx_2[[#This Row],[Месяц]],Таблицаx_2[[#This Row],[id]]=A1162,EDATE(Таблицаx_2[[#This Row],[Месяц]],2)=D1162),F1162,0)</f>
        <v>0</v>
      </c>
    </row>
    <row r="1162" spans="1:11" ht="12.75" hidden="1" customHeight="1" x14ac:dyDescent="0.2">
      <c r="A1162" s="8">
        <v>822</v>
      </c>
      <c r="B1162" s="8" t="s">
        <v>47</v>
      </c>
      <c r="C1162" s="8" t="s">
        <v>4</v>
      </c>
      <c r="D1162" s="12">
        <v>45078</v>
      </c>
      <c r="E1162" s="8">
        <v>38013.75</v>
      </c>
      <c r="F1162" s="10">
        <f>IF(ISTEXT(Таблицаx_2[[#This Row],[Значение]]), 0, Таблицаx_2[[#This Row],[Значение]])</f>
        <v>38013.75</v>
      </c>
      <c r="G1162" s="12">
        <v>45200</v>
      </c>
      <c r="H1162" s="10" t="str">
        <f>IFERROR(VLOOKUP(Таблицаx_2[[#This Row],[id]],prolongations!A:C,2,)," ")</f>
        <v>октябрь 2023</v>
      </c>
      <c r="I1162" s="10">
        <f>IF(Таблицаx_2[[#This Row],[Месяц окончания]]=Таблицаx_2[[#This Row],[Месяц]],Таблицаx_2[[#This Row],[Значения числа]],0)</f>
        <v>0</v>
      </c>
      <c r="J1162" s="8">
        <f>IF(AND(Таблицаx_2[[#This Row],[Месяц окончания]]=Таблицаx_2[[#This Row],[Месяц]],Таблицаx_2[[#This Row],[id]]=A1163,EDATE(Таблицаx_2[[#This Row],[Месяц]],1)=D1163),F1163,0)</f>
        <v>0</v>
      </c>
      <c r="K1162" s="8">
        <f>IF(AND(Таблицаx_2[[#This Row],[Месяц окончания]]=Таблицаx_2[[#This Row],[Месяц]],Таблицаx_2[[#This Row],[id]]=A1163,EDATE(Таблицаx_2[[#This Row],[Месяц]],2)=D1163),F1163,0)</f>
        <v>0</v>
      </c>
    </row>
    <row r="1163" spans="1:11" ht="12.75" hidden="1" customHeight="1" x14ac:dyDescent="0.2">
      <c r="A1163" s="8">
        <v>822</v>
      </c>
      <c r="B1163" s="8" t="s">
        <v>47</v>
      </c>
      <c r="C1163" s="8" t="s">
        <v>4</v>
      </c>
      <c r="D1163" s="12">
        <v>45108</v>
      </c>
      <c r="E1163" s="8">
        <v>49263.75</v>
      </c>
      <c r="F1163" s="10">
        <f>IF(ISTEXT(Таблицаx_2[[#This Row],[Значение]]), 0, Таблицаx_2[[#This Row],[Значение]])</f>
        <v>49263.75</v>
      </c>
      <c r="G1163" s="12">
        <v>45200</v>
      </c>
      <c r="H1163" s="10" t="str">
        <f>IFERROR(VLOOKUP(Таблицаx_2[[#This Row],[id]],prolongations!A:C,2,)," ")</f>
        <v>октябрь 2023</v>
      </c>
      <c r="I1163" s="10">
        <f>IF(Таблицаx_2[[#This Row],[Месяц окончания]]=Таблицаx_2[[#This Row],[Месяц]],Таблицаx_2[[#This Row],[Значения числа]],0)</f>
        <v>0</v>
      </c>
      <c r="J1163" s="8">
        <f>IF(AND(Таблицаx_2[[#This Row],[Месяц окончания]]=Таблицаx_2[[#This Row],[Месяц]],Таблицаx_2[[#This Row],[id]]=A1164,EDATE(Таблицаx_2[[#This Row],[Месяц]],1)=D1164),F1164,0)</f>
        <v>0</v>
      </c>
      <c r="K1163" s="8">
        <f>IF(AND(Таблицаx_2[[#This Row],[Месяц окончания]]=Таблицаx_2[[#This Row],[Месяц]],Таблицаx_2[[#This Row],[id]]=A1164,EDATE(Таблицаx_2[[#This Row],[Месяц]],2)=D1164),F1164,0)</f>
        <v>0</v>
      </c>
    </row>
    <row r="1164" spans="1:11" ht="12.75" hidden="1" customHeight="1" x14ac:dyDescent="0.2">
      <c r="A1164" s="8">
        <v>822</v>
      </c>
      <c r="B1164" s="8" t="s">
        <v>47</v>
      </c>
      <c r="C1164" s="8" t="s">
        <v>4</v>
      </c>
      <c r="D1164" s="12">
        <v>45139</v>
      </c>
      <c r="E1164" s="8">
        <v>38227.5</v>
      </c>
      <c r="F1164" s="10">
        <f>IF(ISTEXT(Таблицаx_2[[#This Row],[Значение]]), 0, Таблицаx_2[[#This Row],[Значение]])</f>
        <v>38227.5</v>
      </c>
      <c r="G1164" s="12">
        <v>45200</v>
      </c>
      <c r="H1164" s="10" t="str">
        <f>IFERROR(VLOOKUP(Таблицаx_2[[#This Row],[id]],prolongations!A:C,2,)," ")</f>
        <v>октябрь 2023</v>
      </c>
      <c r="I1164" s="10">
        <f>IF(Таблицаx_2[[#This Row],[Месяц окончания]]=Таблицаx_2[[#This Row],[Месяц]],Таблицаx_2[[#This Row],[Значения числа]],0)</f>
        <v>0</v>
      </c>
      <c r="J1164" s="8">
        <f>IF(AND(Таблицаx_2[[#This Row],[Месяц окончания]]=Таблицаx_2[[#This Row],[Месяц]],Таблицаx_2[[#This Row],[id]]=A1165,EDATE(Таблицаx_2[[#This Row],[Месяц]],1)=D1165),F1165,0)</f>
        <v>0</v>
      </c>
      <c r="K1164" s="8">
        <f>IF(AND(Таблицаx_2[[#This Row],[Месяц окончания]]=Таблицаx_2[[#This Row],[Месяц]],Таблицаx_2[[#This Row],[id]]=A1165,EDATE(Таблицаx_2[[#This Row],[Месяц]],2)=D1165),F1165,0)</f>
        <v>0</v>
      </c>
    </row>
    <row r="1165" spans="1:11" ht="12.75" hidden="1" customHeight="1" x14ac:dyDescent="0.2">
      <c r="A1165" s="8">
        <v>822</v>
      </c>
      <c r="B1165" s="8" t="s">
        <v>47</v>
      </c>
      <c r="C1165" s="8" t="s">
        <v>4</v>
      </c>
      <c r="D1165" s="12">
        <v>45170</v>
      </c>
      <c r="E1165" s="8">
        <v>38013.75</v>
      </c>
      <c r="F1165" s="10">
        <f>IF(ISTEXT(Таблицаx_2[[#This Row],[Значение]]), 0, Таблицаx_2[[#This Row],[Значение]])</f>
        <v>38013.75</v>
      </c>
      <c r="G1165" s="12">
        <v>45200</v>
      </c>
      <c r="H1165" s="10" t="str">
        <f>IFERROR(VLOOKUP(Таблицаx_2[[#This Row],[id]],prolongations!A:C,2,)," ")</f>
        <v>октябрь 2023</v>
      </c>
      <c r="I1165" s="10">
        <f>IF(Таблицаx_2[[#This Row],[Месяц окончания]]=Таблицаx_2[[#This Row],[Месяц]],Таблицаx_2[[#This Row],[Значения числа]],0)</f>
        <v>0</v>
      </c>
      <c r="J1165" s="8">
        <f>IF(AND(Таблицаx_2[[#This Row],[Месяц окончания]]=Таблицаx_2[[#This Row],[Месяц]],Таблицаx_2[[#This Row],[id]]=A1166,EDATE(Таблицаx_2[[#This Row],[Месяц]],1)=D1166),F1166,0)</f>
        <v>0</v>
      </c>
      <c r="K1165" s="8">
        <f>IF(AND(Таблицаx_2[[#This Row],[Месяц окончания]]=Таблицаx_2[[#This Row],[Месяц]],Таблицаx_2[[#This Row],[id]]=A1166,EDATE(Таблицаx_2[[#This Row],[Месяц]],2)=D1166),F1166,0)</f>
        <v>0</v>
      </c>
    </row>
    <row r="1166" spans="1:11" ht="12.75" hidden="1" customHeight="1" x14ac:dyDescent="0.2">
      <c r="A1166" s="8">
        <v>822</v>
      </c>
      <c r="B1166" s="8" t="s">
        <v>47</v>
      </c>
      <c r="C1166" s="8" t="s">
        <v>4</v>
      </c>
      <c r="D1166" s="12">
        <v>45200</v>
      </c>
      <c r="E1166" s="8">
        <v>49263.75</v>
      </c>
      <c r="F1166" s="10">
        <f>IF(ISTEXT(Таблицаx_2[[#This Row],[Значение]]), 0, Таблицаx_2[[#This Row],[Значение]])</f>
        <v>49263.75</v>
      </c>
      <c r="G1166" s="12">
        <v>45200</v>
      </c>
      <c r="H1166" s="10" t="str">
        <f>IFERROR(VLOOKUP(Таблицаx_2[[#This Row],[id]],prolongations!A:C,2,)," ")</f>
        <v>октябрь 2023</v>
      </c>
      <c r="I1166" s="10">
        <f>IF(Таблицаx_2[[#This Row],[Месяц окончания]]=Таблицаx_2[[#This Row],[Месяц]],Таблицаx_2[[#This Row],[Значения числа]],0)</f>
        <v>49263.75</v>
      </c>
      <c r="J1166" s="8">
        <f>IF(AND(Таблицаx_2[[#This Row],[Месяц окончания]]=Таблицаx_2[[#This Row],[Месяц]],Таблицаx_2[[#This Row],[id]]=A1167,EDATE(Таблицаx_2[[#This Row],[Месяц]],1)=D1167),F1167,0)</f>
        <v>0</v>
      </c>
      <c r="K1166" s="8">
        <f>IF(AND(Таблицаx_2[[#This Row],[Месяц окончания]]=Таблицаx_2[[#This Row],[Месяц]],Таблицаx_2[[#This Row],[id]]=A1167,EDATE(Таблицаx_2[[#This Row],[Месяц]],2)=D1167),F1167,0)</f>
        <v>43770</v>
      </c>
    </row>
    <row r="1167" spans="1:11" ht="12.75" hidden="1" customHeight="1" x14ac:dyDescent="0.2">
      <c r="A1167" s="8">
        <v>822</v>
      </c>
      <c r="B1167" s="8" t="s">
        <v>47</v>
      </c>
      <c r="C1167" s="8" t="s">
        <v>4</v>
      </c>
      <c r="D1167" s="12">
        <v>45261</v>
      </c>
      <c r="E1167" s="8">
        <v>43770</v>
      </c>
      <c r="F1167" s="10">
        <f>IF(ISTEXT(Таблицаx_2[[#This Row],[Значение]]), 0, Таблицаx_2[[#This Row],[Значение]])</f>
        <v>43770</v>
      </c>
      <c r="G1167" s="12">
        <v>45200</v>
      </c>
      <c r="H1167" s="10" t="str">
        <f>IFERROR(VLOOKUP(Таблицаx_2[[#This Row],[id]],prolongations!A:C,2,)," ")</f>
        <v>октябрь 2023</v>
      </c>
      <c r="I1167" s="10">
        <f>IF(Таблицаx_2[[#This Row],[Месяц окончания]]=Таблицаx_2[[#This Row],[Месяц]],Таблицаx_2[[#This Row],[Значения числа]],0)</f>
        <v>0</v>
      </c>
      <c r="J1167" s="8">
        <f>IF(AND(Таблицаx_2[[#This Row],[Месяц окончания]]=Таблицаx_2[[#This Row],[Месяц]],Таблицаx_2[[#This Row],[id]]=A1168,EDATE(Таблицаx_2[[#This Row],[Месяц]],1)=D1168),F1168,0)</f>
        <v>0</v>
      </c>
      <c r="K1167" s="8">
        <f>IF(AND(Таблицаx_2[[#This Row],[Месяц окончания]]=Таблицаx_2[[#This Row],[Месяц]],Таблицаx_2[[#This Row],[id]]=A1168,EDATE(Таблицаx_2[[#This Row],[Месяц]],2)=D1168),F1168,0)</f>
        <v>0</v>
      </c>
    </row>
    <row r="1168" spans="1:11" ht="12.75" hidden="1" customHeight="1" x14ac:dyDescent="0.2">
      <c r="A1168" s="8">
        <v>822</v>
      </c>
      <c r="B1168" s="8" t="s">
        <v>47</v>
      </c>
      <c r="C1168" s="8" t="s">
        <v>4</v>
      </c>
      <c r="D1168" s="12">
        <v>45292</v>
      </c>
      <c r="E1168" s="8">
        <v>43770</v>
      </c>
      <c r="F1168" s="10">
        <f>IF(ISTEXT(Таблицаx_2[[#This Row],[Значение]]), 0, Таблицаx_2[[#This Row],[Значение]])</f>
        <v>43770</v>
      </c>
      <c r="G1168" s="12">
        <v>45200</v>
      </c>
      <c r="H1168" s="10" t="str">
        <f>IFERROR(VLOOKUP(Таблицаx_2[[#This Row],[id]],prolongations!A:C,2,)," ")</f>
        <v>октябрь 2023</v>
      </c>
      <c r="I1168" s="10">
        <f>IF(Таблицаx_2[[#This Row],[Месяц окончания]]=Таблицаx_2[[#This Row],[Месяц]],Таблицаx_2[[#This Row],[Значения числа]],0)</f>
        <v>0</v>
      </c>
      <c r="J1168" s="8">
        <f>IF(AND(Таблицаx_2[[#This Row],[Месяц окончания]]=Таблицаx_2[[#This Row],[Месяц]],Таблицаx_2[[#This Row],[id]]=A1169,EDATE(Таблицаx_2[[#This Row],[Месяц]],1)=D1169),F1169,0)</f>
        <v>0</v>
      </c>
      <c r="K1168" s="8">
        <f>IF(AND(Таблицаx_2[[#This Row],[Месяц окончания]]=Таблицаx_2[[#This Row],[Месяц]],Таблицаx_2[[#This Row],[id]]=A1169,EDATE(Таблицаx_2[[#This Row],[Месяц]],2)=D1169),F1169,0)</f>
        <v>0</v>
      </c>
    </row>
    <row r="1169" spans="1:11" ht="12.75" hidden="1" customHeight="1" x14ac:dyDescent="0.2">
      <c r="A1169" s="8">
        <v>822</v>
      </c>
      <c r="B1169" s="8" t="s">
        <v>47</v>
      </c>
      <c r="C1169" s="8" t="s">
        <v>4</v>
      </c>
      <c r="D1169" s="12">
        <v>45323</v>
      </c>
      <c r="E1169" s="8">
        <v>43770</v>
      </c>
      <c r="F1169" s="10">
        <f>IF(ISTEXT(Таблицаx_2[[#This Row],[Значение]]), 0, Таблицаx_2[[#This Row],[Значение]])</f>
        <v>43770</v>
      </c>
      <c r="G1169" s="12">
        <v>45200</v>
      </c>
      <c r="H1169" s="10" t="str">
        <f>IFERROR(VLOOKUP(Таблицаx_2[[#This Row],[id]],prolongations!A:C,2,)," ")</f>
        <v>октябрь 2023</v>
      </c>
      <c r="I1169" s="10">
        <f>IF(Таблицаx_2[[#This Row],[Месяц окончания]]=Таблицаx_2[[#This Row],[Месяц]],Таблицаx_2[[#This Row],[Значения числа]],0)</f>
        <v>0</v>
      </c>
      <c r="J1169" s="8">
        <f>IF(AND(Таблицаx_2[[#This Row],[Месяц окончания]]=Таблицаx_2[[#This Row],[Месяц]],Таблицаx_2[[#This Row],[id]]=A1170,EDATE(Таблицаx_2[[#This Row],[Месяц]],1)=D1170),F1170,0)</f>
        <v>0</v>
      </c>
      <c r="K1169" s="8">
        <f>IF(AND(Таблицаx_2[[#This Row],[Месяц окончания]]=Таблицаx_2[[#This Row],[Месяц]],Таблицаx_2[[#This Row],[id]]=A1170,EDATE(Таблицаx_2[[#This Row],[Месяц]],2)=D1170),F1170,0)</f>
        <v>0</v>
      </c>
    </row>
    <row r="1170" spans="1:11" ht="12.75" hidden="1" customHeight="1" x14ac:dyDescent="0.2">
      <c r="A1170" s="8">
        <v>935</v>
      </c>
      <c r="B1170" s="8"/>
      <c r="C1170" s="8" t="s">
        <v>6</v>
      </c>
      <c r="D1170" s="12">
        <v>45200</v>
      </c>
      <c r="E1170" s="8">
        <v>190000</v>
      </c>
      <c r="F1170" s="10">
        <f>IF(ISTEXT(Таблицаx_2[[#This Row],[Значение]]), 0, Таблицаx_2[[#This Row],[Значение]])</f>
        <v>190000</v>
      </c>
      <c r="G1170" s="12">
        <v>45200</v>
      </c>
      <c r="H1170" s="10" t="str">
        <f>IFERROR(VLOOKUP(Таблицаx_2[[#This Row],[id]],prolongations!A:C,2,)," ")</f>
        <v>октябрь 2023</v>
      </c>
      <c r="I1170" s="10">
        <f>IF(Таблицаx_2[[#This Row],[Месяц окончания]]=Таблицаx_2[[#This Row],[Месяц]],Таблицаx_2[[#This Row],[Значения числа]],0)</f>
        <v>190000</v>
      </c>
      <c r="J1170" s="8">
        <f>IF(AND(Таблицаx_2[[#This Row],[Месяц окончания]]=Таблицаx_2[[#This Row],[Месяц]],Таблицаx_2[[#This Row],[id]]=A1171,EDATE(Таблицаx_2[[#This Row],[Месяц]],1)=D1171),F1171,0)</f>
        <v>0</v>
      </c>
      <c r="K1170" s="8">
        <f>IF(AND(Таблицаx_2[[#This Row],[Месяц окончания]]=Таблицаx_2[[#This Row],[Месяц]],Таблицаx_2[[#This Row],[id]]=A1171,EDATE(Таблицаx_2[[#This Row],[Месяц]],2)=D1171),F1171,0)</f>
        <v>0</v>
      </c>
    </row>
    <row r="1171" spans="1:11" ht="12.75" hidden="1" customHeight="1" x14ac:dyDescent="0.2">
      <c r="A1171" s="8">
        <v>768</v>
      </c>
      <c r="B1171" s="8"/>
      <c r="C1171" s="8" t="s">
        <v>10</v>
      </c>
      <c r="D1171" s="12">
        <v>44927</v>
      </c>
      <c r="E1171" s="8">
        <v>33685</v>
      </c>
      <c r="F1171" s="10">
        <f>IF(ISTEXT(Таблицаx_2[[#This Row],[Значение]]), 0, Таблицаx_2[[#This Row],[Значение]])</f>
        <v>33685</v>
      </c>
      <c r="G1171" s="12">
        <v>44986</v>
      </c>
      <c r="H1171" s="10" t="str">
        <f>IFERROR(VLOOKUP(Таблицаx_2[[#This Row],[id]],prolongations!A:C,2,)," ")</f>
        <v>март 2023</v>
      </c>
      <c r="I1171" s="10">
        <f>IF(Таблицаx_2[[#This Row],[Месяц окончания]]=Таблицаx_2[[#This Row],[Месяц]],Таблицаx_2[[#This Row],[Значения числа]],0)</f>
        <v>0</v>
      </c>
      <c r="J1171" s="8">
        <f>IF(AND(Таблицаx_2[[#This Row],[Месяц окончания]]=Таблицаx_2[[#This Row],[Месяц]],Таблицаx_2[[#This Row],[id]]=A1172,EDATE(Таблицаx_2[[#This Row],[Месяц]],1)=D1172),F1172,0)</f>
        <v>0</v>
      </c>
      <c r="K1171" s="8">
        <f>IF(AND(Таблицаx_2[[#This Row],[Месяц окончания]]=Таблицаx_2[[#This Row],[Месяц]],Таблицаx_2[[#This Row],[id]]=A1172,EDATE(Таблицаx_2[[#This Row],[Месяц]],2)=D1172),F1172,0)</f>
        <v>0</v>
      </c>
    </row>
    <row r="1172" spans="1:11" ht="12.75" hidden="1" customHeight="1" x14ac:dyDescent="0.2">
      <c r="A1172" s="8">
        <v>768</v>
      </c>
      <c r="B1172" s="8"/>
      <c r="C1172" s="8" t="s">
        <v>10</v>
      </c>
      <c r="D1172" s="12">
        <v>44958</v>
      </c>
      <c r="E1172" s="8">
        <v>33685</v>
      </c>
      <c r="F1172" s="10">
        <f>IF(ISTEXT(Таблицаx_2[[#This Row],[Значение]]), 0, Таблицаx_2[[#This Row],[Значение]])</f>
        <v>33685</v>
      </c>
      <c r="G1172" s="12">
        <v>44986</v>
      </c>
      <c r="H1172" s="10" t="str">
        <f>IFERROR(VLOOKUP(Таблицаx_2[[#This Row],[id]],prolongations!A:C,2,)," ")</f>
        <v>март 2023</v>
      </c>
      <c r="I1172" s="10">
        <f>IF(Таблицаx_2[[#This Row],[Месяц окончания]]=Таблицаx_2[[#This Row],[Месяц]],Таблицаx_2[[#This Row],[Значения числа]],0)</f>
        <v>0</v>
      </c>
      <c r="J1172" s="8">
        <f>IF(AND(Таблицаx_2[[#This Row],[Месяц окончания]]=Таблицаx_2[[#This Row],[Месяц]],Таблицаx_2[[#This Row],[id]]=A1173,EDATE(Таблицаx_2[[#This Row],[Месяц]],1)=D1173),F1173,0)</f>
        <v>0</v>
      </c>
      <c r="K1172" s="8">
        <f>IF(AND(Таблицаx_2[[#This Row],[Месяц окончания]]=Таблицаx_2[[#This Row],[Месяц]],Таблицаx_2[[#This Row],[id]]=A1173,EDATE(Таблицаx_2[[#This Row],[Месяц]],2)=D1173),F1173,0)</f>
        <v>0</v>
      </c>
    </row>
    <row r="1173" spans="1:11" ht="12.75" hidden="1" customHeight="1" x14ac:dyDescent="0.2">
      <c r="A1173" s="8">
        <v>768</v>
      </c>
      <c r="B1173" s="8"/>
      <c r="C1173" s="8" t="s">
        <v>10</v>
      </c>
      <c r="D1173" s="12">
        <v>44986</v>
      </c>
      <c r="E1173" s="8">
        <v>33685</v>
      </c>
      <c r="F1173" s="10">
        <f>IF(ISTEXT(Таблицаx_2[[#This Row],[Значение]]), 0, Таблицаx_2[[#This Row],[Значение]])</f>
        <v>33685</v>
      </c>
      <c r="G1173" s="12">
        <v>44986</v>
      </c>
      <c r="H1173" s="10" t="str">
        <f>IFERROR(VLOOKUP(Таблицаx_2[[#This Row],[id]],prolongations!A:C,2,)," ")</f>
        <v>март 2023</v>
      </c>
      <c r="I1173" s="10">
        <f>IF(Таблицаx_2[[#This Row],[Месяц окончания]]=Таблицаx_2[[#This Row],[Месяц]],Таблицаx_2[[#This Row],[Значения числа]],0)</f>
        <v>33685</v>
      </c>
      <c r="J1173" s="8">
        <f>IF(AND(Таблицаx_2[[#This Row],[Месяц окончания]]=Таблицаx_2[[#This Row],[Месяц]],Таблицаx_2[[#This Row],[id]]=A1174,EDATE(Таблицаx_2[[#This Row],[Месяц]],1)=D1174),F1174,0)</f>
        <v>33685</v>
      </c>
      <c r="K1173" s="8">
        <f>IF(AND(Таблицаx_2[[#This Row],[Месяц окончания]]=Таблицаx_2[[#This Row],[Месяц]],Таблицаx_2[[#This Row],[id]]=A1174,EDATE(Таблицаx_2[[#This Row],[Месяц]],2)=D1174),F1174,0)</f>
        <v>0</v>
      </c>
    </row>
    <row r="1174" spans="1:11" ht="12.75" hidden="1" customHeight="1" x14ac:dyDescent="0.2">
      <c r="A1174" s="8">
        <v>768</v>
      </c>
      <c r="B1174" s="8"/>
      <c r="C1174" s="8" t="s">
        <v>10</v>
      </c>
      <c r="D1174" s="12">
        <v>45017</v>
      </c>
      <c r="E1174" s="8">
        <v>33685</v>
      </c>
      <c r="F1174" s="10">
        <f>IF(ISTEXT(Таблицаx_2[[#This Row],[Значение]]), 0, Таблицаx_2[[#This Row],[Значение]])</f>
        <v>33685</v>
      </c>
      <c r="G1174" s="12">
        <v>44986</v>
      </c>
      <c r="H1174" s="10" t="str">
        <f>IFERROR(VLOOKUP(Таблицаx_2[[#This Row],[id]],prolongations!A:C,2,)," ")</f>
        <v>март 2023</v>
      </c>
      <c r="I1174" s="10">
        <f>IF(Таблицаx_2[[#This Row],[Месяц окончания]]=Таблицаx_2[[#This Row],[Месяц]],Таблицаx_2[[#This Row],[Значения числа]],0)</f>
        <v>0</v>
      </c>
      <c r="J1174" s="8">
        <f>IF(AND(Таблицаx_2[[#This Row],[Месяц окончания]]=Таблицаx_2[[#This Row],[Месяц]],Таблицаx_2[[#This Row],[id]]=A1175,EDATE(Таблицаx_2[[#This Row],[Месяц]],1)=D1175),F1175,0)</f>
        <v>0</v>
      </c>
      <c r="K1174" s="8">
        <f>IF(AND(Таблицаx_2[[#This Row],[Месяц окончания]]=Таблицаx_2[[#This Row],[Месяц]],Таблицаx_2[[#This Row],[id]]=A1175,EDATE(Таблицаx_2[[#This Row],[Месяц]],2)=D1175),F1175,0)</f>
        <v>0</v>
      </c>
    </row>
    <row r="1175" spans="1:11" ht="12.75" hidden="1" customHeight="1" x14ac:dyDescent="0.2">
      <c r="A1175" s="8">
        <v>768</v>
      </c>
      <c r="B1175" s="8"/>
      <c r="C1175" s="8" t="s">
        <v>10</v>
      </c>
      <c r="D1175" s="12">
        <v>45047</v>
      </c>
      <c r="E1175" s="8">
        <v>33685</v>
      </c>
      <c r="F1175" s="10">
        <f>IF(ISTEXT(Таблицаx_2[[#This Row],[Значение]]), 0, Таблицаx_2[[#This Row],[Значение]])</f>
        <v>33685</v>
      </c>
      <c r="G1175" s="12">
        <v>44986</v>
      </c>
      <c r="H1175" s="10" t="str">
        <f>IFERROR(VLOOKUP(Таблицаx_2[[#This Row],[id]],prolongations!A:C,2,)," ")</f>
        <v>март 2023</v>
      </c>
      <c r="I1175" s="10">
        <f>IF(Таблицаx_2[[#This Row],[Месяц окончания]]=Таблицаx_2[[#This Row],[Месяц]],Таблицаx_2[[#This Row],[Значения числа]],0)</f>
        <v>0</v>
      </c>
      <c r="J1175" s="8">
        <f>IF(AND(Таблицаx_2[[#This Row],[Месяц окончания]]=Таблицаx_2[[#This Row],[Месяц]],Таблицаx_2[[#This Row],[id]]=A1176,EDATE(Таблицаx_2[[#This Row],[Месяц]],1)=D1176),F1176,0)</f>
        <v>0</v>
      </c>
      <c r="K1175" s="8">
        <f>IF(AND(Таблицаx_2[[#This Row],[Месяц окончания]]=Таблицаx_2[[#This Row],[Месяц]],Таблицаx_2[[#This Row],[id]]=A1176,EDATE(Таблицаx_2[[#This Row],[Месяц]],2)=D1176),F1176,0)</f>
        <v>0</v>
      </c>
    </row>
    <row r="1176" spans="1:11" ht="12.75" hidden="1" customHeight="1" x14ac:dyDescent="0.2">
      <c r="A1176" s="8">
        <v>768</v>
      </c>
      <c r="B1176" s="8"/>
      <c r="C1176" s="8" t="s">
        <v>10</v>
      </c>
      <c r="D1176" s="12">
        <v>45078</v>
      </c>
      <c r="E1176" s="8">
        <v>33685</v>
      </c>
      <c r="F1176" s="10">
        <f>IF(ISTEXT(Таблицаx_2[[#This Row],[Значение]]), 0, Таблицаx_2[[#This Row],[Значение]])</f>
        <v>33685</v>
      </c>
      <c r="G1176" s="12">
        <v>44986</v>
      </c>
      <c r="H1176" s="10" t="str">
        <f>IFERROR(VLOOKUP(Таблицаx_2[[#This Row],[id]],prolongations!A:C,2,)," ")</f>
        <v>март 2023</v>
      </c>
      <c r="I1176" s="10">
        <f>IF(Таблицаx_2[[#This Row],[Месяц окончания]]=Таблицаx_2[[#This Row],[Месяц]],Таблицаx_2[[#This Row],[Значения числа]],0)</f>
        <v>0</v>
      </c>
      <c r="J1176" s="8">
        <f>IF(AND(Таблицаx_2[[#This Row],[Месяц окончания]]=Таблицаx_2[[#This Row],[Месяц]],Таблицаx_2[[#This Row],[id]]=A1177,EDATE(Таблицаx_2[[#This Row],[Месяц]],1)=D1177),F1177,0)</f>
        <v>0</v>
      </c>
      <c r="K1176" s="8">
        <f>IF(AND(Таблицаx_2[[#This Row],[Месяц окончания]]=Таблицаx_2[[#This Row],[Месяц]],Таблицаx_2[[#This Row],[id]]=A1177,EDATE(Таблицаx_2[[#This Row],[Месяц]],2)=D1177),F1177,0)</f>
        <v>0</v>
      </c>
    </row>
    <row r="1177" spans="1:11" ht="12.75" hidden="1" customHeight="1" x14ac:dyDescent="0.2">
      <c r="A1177" s="8">
        <v>768</v>
      </c>
      <c r="B1177" s="8"/>
      <c r="C1177" s="8" t="s">
        <v>10</v>
      </c>
      <c r="D1177" s="12">
        <v>45139</v>
      </c>
      <c r="E1177" s="8">
        <v>52315</v>
      </c>
      <c r="F1177" s="10">
        <f>IF(ISTEXT(Таблицаx_2[[#This Row],[Значение]]), 0, Таблицаx_2[[#This Row],[Значение]])</f>
        <v>52315</v>
      </c>
      <c r="G1177" s="12">
        <v>44986</v>
      </c>
      <c r="H1177" s="10" t="str">
        <f>IFERROR(VLOOKUP(Таблицаx_2[[#This Row],[id]],prolongations!A:C,2,)," ")</f>
        <v>март 2023</v>
      </c>
      <c r="I1177" s="10">
        <f>IF(Таблицаx_2[[#This Row],[Месяц окончания]]=Таблицаx_2[[#This Row],[Месяц]],Таблицаx_2[[#This Row],[Значения числа]],0)</f>
        <v>0</v>
      </c>
      <c r="J1177" s="8">
        <f>IF(AND(Таблицаx_2[[#This Row],[Месяц окончания]]=Таблицаx_2[[#This Row],[Месяц]],Таблицаx_2[[#This Row],[id]]=A1178,EDATE(Таблицаx_2[[#This Row],[Месяц]],1)=D1178),F1178,0)</f>
        <v>0</v>
      </c>
      <c r="K1177" s="8">
        <f>IF(AND(Таблицаx_2[[#This Row],[Месяц окончания]]=Таблицаx_2[[#This Row],[Месяц]],Таблицаx_2[[#This Row],[id]]=A1178,EDATE(Таблицаx_2[[#This Row],[Месяц]],2)=D1178),F1178,0)</f>
        <v>0</v>
      </c>
    </row>
    <row r="1178" spans="1:11" ht="12.75" hidden="1" customHeight="1" x14ac:dyDescent="0.2">
      <c r="A1178" s="8">
        <v>768</v>
      </c>
      <c r="B1178" s="8"/>
      <c r="C1178" s="8" t="s">
        <v>10</v>
      </c>
      <c r="D1178" s="12">
        <v>45170</v>
      </c>
      <c r="E1178" s="8">
        <v>52315</v>
      </c>
      <c r="F1178" s="10">
        <f>IF(ISTEXT(Таблицаx_2[[#This Row],[Значение]]), 0, Таблицаx_2[[#This Row],[Значение]])</f>
        <v>52315</v>
      </c>
      <c r="G1178" s="12">
        <v>44986</v>
      </c>
      <c r="H1178" s="10" t="str">
        <f>IFERROR(VLOOKUP(Таблицаx_2[[#This Row],[id]],prolongations!A:C,2,)," ")</f>
        <v>март 2023</v>
      </c>
      <c r="I1178" s="10">
        <f>IF(Таблицаx_2[[#This Row],[Месяц окончания]]=Таблицаx_2[[#This Row],[Месяц]],Таблицаx_2[[#This Row],[Значения числа]],0)</f>
        <v>0</v>
      </c>
      <c r="J1178" s="8">
        <f>IF(AND(Таблицаx_2[[#This Row],[Месяц окончания]]=Таблицаx_2[[#This Row],[Месяц]],Таблицаx_2[[#This Row],[id]]=A1179,EDATE(Таблицаx_2[[#This Row],[Месяц]],1)=D1179),F1179,0)</f>
        <v>0</v>
      </c>
      <c r="K1178" s="8">
        <f>IF(AND(Таблицаx_2[[#This Row],[Месяц окончания]]=Таблицаx_2[[#This Row],[Месяц]],Таблицаx_2[[#This Row],[id]]=A1179,EDATE(Таблицаx_2[[#This Row],[Месяц]],2)=D1179),F1179,0)</f>
        <v>0</v>
      </c>
    </row>
    <row r="1179" spans="1:11" ht="12.75" hidden="1" customHeight="1" x14ac:dyDescent="0.2">
      <c r="A1179" s="8">
        <v>768</v>
      </c>
      <c r="B1179" s="8"/>
      <c r="C1179" s="8" t="s">
        <v>10</v>
      </c>
      <c r="D1179" s="12">
        <v>45200</v>
      </c>
      <c r="E1179" s="8">
        <v>23540</v>
      </c>
      <c r="F1179" s="10">
        <f>IF(ISTEXT(Таблицаx_2[[#This Row],[Значение]]), 0, Таблицаx_2[[#This Row],[Значение]])</f>
        <v>23540</v>
      </c>
      <c r="G1179" s="12">
        <v>44986</v>
      </c>
      <c r="H1179" s="10" t="str">
        <f>IFERROR(VLOOKUP(Таблицаx_2[[#This Row],[id]],prolongations!A:C,2,)," ")</f>
        <v>март 2023</v>
      </c>
      <c r="I1179" s="10">
        <f>IF(Таблицаx_2[[#This Row],[Месяц окончания]]=Таблицаx_2[[#This Row],[Месяц]],Таблицаx_2[[#This Row],[Значения числа]],0)</f>
        <v>0</v>
      </c>
      <c r="J1179" s="8">
        <f>IF(AND(Таблицаx_2[[#This Row],[Месяц окончания]]=Таблицаx_2[[#This Row],[Месяц]],Таблицаx_2[[#This Row],[id]]=A1180,EDATE(Таблицаx_2[[#This Row],[Месяц]],1)=D1180),F1180,0)</f>
        <v>0</v>
      </c>
      <c r="K1179" s="8">
        <f>IF(AND(Таблицаx_2[[#This Row],[Месяц окончания]]=Таблицаx_2[[#This Row],[Месяц]],Таблицаx_2[[#This Row],[id]]=A1180,EDATE(Таблицаx_2[[#This Row],[Месяц]],2)=D1180),F1180,0)</f>
        <v>0</v>
      </c>
    </row>
    <row r="1180" spans="1:11" ht="12.75" customHeight="1" x14ac:dyDescent="0.2">
      <c r="A1180" s="8">
        <v>931</v>
      </c>
      <c r="B1180" s="8"/>
      <c r="C1180" s="8" t="s">
        <v>10</v>
      </c>
      <c r="D1180" s="12">
        <v>45139</v>
      </c>
      <c r="E1180" s="8">
        <v>28145</v>
      </c>
      <c r="F1180" s="10">
        <f>IF(ISTEXT(Таблицаx_2[[#This Row],[Значение]]), 0, Таблицаx_2[[#This Row],[Значение]])</f>
        <v>28145</v>
      </c>
      <c r="G1180" s="12">
        <v>45200</v>
      </c>
      <c r="H1180" s="10" t="str">
        <f>IFERROR(VLOOKUP(Таблицаx_2[[#This Row],[id]],prolongations!A:C,2,)," ")</f>
        <v>октябрь 2023</v>
      </c>
      <c r="I1180" s="10">
        <f>IF(Таблицаx_2[[#This Row],[Месяц окончания]]=Таблицаx_2[[#This Row],[Месяц]],Таблицаx_2[[#This Row],[Значения числа]],0)</f>
        <v>0</v>
      </c>
      <c r="J1180" s="8">
        <f>IF(AND(Таблицаx_2[[#This Row],[Месяц окончания]]=Таблицаx_2[[#This Row],[Месяц]],Таблицаx_2[[#This Row],[id]]=A1181,EDATE(Таблицаx_2[[#This Row],[Месяц]],1)=D1181),F1181,0)</f>
        <v>0</v>
      </c>
      <c r="K1180" s="8">
        <f>IF(AND(Таблицаx_2[[#This Row],[Месяц окончания]]=Таблицаx_2[[#This Row],[Месяц]],Таблицаx_2[[#This Row],[id]]=A1181,EDATE(Таблицаx_2[[#This Row],[Месяц]],2)=D1181),F1181,0)</f>
        <v>0</v>
      </c>
    </row>
    <row r="1181" spans="1:11" ht="12.75" customHeight="1" x14ac:dyDescent="0.2">
      <c r="A1181" s="8">
        <v>931</v>
      </c>
      <c r="B1181" s="8"/>
      <c r="C1181" s="8" t="s">
        <v>10</v>
      </c>
      <c r="D1181" s="12">
        <v>45170</v>
      </c>
      <c r="E1181" s="8">
        <v>25270</v>
      </c>
      <c r="F1181" s="10">
        <f>IF(ISTEXT(Таблицаx_2[[#This Row],[Значение]]), 0, Таблицаx_2[[#This Row],[Значение]])</f>
        <v>25270</v>
      </c>
      <c r="G1181" s="12">
        <v>45200</v>
      </c>
      <c r="H1181" s="10" t="str">
        <f>IFERROR(VLOOKUP(Таблицаx_2[[#This Row],[id]],prolongations!A:C,2,)," ")</f>
        <v>октябрь 2023</v>
      </c>
      <c r="I1181" s="10">
        <f>IF(Таблицаx_2[[#This Row],[Месяц окончания]]=Таблицаx_2[[#This Row],[Месяц]],Таблицаx_2[[#This Row],[Значения числа]],0)</f>
        <v>0</v>
      </c>
      <c r="J1181" s="8">
        <f>IF(AND(Таблицаx_2[[#This Row],[Месяц окончания]]=Таблицаx_2[[#This Row],[Месяц]],Таблицаx_2[[#This Row],[id]]=A1182,EDATE(Таблицаx_2[[#This Row],[Месяц]],1)=D1182),F1182,0)</f>
        <v>0</v>
      </c>
      <c r="K1181" s="8">
        <f>IF(AND(Таблицаx_2[[#This Row],[Месяц окончания]]=Таблицаx_2[[#This Row],[Месяц]],Таблицаx_2[[#This Row],[id]]=A1182,EDATE(Таблицаx_2[[#This Row],[Месяц]],2)=D1182),F1182,0)</f>
        <v>0</v>
      </c>
    </row>
    <row r="1182" spans="1:11" ht="12.75" customHeight="1" x14ac:dyDescent="0.2">
      <c r="A1182" s="8">
        <v>931</v>
      </c>
      <c r="B1182" s="8"/>
      <c r="C1182" s="8" t="s">
        <v>10</v>
      </c>
      <c r="D1182" s="12">
        <v>45200</v>
      </c>
      <c r="E1182" s="8">
        <v>17775</v>
      </c>
      <c r="F1182" s="10">
        <f>IF(ISTEXT(Таблицаx_2[[#This Row],[Значение]]), 0, Таблицаx_2[[#This Row],[Значение]])</f>
        <v>17775</v>
      </c>
      <c r="G1182" s="12">
        <v>45200</v>
      </c>
      <c r="H1182" s="10" t="str">
        <f>IFERROR(VLOOKUP(Таблицаx_2[[#This Row],[id]],prolongations!A:C,2,)," ")</f>
        <v>октябрь 2023</v>
      </c>
      <c r="I1182" s="10">
        <f>IF(Таблицаx_2[[#This Row],[Месяц окончания]]=Таблицаx_2[[#This Row],[Месяц]],Таблицаx_2[[#This Row],[Значения числа]],0)</f>
        <v>17775</v>
      </c>
      <c r="J1182" s="8">
        <f>IF(AND(Таблицаx_2[[#This Row],[Месяц окончания]]=Таблицаx_2[[#This Row],[Месяц]],Таблицаx_2[[#This Row],[id]]=A1183,EDATE(Таблицаx_2[[#This Row],[Месяц]],1)=D1183),F1183,0)</f>
        <v>0</v>
      </c>
      <c r="K1182" s="8">
        <f>IF(AND(Таблицаx_2[[#This Row],[Месяц окончания]]=Таблицаx_2[[#This Row],[Месяц]],Таблицаx_2[[#This Row],[id]]=A1183,EDATE(Таблицаx_2[[#This Row],[Месяц]],2)=D1183),F1183,0)</f>
        <v>0</v>
      </c>
    </row>
    <row r="1183" spans="1:11" ht="12.75" hidden="1" customHeight="1" x14ac:dyDescent="0.2">
      <c r="A1183" s="8">
        <v>707</v>
      </c>
      <c r="B1183" s="8"/>
      <c r="C1183" s="8" t="s">
        <v>6</v>
      </c>
      <c r="D1183" s="12">
        <v>44866</v>
      </c>
      <c r="E1183" s="8">
        <v>47480</v>
      </c>
      <c r="F1183" s="10">
        <f>IF(ISTEXT(Таблицаx_2[[#This Row],[Значение]]), 0, Таблицаx_2[[#This Row],[Значение]])</f>
        <v>47480</v>
      </c>
      <c r="G1183" s="12">
        <v>45200</v>
      </c>
      <c r="H1183" s="10" t="str">
        <f>IFERROR(VLOOKUP(Таблицаx_2[[#This Row],[id]],prolongations!A:C,2,)," ")</f>
        <v>октябрь 2023</v>
      </c>
      <c r="I1183" s="10">
        <f>IF(Таблицаx_2[[#This Row],[Месяц окончания]]=Таблицаx_2[[#This Row],[Месяц]],Таблицаx_2[[#This Row],[Значения числа]],0)</f>
        <v>0</v>
      </c>
      <c r="J1183" s="8">
        <f>IF(AND(Таблицаx_2[[#This Row],[Месяц окончания]]=Таблицаx_2[[#This Row],[Месяц]],Таблицаx_2[[#This Row],[id]]=A1184,EDATE(Таблицаx_2[[#This Row],[Месяц]],1)=D1184),F1184,0)</f>
        <v>0</v>
      </c>
      <c r="K1183" s="8">
        <f>IF(AND(Таблицаx_2[[#This Row],[Месяц окончания]]=Таблицаx_2[[#This Row],[Месяц]],Таблицаx_2[[#This Row],[id]]=A1184,EDATE(Таблицаx_2[[#This Row],[Месяц]],2)=D1184),F1184,0)</f>
        <v>0</v>
      </c>
    </row>
    <row r="1184" spans="1:11" ht="12.75" hidden="1" customHeight="1" x14ac:dyDescent="0.2">
      <c r="A1184" s="8">
        <v>707</v>
      </c>
      <c r="B1184" s="8"/>
      <c r="C1184" s="8" t="s">
        <v>6</v>
      </c>
      <c r="D1184" s="12">
        <v>44896</v>
      </c>
      <c r="E1184" s="8">
        <v>57950</v>
      </c>
      <c r="F1184" s="10">
        <f>IF(ISTEXT(Таблицаx_2[[#This Row],[Значение]]), 0, Таблицаx_2[[#This Row],[Значение]])</f>
        <v>57950</v>
      </c>
      <c r="G1184" s="12">
        <v>45200</v>
      </c>
      <c r="H1184" s="10" t="str">
        <f>IFERROR(VLOOKUP(Таблицаx_2[[#This Row],[id]],prolongations!A:C,2,)," ")</f>
        <v>октябрь 2023</v>
      </c>
      <c r="I1184" s="10">
        <f>IF(Таблицаx_2[[#This Row],[Месяц окончания]]=Таблицаx_2[[#This Row],[Месяц]],Таблицаx_2[[#This Row],[Значения числа]],0)</f>
        <v>0</v>
      </c>
      <c r="J1184" s="8">
        <f>IF(AND(Таблицаx_2[[#This Row],[Месяц окончания]]=Таблицаx_2[[#This Row],[Месяц]],Таблицаx_2[[#This Row],[id]]=A1185,EDATE(Таблицаx_2[[#This Row],[Месяц]],1)=D1185),F1185,0)</f>
        <v>0</v>
      </c>
      <c r="K1184" s="8">
        <f>IF(AND(Таблицаx_2[[#This Row],[Месяц окончания]]=Таблицаx_2[[#This Row],[Месяц]],Таблицаx_2[[#This Row],[id]]=A1185,EDATE(Таблицаx_2[[#This Row],[Месяц]],2)=D1185),F1185,0)</f>
        <v>0</v>
      </c>
    </row>
    <row r="1185" spans="1:11" ht="12.75" hidden="1" customHeight="1" x14ac:dyDescent="0.2">
      <c r="A1185" s="8">
        <v>707</v>
      </c>
      <c r="B1185" s="8"/>
      <c r="C1185" s="8" t="s">
        <v>6</v>
      </c>
      <c r="D1185" s="12">
        <v>44927</v>
      </c>
      <c r="E1185" s="8">
        <v>65780</v>
      </c>
      <c r="F1185" s="10">
        <f>IF(ISTEXT(Таблицаx_2[[#This Row],[Значение]]), 0, Таблицаx_2[[#This Row],[Значение]])</f>
        <v>65780</v>
      </c>
      <c r="G1185" s="12">
        <v>45200</v>
      </c>
      <c r="H1185" s="10" t="str">
        <f>IFERROR(VLOOKUP(Таблицаx_2[[#This Row],[id]],prolongations!A:C,2,)," ")</f>
        <v>октябрь 2023</v>
      </c>
      <c r="I1185" s="10">
        <f>IF(Таблицаx_2[[#This Row],[Месяц окончания]]=Таблицаx_2[[#This Row],[Месяц]],Таблицаx_2[[#This Row],[Значения числа]],0)</f>
        <v>0</v>
      </c>
      <c r="J1185" s="8">
        <f>IF(AND(Таблицаx_2[[#This Row],[Месяц окончания]]=Таблицаx_2[[#This Row],[Месяц]],Таблицаx_2[[#This Row],[id]]=A1186,EDATE(Таблицаx_2[[#This Row],[Месяц]],1)=D1186),F1186,0)</f>
        <v>0</v>
      </c>
      <c r="K1185" s="8">
        <f>IF(AND(Таблицаx_2[[#This Row],[Месяц окончания]]=Таблицаx_2[[#This Row],[Месяц]],Таблицаx_2[[#This Row],[id]]=A1186,EDATE(Таблицаx_2[[#This Row],[Месяц]],2)=D1186),F1186,0)</f>
        <v>0</v>
      </c>
    </row>
    <row r="1186" spans="1:11" ht="12.75" hidden="1" customHeight="1" x14ac:dyDescent="0.2">
      <c r="A1186" s="8">
        <v>707</v>
      </c>
      <c r="B1186" s="8"/>
      <c r="C1186" s="8" t="s">
        <v>6</v>
      </c>
      <c r="D1186" s="12">
        <v>44958</v>
      </c>
      <c r="E1186" s="8">
        <v>61310</v>
      </c>
      <c r="F1186" s="10">
        <f>IF(ISTEXT(Таблицаx_2[[#This Row],[Значение]]), 0, Таблицаx_2[[#This Row],[Значение]])</f>
        <v>61310</v>
      </c>
      <c r="G1186" s="12">
        <v>45200</v>
      </c>
      <c r="H1186" s="10" t="str">
        <f>IFERROR(VLOOKUP(Таблицаx_2[[#This Row],[id]],prolongations!A:C,2,)," ")</f>
        <v>октябрь 2023</v>
      </c>
      <c r="I1186" s="10">
        <f>IF(Таблицаx_2[[#This Row],[Месяц окончания]]=Таблицаx_2[[#This Row],[Месяц]],Таблицаx_2[[#This Row],[Значения числа]],0)</f>
        <v>0</v>
      </c>
      <c r="J1186" s="8">
        <f>IF(AND(Таблицаx_2[[#This Row],[Месяц окончания]]=Таблицаx_2[[#This Row],[Месяц]],Таблицаx_2[[#This Row],[id]]=A1187,EDATE(Таблицаx_2[[#This Row],[Месяц]],1)=D1187),F1187,0)</f>
        <v>0</v>
      </c>
      <c r="K1186" s="8">
        <f>IF(AND(Таблицаx_2[[#This Row],[Месяц окончания]]=Таблицаx_2[[#This Row],[Месяц]],Таблицаx_2[[#This Row],[id]]=A1187,EDATE(Таблицаx_2[[#This Row],[Месяц]],2)=D1187),F1187,0)</f>
        <v>0</v>
      </c>
    </row>
    <row r="1187" spans="1:11" ht="12.75" hidden="1" customHeight="1" x14ac:dyDescent="0.2">
      <c r="A1187" s="8">
        <v>707</v>
      </c>
      <c r="B1187" s="8"/>
      <c r="C1187" s="8" t="s">
        <v>6</v>
      </c>
      <c r="D1187" s="12">
        <v>44986</v>
      </c>
      <c r="E1187" s="8">
        <v>65700</v>
      </c>
      <c r="F1187" s="10">
        <f>IF(ISTEXT(Таблицаx_2[[#This Row],[Значение]]), 0, Таблицаx_2[[#This Row],[Значение]])</f>
        <v>65700</v>
      </c>
      <c r="G1187" s="12">
        <v>45200</v>
      </c>
      <c r="H1187" s="10" t="str">
        <f>IFERROR(VLOOKUP(Таблицаx_2[[#This Row],[id]],prolongations!A:C,2,)," ")</f>
        <v>октябрь 2023</v>
      </c>
      <c r="I1187" s="10">
        <f>IF(Таблицаx_2[[#This Row],[Месяц окончания]]=Таблицаx_2[[#This Row],[Месяц]],Таблицаx_2[[#This Row],[Значения числа]],0)</f>
        <v>0</v>
      </c>
      <c r="J1187" s="8">
        <f>IF(AND(Таблицаx_2[[#This Row],[Месяц окончания]]=Таблицаx_2[[#This Row],[Месяц]],Таблицаx_2[[#This Row],[id]]=A1188,EDATE(Таблицаx_2[[#This Row],[Месяц]],1)=D1188),F1188,0)</f>
        <v>0</v>
      </c>
      <c r="K1187" s="8">
        <f>IF(AND(Таблицаx_2[[#This Row],[Месяц окончания]]=Таблицаx_2[[#This Row],[Месяц]],Таблицаx_2[[#This Row],[id]]=A1188,EDATE(Таблицаx_2[[#This Row],[Месяц]],2)=D1188),F1188,0)</f>
        <v>0</v>
      </c>
    </row>
    <row r="1188" spans="1:11" ht="12.75" hidden="1" customHeight="1" x14ac:dyDescent="0.2">
      <c r="A1188" s="8">
        <v>707</v>
      </c>
      <c r="B1188" s="8"/>
      <c r="C1188" s="8" t="s">
        <v>6</v>
      </c>
      <c r="D1188" s="12">
        <v>45017</v>
      </c>
      <c r="E1188" s="8">
        <v>64660</v>
      </c>
      <c r="F1188" s="10">
        <f>IF(ISTEXT(Таблицаx_2[[#This Row],[Значение]]), 0, Таблицаx_2[[#This Row],[Значение]])</f>
        <v>64660</v>
      </c>
      <c r="G1188" s="12">
        <v>45200</v>
      </c>
      <c r="H1188" s="10" t="str">
        <f>IFERROR(VLOOKUP(Таблицаx_2[[#This Row],[id]],prolongations!A:C,2,)," ")</f>
        <v>октябрь 2023</v>
      </c>
      <c r="I1188" s="10">
        <f>IF(Таблицаx_2[[#This Row],[Месяц окончания]]=Таблицаx_2[[#This Row],[Месяц]],Таблицаx_2[[#This Row],[Значения числа]],0)</f>
        <v>0</v>
      </c>
      <c r="J1188" s="8">
        <f>IF(AND(Таблицаx_2[[#This Row],[Месяц окончания]]=Таблицаx_2[[#This Row],[Месяц]],Таблицаx_2[[#This Row],[id]]=A1189,EDATE(Таблицаx_2[[#This Row],[Месяц]],1)=D1189),F1189,0)</f>
        <v>0</v>
      </c>
      <c r="K1188" s="8">
        <f>IF(AND(Таблицаx_2[[#This Row],[Месяц окончания]]=Таблицаx_2[[#This Row],[Месяц]],Таблицаx_2[[#This Row],[id]]=A1189,EDATE(Таблицаx_2[[#This Row],[Месяц]],2)=D1189),F1189,0)</f>
        <v>0</v>
      </c>
    </row>
    <row r="1189" spans="1:11" ht="12.75" hidden="1" customHeight="1" x14ac:dyDescent="0.2">
      <c r="A1189" s="8">
        <v>707</v>
      </c>
      <c r="B1189" s="8"/>
      <c r="C1189" s="8" t="s">
        <v>6</v>
      </c>
      <c r="D1189" s="12">
        <v>45047</v>
      </c>
      <c r="E1189" s="8">
        <v>61230</v>
      </c>
      <c r="F1189" s="10">
        <f>IF(ISTEXT(Таблицаx_2[[#This Row],[Значение]]), 0, Таблицаx_2[[#This Row],[Значение]])</f>
        <v>61230</v>
      </c>
      <c r="G1189" s="12">
        <v>45200</v>
      </c>
      <c r="H1189" s="10" t="str">
        <f>IFERROR(VLOOKUP(Таблицаx_2[[#This Row],[id]],prolongations!A:C,2,)," ")</f>
        <v>октябрь 2023</v>
      </c>
      <c r="I1189" s="10">
        <f>IF(Таблицаx_2[[#This Row],[Месяц окончания]]=Таблицаx_2[[#This Row],[Месяц]],Таблицаx_2[[#This Row],[Значения числа]],0)</f>
        <v>0</v>
      </c>
      <c r="J1189" s="8">
        <f>IF(AND(Таблицаx_2[[#This Row],[Месяц окончания]]=Таблицаx_2[[#This Row],[Месяц]],Таблицаx_2[[#This Row],[id]]=A1190,EDATE(Таблицаx_2[[#This Row],[Месяц]],1)=D1190),F1190,0)</f>
        <v>0</v>
      </c>
      <c r="K1189" s="8">
        <f>IF(AND(Таблицаx_2[[#This Row],[Месяц окончания]]=Таблицаx_2[[#This Row],[Месяц]],Таблицаx_2[[#This Row],[id]]=A1190,EDATE(Таблицаx_2[[#This Row],[Месяц]],2)=D1190),F1190,0)</f>
        <v>0</v>
      </c>
    </row>
    <row r="1190" spans="1:11" ht="12.75" hidden="1" customHeight="1" x14ac:dyDescent="0.2">
      <c r="A1190" s="8">
        <v>707</v>
      </c>
      <c r="B1190" s="8"/>
      <c r="C1190" s="8" t="s">
        <v>6</v>
      </c>
      <c r="D1190" s="12">
        <v>45078</v>
      </c>
      <c r="E1190" s="8">
        <v>65270</v>
      </c>
      <c r="F1190" s="10">
        <f>IF(ISTEXT(Таблицаx_2[[#This Row],[Значение]]), 0, Таблицаx_2[[#This Row],[Значение]])</f>
        <v>65270</v>
      </c>
      <c r="G1190" s="12">
        <v>45200</v>
      </c>
      <c r="H1190" s="10" t="str">
        <f>IFERROR(VLOOKUP(Таблицаx_2[[#This Row],[id]],prolongations!A:C,2,)," ")</f>
        <v>октябрь 2023</v>
      </c>
      <c r="I1190" s="10">
        <f>IF(Таблицаx_2[[#This Row],[Месяц окончания]]=Таблицаx_2[[#This Row],[Месяц]],Таблицаx_2[[#This Row],[Значения числа]],0)</f>
        <v>0</v>
      </c>
      <c r="J1190" s="8">
        <f>IF(AND(Таблицаx_2[[#This Row],[Месяц окончания]]=Таблицаx_2[[#This Row],[Месяц]],Таблицаx_2[[#This Row],[id]]=A1191,EDATE(Таблицаx_2[[#This Row],[Месяц]],1)=D1191),F1191,0)</f>
        <v>0</v>
      </c>
      <c r="K1190" s="8">
        <f>IF(AND(Таблицаx_2[[#This Row],[Месяц окончания]]=Таблицаx_2[[#This Row],[Месяц]],Таблицаx_2[[#This Row],[id]]=A1191,EDATE(Таблицаx_2[[#This Row],[Месяц]],2)=D1191),F1191,0)</f>
        <v>0</v>
      </c>
    </row>
    <row r="1191" spans="1:11" ht="12.75" hidden="1" customHeight="1" x14ac:dyDescent="0.2">
      <c r="A1191" s="8">
        <v>707</v>
      </c>
      <c r="B1191" s="8"/>
      <c r="C1191" s="8" t="s">
        <v>6</v>
      </c>
      <c r="D1191" s="12">
        <v>45108</v>
      </c>
      <c r="E1191" s="8">
        <v>63690</v>
      </c>
      <c r="F1191" s="10">
        <f>IF(ISTEXT(Таблицаx_2[[#This Row],[Значение]]), 0, Таблицаx_2[[#This Row],[Значение]])</f>
        <v>63690</v>
      </c>
      <c r="G1191" s="12">
        <v>45200</v>
      </c>
      <c r="H1191" s="10" t="str">
        <f>IFERROR(VLOOKUP(Таблицаx_2[[#This Row],[id]],prolongations!A:C,2,)," ")</f>
        <v>октябрь 2023</v>
      </c>
      <c r="I1191" s="10">
        <f>IF(Таблицаx_2[[#This Row],[Месяц окончания]]=Таблицаx_2[[#This Row],[Месяц]],Таблицаx_2[[#This Row],[Значения числа]],0)</f>
        <v>0</v>
      </c>
      <c r="J1191" s="8">
        <f>IF(AND(Таблицаx_2[[#This Row],[Месяц окончания]]=Таблицаx_2[[#This Row],[Месяц]],Таблицаx_2[[#This Row],[id]]=A1192,EDATE(Таблицаx_2[[#This Row],[Месяц]],1)=D1192),F1192,0)</f>
        <v>0</v>
      </c>
      <c r="K1191" s="8">
        <f>IF(AND(Таблицаx_2[[#This Row],[Месяц окончания]]=Таблицаx_2[[#This Row],[Месяц]],Таблицаx_2[[#This Row],[id]]=A1192,EDATE(Таблицаx_2[[#This Row],[Месяц]],2)=D1192),F1192,0)</f>
        <v>0</v>
      </c>
    </row>
    <row r="1192" spans="1:11" ht="12.75" hidden="1" customHeight="1" x14ac:dyDescent="0.2">
      <c r="A1192" s="8">
        <v>707</v>
      </c>
      <c r="B1192" s="8"/>
      <c r="C1192" s="8" t="s">
        <v>6</v>
      </c>
      <c r="D1192" s="12">
        <v>45139</v>
      </c>
      <c r="E1192" s="8">
        <v>65680</v>
      </c>
      <c r="F1192" s="10">
        <f>IF(ISTEXT(Таблицаx_2[[#This Row],[Значение]]), 0, Таблицаx_2[[#This Row],[Значение]])</f>
        <v>65680</v>
      </c>
      <c r="G1192" s="12">
        <v>45200</v>
      </c>
      <c r="H1192" s="10" t="str">
        <f>IFERROR(VLOOKUP(Таблицаx_2[[#This Row],[id]],prolongations!A:C,2,)," ")</f>
        <v>октябрь 2023</v>
      </c>
      <c r="I1192" s="10">
        <f>IF(Таблицаx_2[[#This Row],[Месяц окончания]]=Таблицаx_2[[#This Row],[Месяц]],Таблицаx_2[[#This Row],[Значения числа]],0)</f>
        <v>0</v>
      </c>
      <c r="J1192" s="8">
        <f>IF(AND(Таблицаx_2[[#This Row],[Месяц окончания]]=Таблицаx_2[[#This Row],[Месяц]],Таблицаx_2[[#This Row],[id]]=A1193,EDATE(Таблицаx_2[[#This Row],[Месяц]],1)=D1193),F1193,0)</f>
        <v>0</v>
      </c>
      <c r="K1192" s="8">
        <f>IF(AND(Таблицаx_2[[#This Row],[Месяц окончания]]=Таблицаx_2[[#This Row],[Месяц]],Таблицаx_2[[#This Row],[id]]=A1193,EDATE(Таблицаx_2[[#This Row],[Месяц]],2)=D1193),F1193,0)</f>
        <v>0</v>
      </c>
    </row>
    <row r="1193" spans="1:11" ht="12.75" hidden="1" customHeight="1" x14ac:dyDescent="0.2">
      <c r="A1193" s="8">
        <v>707</v>
      </c>
      <c r="B1193" s="8"/>
      <c r="C1193" s="8" t="s">
        <v>6</v>
      </c>
      <c r="D1193" s="12">
        <v>45170</v>
      </c>
      <c r="E1193" s="8">
        <v>65620</v>
      </c>
      <c r="F1193" s="10">
        <f>IF(ISTEXT(Таблицаx_2[[#This Row],[Значение]]), 0, Таблицаx_2[[#This Row],[Значение]])</f>
        <v>65620</v>
      </c>
      <c r="G1193" s="12">
        <v>45200</v>
      </c>
      <c r="H1193" s="10" t="str">
        <f>IFERROR(VLOOKUP(Таблицаx_2[[#This Row],[id]],prolongations!A:C,2,)," ")</f>
        <v>октябрь 2023</v>
      </c>
      <c r="I1193" s="10">
        <f>IF(Таблицаx_2[[#This Row],[Месяц окончания]]=Таблицаx_2[[#This Row],[Месяц]],Таблицаx_2[[#This Row],[Значения числа]],0)</f>
        <v>0</v>
      </c>
      <c r="J1193" s="8">
        <f>IF(AND(Таблицаx_2[[#This Row],[Месяц окончания]]=Таблицаx_2[[#This Row],[Месяц]],Таблицаx_2[[#This Row],[id]]=A1194,EDATE(Таблицаx_2[[#This Row],[Месяц]],1)=D1194),F1194,0)</f>
        <v>0</v>
      </c>
      <c r="K1193" s="8">
        <f>IF(AND(Таблицаx_2[[#This Row],[Месяц окончания]]=Таблицаx_2[[#This Row],[Месяц]],Таблицаx_2[[#This Row],[id]]=A1194,EDATE(Таблицаx_2[[#This Row],[Месяц]],2)=D1194),F1194,0)</f>
        <v>0</v>
      </c>
    </row>
    <row r="1194" spans="1:11" ht="12.75" hidden="1" customHeight="1" x14ac:dyDescent="0.2">
      <c r="A1194" s="8">
        <v>707</v>
      </c>
      <c r="B1194" s="8"/>
      <c r="C1194" s="8" t="s">
        <v>6</v>
      </c>
      <c r="D1194" s="12">
        <v>45200</v>
      </c>
      <c r="E1194" s="8">
        <v>65700</v>
      </c>
      <c r="F1194" s="10">
        <f>IF(ISTEXT(Таблицаx_2[[#This Row],[Значение]]), 0, Таблицаx_2[[#This Row],[Значение]])</f>
        <v>65700</v>
      </c>
      <c r="G1194" s="12">
        <v>45200</v>
      </c>
      <c r="H1194" s="10" t="str">
        <f>IFERROR(VLOOKUP(Таблицаx_2[[#This Row],[id]],prolongations!A:C,2,)," ")</f>
        <v>октябрь 2023</v>
      </c>
      <c r="I1194" s="10">
        <f>IF(Таблицаx_2[[#This Row],[Месяц окончания]]=Таблицаx_2[[#This Row],[Месяц]],Таблицаx_2[[#This Row],[Значения числа]],0)</f>
        <v>65700</v>
      </c>
      <c r="J1194" s="8">
        <f>IF(AND(Таблицаx_2[[#This Row],[Месяц окончания]]=Таблицаx_2[[#This Row],[Месяц]],Таблицаx_2[[#This Row],[id]]=A1195,EDATE(Таблицаx_2[[#This Row],[Месяц]],1)=D1195),F1195,0)</f>
        <v>69190</v>
      </c>
      <c r="K1194" s="8">
        <f>IF(AND(Таблицаx_2[[#This Row],[Месяц окончания]]=Таблицаx_2[[#This Row],[Месяц]],Таблицаx_2[[#This Row],[id]]=A1195,EDATE(Таблицаx_2[[#This Row],[Месяц]],2)=D1195),F1195,0)</f>
        <v>0</v>
      </c>
    </row>
    <row r="1195" spans="1:11" ht="12.75" hidden="1" customHeight="1" x14ac:dyDescent="0.2">
      <c r="A1195" s="8">
        <v>707</v>
      </c>
      <c r="B1195" s="8"/>
      <c r="C1195" s="8" t="s">
        <v>6</v>
      </c>
      <c r="D1195" s="12">
        <v>45231</v>
      </c>
      <c r="E1195" s="8">
        <v>69190</v>
      </c>
      <c r="F1195" s="10">
        <f>IF(ISTEXT(Таблицаx_2[[#This Row],[Значение]]), 0, Таблицаx_2[[#This Row],[Значение]])</f>
        <v>69190</v>
      </c>
      <c r="G1195" s="12">
        <v>45200</v>
      </c>
      <c r="H1195" s="10" t="str">
        <f>IFERROR(VLOOKUP(Таблицаx_2[[#This Row],[id]],prolongations!A:C,2,)," ")</f>
        <v>октябрь 2023</v>
      </c>
      <c r="I1195" s="10">
        <f>IF(Таблицаx_2[[#This Row],[Месяц окончания]]=Таблицаx_2[[#This Row],[Месяц]],Таблицаx_2[[#This Row],[Значения числа]],0)</f>
        <v>0</v>
      </c>
      <c r="J1195" s="8">
        <f>IF(AND(Таблицаx_2[[#This Row],[Месяц окончания]]=Таблицаx_2[[#This Row],[Месяц]],Таблицаx_2[[#This Row],[id]]=A1196,EDATE(Таблицаx_2[[#This Row],[Месяц]],1)=D1196),F1196,0)</f>
        <v>0</v>
      </c>
      <c r="K1195" s="8">
        <f>IF(AND(Таблицаx_2[[#This Row],[Месяц окончания]]=Таблицаx_2[[#This Row],[Месяц]],Таблицаx_2[[#This Row],[id]]=A1196,EDATE(Таблицаx_2[[#This Row],[Месяц]],2)=D1196),F1196,0)</f>
        <v>0</v>
      </c>
    </row>
    <row r="1196" spans="1:11" ht="12.75" hidden="1" customHeight="1" x14ac:dyDescent="0.2">
      <c r="A1196" s="8">
        <v>707</v>
      </c>
      <c r="B1196" s="8"/>
      <c r="C1196" s="8" t="s">
        <v>6</v>
      </c>
      <c r="D1196" s="12">
        <v>45261</v>
      </c>
      <c r="E1196" s="8">
        <v>70230</v>
      </c>
      <c r="F1196" s="10">
        <f>IF(ISTEXT(Таблицаx_2[[#This Row],[Значение]]), 0, Таблицаx_2[[#This Row],[Значение]])</f>
        <v>70230</v>
      </c>
      <c r="G1196" s="12">
        <v>45200</v>
      </c>
      <c r="H1196" s="10" t="str">
        <f>IFERROR(VLOOKUP(Таблицаx_2[[#This Row],[id]],prolongations!A:C,2,)," ")</f>
        <v>октябрь 2023</v>
      </c>
      <c r="I1196" s="10">
        <f>IF(Таблицаx_2[[#This Row],[Месяц окончания]]=Таблицаx_2[[#This Row],[Месяц]],Таблицаx_2[[#This Row],[Значения числа]],0)</f>
        <v>0</v>
      </c>
      <c r="J1196" s="8">
        <f>IF(AND(Таблицаx_2[[#This Row],[Месяц окончания]]=Таблицаx_2[[#This Row],[Месяц]],Таблицаx_2[[#This Row],[id]]=A1197,EDATE(Таблицаx_2[[#This Row],[Месяц]],1)=D1197),F1197,0)</f>
        <v>0</v>
      </c>
      <c r="K1196" s="8">
        <f>IF(AND(Таблицаx_2[[#This Row],[Месяц окончания]]=Таблицаx_2[[#This Row],[Месяц]],Таблицаx_2[[#This Row],[id]]=A1197,EDATE(Таблицаx_2[[#This Row],[Месяц]],2)=D1197),F1197,0)</f>
        <v>0</v>
      </c>
    </row>
    <row r="1197" spans="1:11" ht="12.75" hidden="1" customHeight="1" x14ac:dyDescent="0.2">
      <c r="A1197" s="8">
        <v>707</v>
      </c>
      <c r="B1197" s="8"/>
      <c r="C1197" s="8" t="s">
        <v>6</v>
      </c>
      <c r="D1197" s="12">
        <v>45292</v>
      </c>
      <c r="E1197" s="8">
        <v>71710</v>
      </c>
      <c r="F1197" s="10">
        <f>IF(ISTEXT(Таблицаx_2[[#This Row],[Значение]]), 0, Таблицаx_2[[#This Row],[Значение]])</f>
        <v>71710</v>
      </c>
      <c r="G1197" s="12">
        <v>45200</v>
      </c>
      <c r="H1197" s="10" t="str">
        <f>IFERROR(VLOOKUP(Таблицаx_2[[#This Row],[id]],prolongations!A:C,2,)," ")</f>
        <v>октябрь 2023</v>
      </c>
      <c r="I1197" s="10">
        <f>IF(Таблицаx_2[[#This Row],[Месяц окончания]]=Таблицаx_2[[#This Row],[Месяц]],Таблицаx_2[[#This Row],[Значения числа]],0)</f>
        <v>0</v>
      </c>
      <c r="J1197" s="8">
        <f>IF(AND(Таблицаx_2[[#This Row],[Месяц окончания]]=Таблицаx_2[[#This Row],[Месяц]],Таблицаx_2[[#This Row],[id]]=A1198,EDATE(Таблицаx_2[[#This Row],[Месяц]],1)=D1198),F1198,0)</f>
        <v>0</v>
      </c>
      <c r="K1197" s="8">
        <f>IF(AND(Таблицаx_2[[#This Row],[Месяц окончания]]=Таблицаx_2[[#This Row],[Месяц]],Таблицаx_2[[#This Row],[id]]=A1198,EDATE(Таблицаx_2[[#This Row],[Месяц]],2)=D1198),F1198,0)</f>
        <v>0</v>
      </c>
    </row>
    <row r="1198" spans="1:11" ht="12.75" hidden="1" customHeight="1" x14ac:dyDescent="0.2">
      <c r="A1198" s="8">
        <v>707</v>
      </c>
      <c r="B1198" s="8"/>
      <c r="C1198" s="8" t="s">
        <v>6</v>
      </c>
      <c r="D1198" s="12">
        <v>45323</v>
      </c>
      <c r="E1198" s="8">
        <v>135860</v>
      </c>
      <c r="F1198" s="10">
        <f>IF(ISTEXT(Таблицаx_2[[#This Row],[Значение]]), 0, Таблицаx_2[[#This Row],[Значение]])</f>
        <v>135860</v>
      </c>
      <c r="G1198" s="12">
        <v>45200</v>
      </c>
      <c r="H1198" s="10" t="str">
        <f>IFERROR(VLOOKUP(Таблицаx_2[[#This Row],[id]],prolongations!A:C,2,)," ")</f>
        <v>октябрь 2023</v>
      </c>
      <c r="I1198" s="10">
        <f>IF(Таблицаx_2[[#This Row],[Месяц окончания]]=Таблицаx_2[[#This Row],[Месяц]],Таблицаx_2[[#This Row],[Значения числа]],0)</f>
        <v>0</v>
      </c>
      <c r="J1198" s="8">
        <f>IF(AND(Таблицаx_2[[#This Row],[Месяц окончания]]=Таблицаx_2[[#This Row],[Месяц]],Таблицаx_2[[#This Row],[id]]=A1199,EDATE(Таблицаx_2[[#This Row],[Месяц]],1)=D1199),F1199,0)</f>
        <v>0</v>
      </c>
      <c r="K1198" s="8">
        <f>IF(AND(Таблицаx_2[[#This Row],[Месяц окончания]]=Таблицаx_2[[#This Row],[Месяц]],Таблицаx_2[[#This Row],[id]]=A1199,EDATE(Таблицаx_2[[#This Row],[Месяц]],2)=D1199),F1199,0)</f>
        <v>0</v>
      </c>
    </row>
    <row r="1199" spans="1:11" ht="12.75" hidden="1" customHeight="1" x14ac:dyDescent="0.2">
      <c r="A1199" s="8">
        <v>852</v>
      </c>
      <c r="B1199" s="8" t="s">
        <v>45</v>
      </c>
      <c r="C1199" s="8" t="s">
        <v>4</v>
      </c>
      <c r="D1199" s="12">
        <v>45047</v>
      </c>
      <c r="E1199" s="8">
        <v>125475</v>
      </c>
      <c r="F1199" s="10">
        <f>IF(ISTEXT(Таблицаx_2[[#This Row],[Значение]]), 0, Таблицаx_2[[#This Row],[Значение]])</f>
        <v>125475</v>
      </c>
      <c r="G1199" s="12">
        <v>45200</v>
      </c>
      <c r="H1199" s="10" t="str">
        <f>IFERROR(VLOOKUP(Таблицаx_2[[#This Row],[id]],prolongations!A:C,2,)," ")</f>
        <v>октябрь 2023</v>
      </c>
      <c r="I1199" s="10">
        <f>IF(Таблицаx_2[[#This Row],[Месяц окончания]]=Таблицаx_2[[#This Row],[Месяц]],Таблицаx_2[[#This Row],[Значения числа]],0)</f>
        <v>0</v>
      </c>
      <c r="J1199" s="8">
        <f>IF(AND(Таблицаx_2[[#This Row],[Месяц окончания]]=Таблицаx_2[[#This Row],[Месяц]],Таблицаx_2[[#This Row],[id]]=A1200,EDATE(Таблицаx_2[[#This Row],[Месяц]],1)=D1200),F1200,0)</f>
        <v>0</v>
      </c>
      <c r="K1199" s="8">
        <f>IF(AND(Таблицаx_2[[#This Row],[Месяц окончания]]=Таблицаx_2[[#This Row],[Месяц]],Таблицаx_2[[#This Row],[id]]=A1200,EDATE(Таблицаx_2[[#This Row],[Месяц]],2)=D1200),F1200,0)</f>
        <v>0</v>
      </c>
    </row>
    <row r="1200" spans="1:11" ht="12.75" hidden="1" customHeight="1" x14ac:dyDescent="0.2">
      <c r="A1200" s="8">
        <v>852</v>
      </c>
      <c r="B1200" s="8" t="s">
        <v>45</v>
      </c>
      <c r="C1200" s="8" t="s">
        <v>4</v>
      </c>
      <c r="D1200" s="12">
        <v>45078</v>
      </c>
      <c r="E1200" s="8">
        <v>53580</v>
      </c>
      <c r="F1200" s="10">
        <f>IF(ISTEXT(Таблицаx_2[[#This Row],[Значение]]), 0, Таблицаx_2[[#This Row],[Значение]])</f>
        <v>53580</v>
      </c>
      <c r="G1200" s="12">
        <v>45200</v>
      </c>
      <c r="H1200" s="10" t="str">
        <f>IFERROR(VLOOKUP(Таблицаx_2[[#This Row],[id]],prolongations!A:C,2,)," ")</f>
        <v>октябрь 2023</v>
      </c>
      <c r="I1200" s="10">
        <f>IF(Таблицаx_2[[#This Row],[Месяц окончания]]=Таблицаx_2[[#This Row],[Месяц]],Таблицаx_2[[#This Row],[Значения числа]],0)</f>
        <v>0</v>
      </c>
      <c r="J1200" s="8">
        <f>IF(AND(Таблицаx_2[[#This Row],[Месяц окончания]]=Таблицаx_2[[#This Row],[Месяц]],Таблицаx_2[[#This Row],[id]]=A1201,EDATE(Таблицаx_2[[#This Row],[Месяц]],1)=D1201),F1201,0)</f>
        <v>0</v>
      </c>
      <c r="K1200" s="8">
        <f>IF(AND(Таблицаx_2[[#This Row],[Месяц окончания]]=Таблицаx_2[[#This Row],[Месяц]],Таблицаx_2[[#This Row],[id]]=A1201,EDATE(Таблицаx_2[[#This Row],[Месяц]],2)=D1201),F1201,0)</f>
        <v>0</v>
      </c>
    </row>
    <row r="1201" spans="1:11" ht="12.75" hidden="1" customHeight="1" x14ac:dyDescent="0.2">
      <c r="A1201" s="8">
        <v>852</v>
      </c>
      <c r="B1201" s="8" t="s">
        <v>45</v>
      </c>
      <c r="C1201" s="8" t="s">
        <v>4</v>
      </c>
      <c r="D1201" s="12">
        <v>45108</v>
      </c>
      <c r="E1201" s="8">
        <v>102450</v>
      </c>
      <c r="F1201" s="10">
        <f>IF(ISTEXT(Таблицаx_2[[#This Row],[Значение]]), 0, Таблицаx_2[[#This Row],[Значение]])</f>
        <v>102450</v>
      </c>
      <c r="G1201" s="12">
        <v>45200</v>
      </c>
      <c r="H1201" s="10" t="str">
        <f>IFERROR(VLOOKUP(Таблицаx_2[[#This Row],[id]],prolongations!A:C,2,)," ")</f>
        <v>октябрь 2023</v>
      </c>
      <c r="I1201" s="10">
        <f>IF(Таблицаx_2[[#This Row],[Месяц окончания]]=Таблицаx_2[[#This Row],[Месяц]],Таблицаx_2[[#This Row],[Значения числа]],0)</f>
        <v>0</v>
      </c>
      <c r="J1201" s="8">
        <f>IF(AND(Таблицаx_2[[#This Row],[Месяц окончания]]=Таблицаx_2[[#This Row],[Месяц]],Таблицаx_2[[#This Row],[id]]=A1202,EDATE(Таблицаx_2[[#This Row],[Месяц]],1)=D1202),F1202,0)</f>
        <v>0</v>
      </c>
      <c r="K1201" s="8">
        <f>IF(AND(Таблицаx_2[[#This Row],[Месяц окончания]]=Таблицаx_2[[#This Row],[Месяц]],Таблицаx_2[[#This Row],[id]]=A1202,EDATE(Таблицаx_2[[#This Row],[Месяц]],2)=D1202),F1202,0)</f>
        <v>0</v>
      </c>
    </row>
    <row r="1202" spans="1:11" ht="12.75" hidden="1" customHeight="1" x14ac:dyDescent="0.2">
      <c r="A1202" s="8">
        <v>852</v>
      </c>
      <c r="B1202" s="8" t="s">
        <v>45</v>
      </c>
      <c r="C1202" s="8" t="s">
        <v>4</v>
      </c>
      <c r="D1202" s="12">
        <v>45139</v>
      </c>
      <c r="E1202" s="8" t="s">
        <v>46</v>
      </c>
      <c r="F1202" s="10">
        <f>IF(ISTEXT(Таблицаx_2[[#This Row],[Значение]]), 0, Таблицаx_2[[#This Row],[Значение]])</f>
        <v>0</v>
      </c>
      <c r="G1202" s="12">
        <v>45200</v>
      </c>
      <c r="H1202" s="10" t="str">
        <f>IFERROR(VLOOKUP(Таблицаx_2[[#This Row],[id]],prolongations!A:C,2,)," ")</f>
        <v>октябрь 2023</v>
      </c>
      <c r="I1202" s="10">
        <f>IF(Таблицаx_2[[#This Row],[Месяц окончания]]=Таблицаx_2[[#This Row],[Месяц]],Таблицаx_2[[#This Row],[Значения числа]],0)</f>
        <v>0</v>
      </c>
      <c r="J1202" s="8">
        <f>IF(AND(Таблицаx_2[[#This Row],[Месяц окончания]]=Таблицаx_2[[#This Row],[Месяц]],Таблицаx_2[[#This Row],[id]]=A1203,EDATE(Таблицаx_2[[#This Row],[Месяц]],1)=D1203),F1203,0)</f>
        <v>0</v>
      </c>
      <c r="K1202" s="8">
        <f>IF(AND(Таблицаx_2[[#This Row],[Месяц окончания]]=Таблицаx_2[[#This Row],[Месяц]],Таблицаx_2[[#This Row],[id]]=A1203,EDATE(Таблицаx_2[[#This Row],[Месяц]],2)=D1203),F1203,0)</f>
        <v>0</v>
      </c>
    </row>
    <row r="1203" spans="1:11" ht="12.75" hidden="1" customHeight="1" x14ac:dyDescent="0.2">
      <c r="A1203" s="8">
        <v>852</v>
      </c>
      <c r="B1203" s="8" t="s">
        <v>47</v>
      </c>
      <c r="C1203" s="8" t="s">
        <v>4</v>
      </c>
      <c r="D1203" s="12">
        <v>45078</v>
      </c>
      <c r="E1203" s="8" t="s">
        <v>48</v>
      </c>
      <c r="F1203" s="10">
        <f>IF(ISTEXT(Таблицаx_2[[#This Row],[Значение]]), 0, Таблицаx_2[[#This Row],[Значение]])</f>
        <v>0</v>
      </c>
      <c r="G1203" s="12">
        <v>45200</v>
      </c>
      <c r="H1203" s="10" t="str">
        <f>IFERROR(VLOOKUP(Таблицаx_2[[#This Row],[id]],prolongations!A:C,2,)," ")</f>
        <v>октябрь 2023</v>
      </c>
      <c r="I1203" s="10">
        <f>IF(Таблицаx_2[[#This Row],[Месяц окончания]]=Таблицаx_2[[#This Row],[Месяц]],Таблицаx_2[[#This Row],[Значения числа]],0)</f>
        <v>0</v>
      </c>
      <c r="J1203" s="8">
        <f>IF(AND(Таблицаx_2[[#This Row],[Месяц окончания]]=Таблицаx_2[[#This Row],[Месяц]],Таблицаx_2[[#This Row],[id]]=A1204,EDATE(Таблицаx_2[[#This Row],[Месяц]],1)=D1204),F1204,0)</f>
        <v>0</v>
      </c>
      <c r="K1203" s="8">
        <f>IF(AND(Таблицаx_2[[#This Row],[Месяц окончания]]=Таблицаx_2[[#This Row],[Месяц]],Таблицаx_2[[#This Row],[id]]=A1204,EDATE(Таблицаx_2[[#This Row],[Месяц]],2)=D1204),F1204,0)</f>
        <v>0</v>
      </c>
    </row>
    <row r="1204" spans="1:11" ht="12.75" hidden="1" customHeight="1" x14ac:dyDescent="0.2">
      <c r="A1204" s="8">
        <v>852</v>
      </c>
      <c r="B1204" s="8" t="s">
        <v>47</v>
      </c>
      <c r="C1204" s="8" t="s">
        <v>4</v>
      </c>
      <c r="D1204" s="12">
        <v>45108</v>
      </c>
      <c r="E1204" s="8" t="s">
        <v>48</v>
      </c>
      <c r="F1204" s="10">
        <f>IF(ISTEXT(Таблицаx_2[[#This Row],[Значение]]), 0, Таблицаx_2[[#This Row],[Значение]])</f>
        <v>0</v>
      </c>
      <c r="G1204" s="12">
        <v>45200</v>
      </c>
      <c r="H1204" s="10" t="str">
        <f>IFERROR(VLOOKUP(Таблицаx_2[[#This Row],[id]],prolongations!A:C,2,)," ")</f>
        <v>октябрь 2023</v>
      </c>
      <c r="I1204" s="10">
        <f>IF(Таблицаx_2[[#This Row],[Месяц окончания]]=Таблицаx_2[[#This Row],[Месяц]],Таблицаx_2[[#This Row],[Значения числа]],0)</f>
        <v>0</v>
      </c>
      <c r="J1204" s="8">
        <f>IF(AND(Таблицаx_2[[#This Row],[Месяц окончания]]=Таблицаx_2[[#This Row],[Месяц]],Таблицаx_2[[#This Row],[id]]=A1205,EDATE(Таблицаx_2[[#This Row],[Месяц]],1)=D1205),F1205,0)</f>
        <v>0</v>
      </c>
      <c r="K1204" s="8">
        <f>IF(AND(Таблицаx_2[[#This Row],[Месяц окончания]]=Таблицаx_2[[#This Row],[Месяц]],Таблицаx_2[[#This Row],[id]]=A1205,EDATE(Таблицаx_2[[#This Row],[Месяц]],2)=D1205),F1205,0)</f>
        <v>0</v>
      </c>
    </row>
    <row r="1205" spans="1:11" ht="12.75" hidden="1" customHeight="1" x14ac:dyDescent="0.2">
      <c r="A1205" s="8">
        <v>852</v>
      </c>
      <c r="B1205" s="8" t="s">
        <v>47</v>
      </c>
      <c r="C1205" s="8" t="s">
        <v>4</v>
      </c>
      <c r="D1205" s="12">
        <v>45139</v>
      </c>
      <c r="E1205" s="8" t="s">
        <v>46</v>
      </c>
      <c r="F1205" s="10">
        <f>IF(ISTEXT(Таблицаx_2[[#This Row],[Значение]]), 0, Таблицаx_2[[#This Row],[Значение]])</f>
        <v>0</v>
      </c>
      <c r="G1205" s="12">
        <v>45200</v>
      </c>
      <c r="H1205" s="10" t="str">
        <f>IFERROR(VLOOKUP(Таблицаx_2[[#This Row],[id]],prolongations!A:C,2,)," ")</f>
        <v>октябрь 2023</v>
      </c>
      <c r="I1205" s="10">
        <f>IF(Таблицаx_2[[#This Row],[Месяц окончания]]=Таблицаx_2[[#This Row],[Месяц]],Таблицаx_2[[#This Row],[Значения числа]],0)</f>
        <v>0</v>
      </c>
      <c r="J1205" s="8">
        <f>IF(AND(Таблицаx_2[[#This Row],[Месяц окончания]]=Таблицаx_2[[#This Row],[Месяц]],Таблицаx_2[[#This Row],[id]]=A1206,EDATE(Таблицаx_2[[#This Row],[Месяц]],1)=D1206),F1206,0)</f>
        <v>0</v>
      </c>
      <c r="K1205" s="8">
        <f>IF(AND(Таблицаx_2[[#This Row],[Месяц окончания]]=Таблицаx_2[[#This Row],[Месяц]],Таблицаx_2[[#This Row],[id]]=A1206,EDATE(Таблицаx_2[[#This Row],[Месяц]],2)=D1206),F1206,0)</f>
        <v>0</v>
      </c>
    </row>
    <row r="1206" spans="1:11" ht="12.75" hidden="1" customHeight="1" x14ac:dyDescent="0.2">
      <c r="A1206" s="8">
        <v>972</v>
      </c>
      <c r="B1206" s="8" t="s">
        <v>45</v>
      </c>
      <c r="C1206" s="8" t="s">
        <v>4</v>
      </c>
      <c r="D1206" s="12">
        <v>45200</v>
      </c>
      <c r="E1206" s="8" t="s">
        <v>46</v>
      </c>
      <c r="F1206" s="10">
        <f>IF(ISTEXT(Таблицаx_2[[#This Row],[Значение]]), 0, Таблицаx_2[[#This Row],[Значение]])</f>
        <v>0</v>
      </c>
      <c r="G1206" s="12">
        <v>45200</v>
      </c>
      <c r="H1206" s="10" t="str">
        <f>IFERROR(VLOOKUP(Таблицаx_2[[#This Row],[id]],prolongations!A:C,2,)," ")</f>
        <v>октябрь 2023</v>
      </c>
      <c r="I1206" s="10">
        <f>IF(Таблицаx_2[[#This Row],[Месяц окончания]]=Таблицаx_2[[#This Row],[Месяц]],Таблицаx_2[[#This Row],[Значения числа]],0)</f>
        <v>0</v>
      </c>
      <c r="J1206" s="8">
        <f>IF(AND(Таблицаx_2[[#This Row],[Месяц окончания]]=Таблицаx_2[[#This Row],[Месяц]],Таблицаx_2[[#This Row],[id]]=A1207,EDATE(Таблицаx_2[[#This Row],[Месяц]],1)=D1207),F1207,0)</f>
        <v>0</v>
      </c>
      <c r="K1206" s="8">
        <f>IF(AND(Таблицаx_2[[#This Row],[Месяц окончания]]=Таблицаx_2[[#This Row],[Месяц]],Таблицаx_2[[#This Row],[id]]=A1207,EDATE(Таблицаx_2[[#This Row],[Месяц]],2)=D1207),F1207,0)</f>
        <v>0</v>
      </c>
    </row>
    <row r="1207" spans="1:11" ht="12.75" customHeight="1" x14ac:dyDescent="0.2">
      <c r="A1207" s="8">
        <v>943</v>
      </c>
      <c r="B1207" s="8" t="s">
        <v>45</v>
      </c>
      <c r="C1207" s="8" t="s">
        <v>10</v>
      </c>
      <c r="D1207" s="12">
        <v>45170</v>
      </c>
      <c r="E1207" s="8">
        <v>47800</v>
      </c>
      <c r="F1207" s="10">
        <f>IF(ISTEXT(Таблицаx_2[[#This Row],[Значение]]), 0, Таблицаx_2[[#This Row],[Значение]])</f>
        <v>47800</v>
      </c>
      <c r="G1207" s="12">
        <v>45200</v>
      </c>
      <c r="H1207" s="10" t="str">
        <f>IFERROR(VLOOKUP(Таблицаx_2[[#This Row],[id]],prolongations!A:C,2,)," ")</f>
        <v>октябрь 2023</v>
      </c>
      <c r="I1207" s="10">
        <f>IF(Таблицаx_2[[#This Row],[Месяц окончания]]=Таблицаx_2[[#This Row],[Месяц]],Таблицаx_2[[#This Row],[Значения числа]],0)</f>
        <v>0</v>
      </c>
      <c r="J1207" s="8">
        <f>IF(AND(Таблицаx_2[[#This Row],[Месяц окончания]]=Таблицаx_2[[#This Row],[Месяц]],Таблицаx_2[[#This Row],[id]]=A1208,EDATE(Таблицаx_2[[#This Row],[Месяц]],1)=D1208),F1208,0)</f>
        <v>0</v>
      </c>
      <c r="K1207" s="8">
        <f>IF(AND(Таблицаx_2[[#This Row],[Месяц окончания]]=Таблицаx_2[[#This Row],[Месяц]],Таблицаx_2[[#This Row],[id]]=A1208,EDATE(Таблицаx_2[[#This Row],[Месяц]],2)=D1208),F1208,0)</f>
        <v>0</v>
      </c>
    </row>
    <row r="1208" spans="1:11" ht="12.75" customHeight="1" x14ac:dyDescent="0.2">
      <c r="A1208" s="8">
        <v>943</v>
      </c>
      <c r="B1208" s="8" t="s">
        <v>45</v>
      </c>
      <c r="C1208" s="8" t="s">
        <v>10</v>
      </c>
      <c r="D1208" s="12">
        <v>45200</v>
      </c>
      <c r="E1208" s="8" t="s">
        <v>46</v>
      </c>
      <c r="F1208" s="10">
        <f>IF(ISTEXT(Таблицаx_2[[#This Row],[Значение]]), 0, Таблицаx_2[[#This Row],[Значение]])</f>
        <v>0</v>
      </c>
      <c r="G1208" s="12">
        <v>45200</v>
      </c>
      <c r="H1208" s="10" t="str">
        <f>IFERROR(VLOOKUP(Таблицаx_2[[#This Row],[id]],prolongations!A:C,2,)," ")</f>
        <v>октябрь 2023</v>
      </c>
      <c r="I1208" s="10">
        <f>IF(Таблицаx_2[[#This Row],[Месяц окончания]]=Таблицаx_2[[#This Row],[Месяц]],Таблицаx_2[[#This Row],[Значения числа]],0)</f>
        <v>0</v>
      </c>
      <c r="J1208" s="8">
        <f>IF(AND(Таблицаx_2[[#This Row],[Месяц окончания]]=Таблицаx_2[[#This Row],[Месяц]],Таблицаx_2[[#This Row],[id]]=A1209,EDATE(Таблицаx_2[[#This Row],[Месяц]],1)=D1209),F1209,0)</f>
        <v>0</v>
      </c>
      <c r="K1208" s="8">
        <f>IF(AND(Таблицаx_2[[#This Row],[Месяц окончания]]=Таблицаx_2[[#This Row],[Месяц]],Таблицаx_2[[#This Row],[id]]=A1209,EDATE(Таблицаx_2[[#This Row],[Месяц]],2)=D1209),F1209,0)</f>
        <v>0</v>
      </c>
    </row>
    <row r="1209" spans="1:11" ht="12.75" customHeight="1" x14ac:dyDescent="0.2">
      <c r="A1209" s="8">
        <v>943</v>
      </c>
      <c r="B1209" s="8" t="s">
        <v>45</v>
      </c>
      <c r="C1209" s="8" t="s">
        <v>10</v>
      </c>
      <c r="D1209" s="12">
        <v>45323</v>
      </c>
      <c r="E1209" s="8">
        <v>46000</v>
      </c>
      <c r="F1209" s="10">
        <f>IF(ISTEXT(Таблицаx_2[[#This Row],[Значение]]), 0, Таблицаx_2[[#This Row],[Значение]])</f>
        <v>46000</v>
      </c>
      <c r="G1209" s="12">
        <v>45200</v>
      </c>
      <c r="H1209" s="10" t="str">
        <f>IFERROR(VLOOKUP(Таблицаx_2[[#This Row],[id]],prolongations!A:C,2,)," ")</f>
        <v>октябрь 2023</v>
      </c>
      <c r="I1209" s="10">
        <f>IF(Таблицаx_2[[#This Row],[Месяц окончания]]=Таблицаx_2[[#This Row],[Месяц]],Таблицаx_2[[#This Row],[Значения числа]],0)</f>
        <v>0</v>
      </c>
      <c r="J1209" s="8">
        <f>IF(AND(Таблицаx_2[[#This Row],[Месяц окончания]]=Таблицаx_2[[#This Row],[Месяц]],Таблицаx_2[[#This Row],[id]]=A1210,EDATE(Таблицаx_2[[#This Row],[Месяц]],1)=D1210),F1210,0)</f>
        <v>0</v>
      </c>
      <c r="K1209" s="8">
        <f>IF(AND(Таблицаx_2[[#This Row],[Месяц окончания]]=Таблицаx_2[[#This Row],[Месяц]],Таблицаx_2[[#This Row],[id]]=A1210,EDATE(Таблицаx_2[[#This Row],[Месяц]],2)=D1210),F1210,0)</f>
        <v>0</v>
      </c>
    </row>
    <row r="1210" spans="1:11" ht="12.75" customHeight="1" x14ac:dyDescent="0.2">
      <c r="A1210" s="8">
        <v>943</v>
      </c>
      <c r="B1210" s="8" t="s">
        <v>47</v>
      </c>
      <c r="C1210" s="8" t="s">
        <v>10</v>
      </c>
      <c r="D1210" s="12">
        <v>45170</v>
      </c>
      <c r="E1210" s="8" t="s">
        <v>48</v>
      </c>
      <c r="F1210" s="10">
        <f>IF(ISTEXT(Таблицаx_2[[#This Row],[Значение]]), 0, Таблицаx_2[[#This Row],[Значение]])</f>
        <v>0</v>
      </c>
      <c r="G1210" s="12">
        <v>45200</v>
      </c>
      <c r="H1210" s="10" t="str">
        <f>IFERROR(VLOOKUP(Таблицаx_2[[#This Row],[id]],prolongations!A:C,2,)," ")</f>
        <v>октябрь 2023</v>
      </c>
      <c r="I1210" s="10">
        <f>IF(Таблицаx_2[[#This Row],[Месяц окончания]]=Таблицаx_2[[#This Row],[Месяц]],Таблицаx_2[[#This Row],[Значения числа]],0)</f>
        <v>0</v>
      </c>
      <c r="J1210" s="8">
        <f>IF(AND(Таблицаx_2[[#This Row],[Месяц окончания]]=Таблицаx_2[[#This Row],[Месяц]],Таблицаx_2[[#This Row],[id]]=A1211,EDATE(Таблицаx_2[[#This Row],[Месяц]],1)=D1211),F1211,0)</f>
        <v>0</v>
      </c>
      <c r="K1210" s="8">
        <f>IF(AND(Таблицаx_2[[#This Row],[Месяц окончания]]=Таблицаx_2[[#This Row],[Месяц]],Таблицаx_2[[#This Row],[id]]=A1211,EDATE(Таблицаx_2[[#This Row],[Месяц]],2)=D1211),F1211,0)</f>
        <v>0</v>
      </c>
    </row>
    <row r="1211" spans="1:11" ht="12.75" customHeight="1" x14ac:dyDescent="0.2">
      <c r="A1211" s="8">
        <v>943</v>
      </c>
      <c r="B1211" s="8" t="s">
        <v>47</v>
      </c>
      <c r="C1211" s="8" t="s">
        <v>10</v>
      </c>
      <c r="D1211" s="12">
        <v>45200</v>
      </c>
      <c r="E1211" s="8" t="s">
        <v>46</v>
      </c>
      <c r="F1211" s="10">
        <f>IF(ISTEXT(Таблицаx_2[[#This Row],[Значение]]), 0, Таблицаx_2[[#This Row],[Значение]])</f>
        <v>0</v>
      </c>
      <c r="G1211" s="12">
        <v>45200</v>
      </c>
      <c r="H1211" s="10" t="str">
        <f>IFERROR(VLOOKUP(Таблицаx_2[[#This Row],[id]],prolongations!A:C,2,)," ")</f>
        <v>октябрь 2023</v>
      </c>
      <c r="I1211" s="10">
        <f>IF(Таблицаx_2[[#This Row],[Месяц окончания]]=Таблицаx_2[[#This Row],[Месяц]],Таблицаx_2[[#This Row],[Значения числа]],0)</f>
        <v>0</v>
      </c>
      <c r="J1211" s="8">
        <f>IF(AND(Таблицаx_2[[#This Row],[Месяц окончания]]=Таблицаx_2[[#This Row],[Месяц]],Таблицаx_2[[#This Row],[id]]=A1212,EDATE(Таблицаx_2[[#This Row],[Месяц]],1)=D1212),F1212,0)</f>
        <v>0</v>
      </c>
      <c r="K1211" s="8">
        <f>IF(AND(Таблицаx_2[[#This Row],[Месяц окончания]]=Таблицаx_2[[#This Row],[Месяц]],Таблицаx_2[[#This Row],[id]]=A1212,EDATE(Таблицаx_2[[#This Row],[Месяц]],2)=D1212),F1212,0)</f>
        <v>0</v>
      </c>
    </row>
    <row r="1212" spans="1:11" ht="12.75" customHeight="1" x14ac:dyDescent="0.2">
      <c r="A1212" s="8">
        <v>943</v>
      </c>
      <c r="B1212" s="8" t="s">
        <v>47</v>
      </c>
      <c r="C1212" s="8" t="s">
        <v>10</v>
      </c>
      <c r="D1212" s="12">
        <v>45323</v>
      </c>
      <c r="E1212" s="8" t="s">
        <v>48</v>
      </c>
      <c r="F1212" s="10">
        <f>IF(ISTEXT(Таблицаx_2[[#This Row],[Значение]]), 0, Таблицаx_2[[#This Row],[Значение]])</f>
        <v>0</v>
      </c>
      <c r="G1212" s="12">
        <v>45200</v>
      </c>
      <c r="H1212" s="10" t="str">
        <f>IFERROR(VLOOKUP(Таблицаx_2[[#This Row],[id]],prolongations!A:C,2,)," ")</f>
        <v>октябрь 2023</v>
      </c>
      <c r="I1212" s="10">
        <f>IF(Таблицаx_2[[#This Row],[Месяц окончания]]=Таблицаx_2[[#This Row],[Месяц]],Таблицаx_2[[#This Row],[Значения числа]],0)</f>
        <v>0</v>
      </c>
      <c r="J1212" s="8">
        <f>IF(AND(Таблицаx_2[[#This Row],[Месяц окончания]]=Таблицаx_2[[#This Row],[Месяц]],Таблицаx_2[[#This Row],[id]]=A1213,EDATE(Таблицаx_2[[#This Row],[Месяц]],1)=D1213),F1213,0)</f>
        <v>0</v>
      </c>
      <c r="K1212" s="8">
        <f>IF(AND(Таблицаx_2[[#This Row],[Месяц окончания]]=Таблицаx_2[[#This Row],[Месяц]],Таблицаx_2[[#This Row],[id]]=A1213,EDATE(Таблицаx_2[[#This Row],[Месяц]],2)=D1213),F1213,0)</f>
        <v>0</v>
      </c>
    </row>
    <row r="1213" spans="1:11" ht="12.75" hidden="1" customHeight="1" x14ac:dyDescent="0.2">
      <c r="A1213" s="8">
        <v>929</v>
      </c>
      <c r="B1213" s="8" t="s">
        <v>45</v>
      </c>
      <c r="C1213" s="8" t="s">
        <v>4</v>
      </c>
      <c r="D1213" s="12">
        <v>45139</v>
      </c>
      <c r="E1213" s="8">
        <v>68850</v>
      </c>
      <c r="F1213" s="10">
        <f>IF(ISTEXT(Таблицаx_2[[#This Row],[Значение]]), 0, Таблицаx_2[[#This Row],[Значение]])</f>
        <v>68850</v>
      </c>
      <c r="G1213" s="12">
        <v>45139</v>
      </c>
      <c r="H1213" s="10" t="str">
        <f>IFERROR(VLOOKUP(Таблицаx_2[[#This Row],[id]],prolongations!A:C,2,)," ")</f>
        <v>август 2023</v>
      </c>
      <c r="I1213" s="10">
        <f>IF(Таблицаx_2[[#This Row],[Месяц окончания]]=Таблицаx_2[[#This Row],[Месяц]],Таблицаx_2[[#This Row],[Значения числа]],0)</f>
        <v>68850</v>
      </c>
      <c r="J1213" s="8">
        <f>IF(AND(Таблицаx_2[[#This Row],[Месяц окончания]]=Таблицаx_2[[#This Row],[Месяц]],Таблицаx_2[[#This Row],[id]]=A1214,EDATE(Таблицаx_2[[#This Row],[Месяц]],1)=D1214),F1214,0)</f>
        <v>0</v>
      </c>
      <c r="K1213" s="8">
        <f>IF(AND(Таблицаx_2[[#This Row],[Месяц окончания]]=Таблицаx_2[[#This Row],[Месяц]],Таблицаx_2[[#This Row],[id]]=A1214,EDATE(Таблицаx_2[[#This Row],[Месяц]],2)=D1214),F1214,0)</f>
        <v>68650</v>
      </c>
    </row>
    <row r="1214" spans="1:11" ht="12.75" hidden="1" customHeight="1" x14ac:dyDescent="0.2">
      <c r="A1214" s="8">
        <v>929</v>
      </c>
      <c r="B1214" s="8" t="s">
        <v>45</v>
      </c>
      <c r="C1214" s="8" t="s">
        <v>4</v>
      </c>
      <c r="D1214" s="12">
        <v>45200</v>
      </c>
      <c r="E1214" s="8">
        <v>68650</v>
      </c>
      <c r="F1214" s="10">
        <f>IF(ISTEXT(Таблицаx_2[[#This Row],[Значение]]), 0, Таблицаx_2[[#This Row],[Значение]])</f>
        <v>68650</v>
      </c>
      <c r="G1214" s="12">
        <v>45139</v>
      </c>
      <c r="H1214" s="10" t="str">
        <f>IFERROR(VLOOKUP(Таблицаx_2[[#This Row],[id]],prolongations!A:C,2,)," ")</f>
        <v>август 2023</v>
      </c>
      <c r="I1214" s="10">
        <f>IF(Таблицаx_2[[#This Row],[Месяц окончания]]=Таблицаx_2[[#This Row],[Месяц]],Таблицаx_2[[#This Row],[Значения числа]],0)</f>
        <v>0</v>
      </c>
      <c r="J1214" s="8">
        <f>IF(AND(Таблицаx_2[[#This Row],[Месяц окончания]]=Таблицаx_2[[#This Row],[Месяц]],Таблицаx_2[[#This Row],[id]]=A1215,EDATE(Таблицаx_2[[#This Row],[Месяц]],1)=D1215),F1215,0)</f>
        <v>0</v>
      </c>
      <c r="K1214" s="8">
        <f>IF(AND(Таблицаx_2[[#This Row],[Месяц окончания]]=Таблицаx_2[[#This Row],[Месяц]],Таблицаx_2[[#This Row],[id]]=A1215,EDATE(Таблицаx_2[[#This Row],[Месяц]],2)=D1215),F1215,0)</f>
        <v>0</v>
      </c>
    </row>
    <row r="1215" spans="1:11" ht="12.75" hidden="1" customHeight="1" x14ac:dyDescent="0.2">
      <c r="A1215" s="8">
        <v>929</v>
      </c>
      <c r="B1215" s="8" t="s">
        <v>47</v>
      </c>
      <c r="C1215" s="8" t="s">
        <v>4</v>
      </c>
      <c r="D1215" s="12">
        <v>45139</v>
      </c>
      <c r="E1215" s="8">
        <v>13370</v>
      </c>
      <c r="F1215" s="10">
        <f>IF(ISTEXT(Таблицаx_2[[#This Row],[Значение]]), 0, Таблицаx_2[[#This Row],[Значение]])</f>
        <v>13370</v>
      </c>
      <c r="G1215" s="12">
        <v>45139</v>
      </c>
      <c r="H1215" s="10" t="str">
        <f>IFERROR(VLOOKUP(Таблицаx_2[[#This Row],[id]],prolongations!A:C,2,)," ")</f>
        <v>август 2023</v>
      </c>
      <c r="I1215" s="10">
        <f>IF(Таблицаx_2[[#This Row],[Месяц окончания]]=Таблицаx_2[[#This Row],[Месяц]],Таблицаx_2[[#This Row],[Значения числа]],0)</f>
        <v>13370</v>
      </c>
      <c r="J1215" s="8">
        <f>IF(AND(Таблицаx_2[[#This Row],[Месяц окончания]]=Таблицаx_2[[#This Row],[Месяц]],Таблицаx_2[[#This Row],[id]]=A1216,EDATE(Таблицаx_2[[#This Row],[Месяц]],1)=D1216),F1216,0)</f>
        <v>0</v>
      </c>
      <c r="K1215" s="8">
        <f>IF(AND(Таблицаx_2[[#This Row],[Месяц окончания]]=Таблицаx_2[[#This Row],[Месяц]],Таблицаx_2[[#This Row],[id]]=A1216,EDATE(Таблицаx_2[[#This Row],[Месяц]],2)=D1216),F1216,0)</f>
        <v>13370</v>
      </c>
    </row>
    <row r="1216" spans="1:11" ht="12.75" hidden="1" customHeight="1" x14ac:dyDescent="0.2">
      <c r="A1216" s="8">
        <v>929</v>
      </c>
      <c r="B1216" s="8" t="s">
        <v>47</v>
      </c>
      <c r="C1216" s="8" t="s">
        <v>4</v>
      </c>
      <c r="D1216" s="12">
        <v>45200</v>
      </c>
      <c r="E1216" s="8">
        <v>13370</v>
      </c>
      <c r="F1216" s="10">
        <f>IF(ISTEXT(Таблицаx_2[[#This Row],[Значение]]), 0, Таблицаx_2[[#This Row],[Значение]])</f>
        <v>13370</v>
      </c>
      <c r="G1216" s="12">
        <v>45139</v>
      </c>
      <c r="H1216" s="10" t="str">
        <f>IFERROR(VLOOKUP(Таблицаx_2[[#This Row],[id]],prolongations!A:C,2,)," ")</f>
        <v>август 2023</v>
      </c>
      <c r="I1216" s="10">
        <f>IF(Таблицаx_2[[#This Row],[Месяц окончания]]=Таблицаx_2[[#This Row],[Месяц]],Таблицаx_2[[#This Row],[Значения числа]],0)</f>
        <v>0</v>
      </c>
      <c r="J1216" s="8">
        <f>IF(AND(Таблицаx_2[[#This Row],[Месяц окончания]]=Таблицаx_2[[#This Row],[Месяц]],Таблицаx_2[[#This Row],[id]]=A1217,EDATE(Таблицаx_2[[#This Row],[Месяц]],1)=D1217),F1217,0)</f>
        <v>0</v>
      </c>
      <c r="K1216" s="8">
        <f>IF(AND(Таблицаx_2[[#This Row],[Месяц окончания]]=Таблицаx_2[[#This Row],[Месяц]],Таблицаx_2[[#This Row],[id]]=A1217,EDATE(Таблицаx_2[[#This Row],[Месяц]],2)=D1217),F1217,0)</f>
        <v>0</v>
      </c>
    </row>
    <row r="1217" spans="1:11" ht="12.75" hidden="1" customHeight="1" x14ac:dyDescent="0.2">
      <c r="A1217" s="8">
        <v>978</v>
      </c>
      <c r="B1217" s="8"/>
      <c r="C1217" s="8" t="s">
        <v>5</v>
      </c>
      <c r="D1217" s="12">
        <v>45078</v>
      </c>
      <c r="E1217" s="8" t="s">
        <v>48</v>
      </c>
      <c r="F1217" s="10">
        <f>IF(ISTEXT(Таблицаx_2[[#This Row],[Значение]]), 0, Таблицаx_2[[#This Row],[Значение]])</f>
        <v>0</v>
      </c>
      <c r="G1217" s="12">
        <v>45231</v>
      </c>
      <c r="H1217" s="10" t="str">
        <f>IFERROR(VLOOKUP(Таблицаx_2[[#This Row],[id]],prolongations!A:C,2,)," ")</f>
        <v>ноябрь 2023</v>
      </c>
      <c r="I1217" s="10">
        <f>IF(Таблицаx_2[[#This Row],[Месяц окончания]]=Таблицаx_2[[#This Row],[Месяц]],Таблицаx_2[[#This Row],[Значения числа]],0)</f>
        <v>0</v>
      </c>
      <c r="J1217" s="8">
        <f>IF(AND(Таблицаx_2[[#This Row],[Месяц окончания]]=Таблицаx_2[[#This Row],[Месяц]],Таблицаx_2[[#This Row],[id]]=A1218,EDATE(Таблицаx_2[[#This Row],[Месяц]],1)=D1218),F1218,0)</f>
        <v>0</v>
      </c>
      <c r="K1217" s="8">
        <f>IF(AND(Таблицаx_2[[#This Row],[Месяц окончания]]=Таблицаx_2[[#This Row],[Месяц]],Таблицаx_2[[#This Row],[id]]=A1218,EDATE(Таблицаx_2[[#This Row],[Месяц]],2)=D1218),F1218,0)</f>
        <v>0</v>
      </c>
    </row>
    <row r="1218" spans="1:11" ht="12.75" hidden="1" customHeight="1" x14ac:dyDescent="0.2">
      <c r="A1218" s="8">
        <v>978</v>
      </c>
      <c r="B1218" s="8"/>
      <c r="C1218" s="8" t="s">
        <v>5</v>
      </c>
      <c r="D1218" s="12">
        <v>45200</v>
      </c>
      <c r="E1218" s="8">
        <v>125000</v>
      </c>
      <c r="F1218" s="10">
        <f>IF(ISTEXT(Таблицаx_2[[#This Row],[Значение]]), 0, Таблицаx_2[[#This Row],[Значение]])</f>
        <v>125000</v>
      </c>
      <c r="G1218" s="12">
        <v>45231</v>
      </c>
      <c r="H1218" s="10" t="str">
        <f>IFERROR(VLOOKUP(Таблицаx_2[[#This Row],[id]],prolongations!A:C,2,)," ")</f>
        <v>ноябрь 2023</v>
      </c>
      <c r="I1218" s="10">
        <f>IF(Таблицаx_2[[#This Row],[Месяц окончания]]=Таблицаx_2[[#This Row],[Месяц]],Таблицаx_2[[#This Row],[Значения числа]],0)</f>
        <v>0</v>
      </c>
      <c r="J1218" s="8">
        <f>IF(AND(Таблицаx_2[[#This Row],[Месяц окончания]]=Таблицаx_2[[#This Row],[Месяц]],Таблицаx_2[[#This Row],[id]]=A1219,EDATE(Таблицаx_2[[#This Row],[Месяц]],1)=D1219),F1219,0)</f>
        <v>0</v>
      </c>
      <c r="K1218" s="8">
        <f>IF(AND(Таблицаx_2[[#This Row],[Месяц окончания]]=Таблицаx_2[[#This Row],[Месяц]],Таблицаx_2[[#This Row],[id]]=A1219,EDATE(Таблицаx_2[[#This Row],[Месяц]],2)=D1219),F1219,0)</f>
        <v>0</v>
      </c>
    </row>
    <row r="1219" spans="1:11" ht="12.75" hidden="1" customHeight="1" x14ac:dyDescent="0.2">
      <c r="A1219" s="8">
        <v>978</v>
      </c>
      <c r="B1219" s="8"/>
      <c r="C1219" s="8" t="s">
        <v>5</v>
      </c>
      <c r="D1219" s="12">
        <v>45231</v>
      </c>
      <c r="E1219" s="8">
        <v>50640</v>
      </c>
      <c r="F1219" s="10">
        <f>IF(ISTEXT(Таблицаx_2[[#This Row],[Значение]]), 0, Таблицаx_2[[#This Row],[Значение]])</f>
        <v>50640</v>
      </c>
      <c r="G1219" s="12">
        <v>45231</v>
      </c>
      <c r="H1219" s="10" t="str">
        <f>IFERROR(VLOOKUP(Таблицаx_2[[#This Row],[id]],prolongations!A:C,2,)," ")</f>
        <v>ноябрь 2023</v>
      </c>
      <c r="I1219" s="10">
        <f>IF(Таблицаx_2[[#This Row],[Месяц окончания]]=Таблицаx_2[[#This Row],[Месяц]],Таблицаx_2[[#This Row],[Значения числа]],0)</f>
        <v>50640</v>
      </c>
      <c r="J1219" s="8">
        <f>IF(AND(Таблицаx_2[[#This Row],[Месяц окончания]]=Таблицаx_2[[#This Row],[Месяц]],Таблицаx_2[[#This Row],[id]]=A1220,EDATE(Таблицаx_2[[#This Row],[Месяц]],1)=D1220),F1220,0)</f>
        <v>0</v>
      </c>
      <c r="K1219" s="8">
        <f>IF(AND(Таблицаx_2[[#This Row],[Месяц окончания]]=Таблицаx_2[[#This Row],[Месяц]],Таблицаx_2[[#This Row],[id]]=A1220,EDATE(Таблицаx_2[[#This Row],[Месяц]],2)=D1220),F1220,0)</f>
        <v>0</v>
      </c>
    </row>
    <row r="1220" spans="1:11" ht="12.75" hidden="1" customHeight="1" x14ac:dyDescent="0.2">
      <c r="A1220" s="8">
        <v>793</v>
      </c>
      <c r="B1220" s="8" t="s">
        <v>52</v>
      </c>
      <c r="C1220" s="8" t="s">
        <v>11</v>
      </c>
      <c r="D1220" s="12">
        <v>44986</v>
      </c>
      <c r="E1220" s="8">
        <v>31850</v>
      </c>
      <c r="F1220" s="10">
        <f>IF(ISTEXT(Таблицаx_2[[#This Row],[Значение]]), 0, Таблицаx_2[[#This Row],[Значение]])</f>
        <v>31850</v>
      </c>
      <c r="G1220" s="12">
        <v>45231</v>
      </c>
      <c r="H1220" s="10" t="str">
        <f>IFERROR(VLOOKUP(Таблицаx_2[[#This Row],[id]],prolongations!A:C,2,)," ")</f>
        <v>ноябрь 2023</v>
      </c>
      <c r="I1220" s="10">
        <f>IF(Таблицаx_2[[#This Row],[Месяц окончания]]=Таблицаx_2[[#This Row],[Месяц]],Таблицаx_2[[#This Row],[Значения числа]],0)</f>
        <v>0</v>
      </c>
      <c r="J1220" s="8">
        <f>IF(AND(Таблицаx_2[[#This Row],[Месяц окончания]]=Таблицаx_2[[#This Row],[Месяц]],Таблицаx_2[[#This Row],[id]]=A1221,EDATE(Таблицаx_2[[#This Row],[Месяц]],1)=D1221),F1221,0)</f>
        <v>0</v>
      </c>
      <c r="K1220" s="8">
        <f>IF(AND(Таблицаx_2[[#This Row],[Месяц окончания]]=Таблицаx_2[[#This Row],[Месяц]],Таблицаx_2[[#This Row],[id]]=A1221,EDATE(Таблицаx_2[[#This Row],[Месяц]],2)=D1221),F1221,0)</f>
        <v>0</v>
      </c>
    </row>
    <row r="1221" spans="1:11" ht="12.75" hidden="1" customHeight="1" x14ac:dyDescent="0.2">
      <c r="A1221" s="8">
        <v>793</v>
      </c>
      <c r="B1221" s="8" t="s">
        <v>52</v>
      </c>
      <c r="C1221" s="8" t="s">
        <v>11</v>
      </c>
      <c r="D1221" s="12">
        <v>45017</v>
      </c>
      <c r="E1221" s="8">
        <v>57975</v>
      </c>
      <c r="F1221" s="10">
        <f>IF(ISTEXT(Таблицаx_2[[#This Row],[Значение]]), 0, Таблицаx_2[[#This Row],[Значение]])</f>
        <v>57975</v>
      </c>
      <c r="G1221" s="12">
        <v>45231</v>
      </c>
      <c r="H1221" s="10" t="str">
        <f>IFERROR(VLOOKUP(Таблицаx_2[[#This Row],[id]],prolongations!A:C,2,)," ")</f>
        <v>ноябрь 2023</v>
      </c>
      <c r="I1221" s="10">
        <f>IF(Таблицаx_2[[#This Row],[Месяц окончания]]=Таблицаx_2[[#This Row],[Месяц]],Таблицаx_2[[#This Row],[Значения числа]],0)</f>
        <v>0</v>
      </c>
      <c r="J1221" s="8">
        <f>IF(AND(Таблицаx_2[[#This Row],[Месяц окончания]]=Таблицаx_2[[#This Row],[Месяц]],Таблицаx_2[[#This Row],[id]]=A1222,EDATE(Таблицаx_2[[#This Row],[Месяц]],1)=D1222),F1222,0)</f>
        <v>0</v>
      </c>
      <c r="K1221" s="8">
        <f>IF(AND(Таблицаx_2[[#This Row],[Месяц окончания]]=Таблицаx_2[[#This Row],[Месяц]],Таблицаx_2[[#This Row],[id]]=A1222,EDATE(Таблицаx_2[[#This Row],[Месяц]],2)=D1222),F1222,0)</f>
        <v>0</v>
      </c>
    </row>
    <row r="1222" spans="1:11" ht="12.75" hidden="1" customHeight="1" x14ac:dyDescent="0.2">
      <c r="A1222" s="8">
        <v>793</v>
      </c>
      <c r="B1222" s="8" t="s">
        <v>52</v>
      </c>
      <c r="C1222" s="8" t="s">
        <v>11</v>
      </c>
      <c r="D1222" s="12">
        <v>45047</v>
      </c>
      <c r="E1222" s="8">
        <v>22175</v>
      </c>
      <c r="F1222" s="10">
        <f>IF(ISTEXT(Таблицаx_2[[#This Row],[Значение]]), 0, Таблицаx_2[[#This Row],[Значение]])</f>
        <v>22175</v>
      </c>
      <c r="G1222" s="12">
        <v>45231</v>
      </c>
      <c r="H1222" s="10" t="str">
        <f>IFERROR(VLOOKUP(Таблицаx_2[[#This Row],[id]],prolongations!A:C,2,)," ")</f>
        <v>ноябрь 2023</v>
      </c>
      <c r="I1222" s="10">
        <f>IF(Таблицаx_2[[#This Row],[Месяц окончания]]=Таблицаx_2[[#This Row],[Месяц]],Таблицаx_2[[#This Row],[Значения числа]],0)</f>
        <v>0</v>
      </c>
      <c r="J1222" s="8">
        <f>IF(AND(Таблицаx_2[[#This Row],[Месяц окончания]]=Таблицаx_2[[#This Row],[Месяц]],Таблицаx_2[[#This Row],[id]]=A1223,EDATE(Таблицаx_2[[#This Row],[Месяц]],1)=D1223),F1223,0)</f>
        <v>0</v>
      </c>
      <c r="K1222" s="8">
        <f>IF(AND(Таблицаx_2[[#This Row],[Месяц окончания]]=Таблицаx_2[[#This Row],[Месяц]],Таблицаx_2[[#This Row],[id]]=A1223,EDATE(Таблицаx_2[[#This Row],[Месяц]],2)=D1223),F1223,0)</f>
        <v>0</v>
      </c>
    </row>
    <row r="1223" spans="1:11" ht="12.75" hidden="1" customHeight="1" x14ac:dyDescent="0.2">
      <c r="A1223" s="8">
        <v>793</v>
      </c>
      <c r="B1223" s="8" t="s">
        <v>52</v>
      </c>
      <c r="C1223" s="8" t="s">
        <v>11</v>
      </c>
      <c r="D1223" s="12">
        <v>45078</v>
      </c>
      <c r="E1223" s="8">
        <v>22175</v>
      </c>
      <c r="F1223" s="10">
        <f>IF(ISTEXT(Таблицаx_2[[#This Row],[Значение]]), 0, Таблицаx_2[[#This Row],[Значение]])</f>
        <v>22175</v>
      </c>
      <c r="G1223" s="12">
        <v>45231</v>
      </c>
      <c r="H1223" s="10" t="str">
        <f>IFERROR(VLOOKUP(Таблицаx_2[[#This Row],[id]],prolongations!A:C,2,)," ")</f>
        <v>ноябрь 2023</v>
      </c>
      <c r="I1223" s="10">
        <f>IF(Таблицаx_2[[#This Row],[Месяц окончания]]=Таблицаx_2[[#This Row],[Месяц]],Таблицаx_2[[#This Row],[Значения числа]],0)</f>
        <v>0</v>
      </c>
      <c r="J1223" s="8">
        <f>IF(AND(Таблицаx_2[[#This Row],[Месяц окончания]]=Таблицаx_2[[#This Row],[Месяц]],Таблицаx_2[[#This Row],[id]]=A1224,EDATE(Таблицаx_2[[#This Row],[Месяц]],1)=D1224),F1224,0)</f>
        <v>0</v>
      </c>
      <c r="K1223" s="8">
        <f>IF(AND(Таблицаx_2[[#This Row],[Месяц окончания]]=Таблицаx_2[[#This Row],[Месяц]],Таблицаx_2[[#This Row],[id]]=A1224,EDATE(Таблицаx_2[[#This Row],[Месяц]],2)=D1224),F1224,0)</f>
        <v>0</v>
      </c>
    </row>
    <row r="1224" spans="1:11" ht="12.75" hidden="1" customHeight="1" x14ac:dyDescent="0.2">
      <c r="A1224" s="8">
        <v>793</v>
      </c>
      <c r="B1224" s="8" t="s">
        <v>52</v>
      </c>
      <c r="C1224" s="8" t="s">
        <v>11</v>
      </c>
      <c r="D1224" s="12">
        <v>45108</v>
      </c>
      <c r="E1224" s="8">
        <v>23010</v>
      </c>
      <c r="F1224" s="10">
        <f>IF(ISTEXT(Таблицаx_2[[#This Row],[Значение]]), 0, Таблицаx_2[[#This Row],[Значение]])</f>
        <v>23010</v>
      </c>
      <c r="G1224" s="12">
        <v>45231</v>
      </c>
      <c r="H1224" s="10" t="str">
        <f>IFERROR(VLOOKUP(Таблицаx_2[[#This Row],[id]],prolongations!A:C,2,)," ")</f>
        <v>ноябрь 2023</v>
      </c>
      <c r="I1224" s="10">
        <f>IF(Таблицаx_2[[#This Row],[Месяц окончания]]=Таблицаx_2[[#This Row],[Месяц]],Таблицаx_2[[#This Row],[Значения числа]],0)</f>
        <v>0</v>
      </c>
      <c r="J1224" s="8">
        <f>IF(AND(Таблицаx_2[[#This Row],[Месяц окончания]]=Таблицаx_2[[#This Row],[Месяц]],Таблицаx_2[[#This Row],[id]]=A1225,EDATE(Таблицаx_2[[#This Row],[Месяц]],1)=D1225),F1225,0)</f>
        <v>0</v>
      </c>
      <c r="K1224" s="8">
        <f>IF(AND(Таблицаx_2[[#This Row],[Месяц окончания]]=Таблицаx_2[[#This Row],[Месяц]],Таблицаx_2[[#This Row],[id]]=A1225,EDATE(Таблицаx_2[[#This Row],[Месяц]],2)=D1225),F1225,0)</f>
        <v>0</v>
      </c>
    </row>
    <row r="1225" spans="1:11" ht="12.75" hidden="1" customHeight="1" x14ac:dyDescent="0.2">
      <c r="A1225" s="8">
        <v>793</v>
      </c>
      <c r="B1225" s="8" t="s">
        <v>52</v>
      </c>
      <c r="C1225" s="8" t="s">
        <v>11</v>
      </c>
      <c r="D1225" s="12">
        <v>45139</v>
      </c>
      <c r="E1225" s="8">
        <v>23010</v>
      </c>
      <c r="F1225" s="10">
        <f>IF(ISTEXT(Таблицаx_2[[#This Row],[Значение]]), 0, Таблицаx_2[[#This Row],[Значение]])</f>
        <v>23010</v>
      </c>
      <c r="G1225" s="12">
        <v>45231</v>
      </c>
      <c r="H1225" s="10" t="str">
        <f>IFERROR(VLOOKUP(Таблицаx_2[[#This Row],[id]],prolongations!A:C,2,)," ")</f>
        <v>ноябрь 2023</v>
      </c>
      <c r="I1225" s="10">
        <f>IF(Таблицаx_2[[#This Row],[Месяц окончания]]=Таблицаx_2[[#This Row],[Месяц]],Таблицаx_2[[#This Row],[Значения числа]],0)</f>
        <v>0</v>
      </c>
      <c r="J1225" s="8">
        <f>IF(AND(Таблицаx_2[[#This Row],[Месяц окончания]]=Таблицаx_2[[#This Row],[Месяц]],Таблицаx_2[[#This Row],[id]]=A1226,EDATE(Таблицаx_2[[#This Row],[Месяц]],1)=D1226),F1226,0)</f>
        <v>0</v>
      </c>
      <c r="K1225" s="8">
        <f>IF(AND(Таблицаx_2[[#This Row],[Месяц окончания]]=Таблицаx_2[[#This Row],[Месяц]],Таблицаx_2[[#This Row],[id]]=A1226,EDATE(Таблицаx_2[[#This Row],[Месяц]],2)=D1226),F1226,0)</f>
        <v>0</v>
      </c>
    </row>
    <row r="1226" spans="1:11" ht="12.75" hidden="1" customHeight="1" x14ac:dyDescent="0.2">
      <c r="A1226" s="8">
        <v>793</v>
      </c>
      <c r="B1226" s="8" t="s">
        <v>52</v>
      </c>
      <c r="C1226" s="8" t="s">
        <v>11</v>
      </c>
      <c r="D1226" s="12">
        <v>45170</v>
      </c>
      <c r="E1226" s="8">
        <v>23010</v>
      </c>
      <c r="F1226" s="10">
        <f>IF(ISTEXT(Таблицаx_2[[#This Row],[Значение]]), 0, Таблицаx_2[[#This Row],[Значение]])</f>
        <v>23010</v>
      </c>
      <c r="G1226" s="12">
        <v>45231</v>
      </c>
      <c r="H1226" s="10" t="str">
        <f>IFERROR(VLOOKUP(Таблицаx_2[[#This Row],[id]],prolongations!A:C,2,)," ")</f>
        <v>ноябрь 2023</v>
      </c>
      <c r="I1226" s="10">
        <f>IF(Таблицаx_2[[#This Row],[Месяц окончания]]=Таблицаx_2[[#This Row],[Месяц]],Таблицаx_2[[#This Row],[Значения числа]],0)</f>
        <v>0</v>
      </c>
      <c r="J1226" s="8">
        <f>IF(AND(Таблицаx_2[[#This Row],[Месяц окончания]]=Таблицаx_2[[#This Row],[Месяц]],Таблицаx_2[[#This Row],[id]]=A1227,EDATE(Таблицаx_2[[#This Row],[Месяц]],1)=D1227),F1227,0)</f>
        <v>0</v>
      </c>
      <c r="K1226" s="8">
        <f>IF(AND(Таблицаx_2[[#This Row],[Месяц окончания]]=Таблицаx_2[[#This Row],[Месяц]],Таблицаx_2[[#This Row],[id]]=A1227,EDATE(Таблицаx_2[[#This Row],[Месяц]],2)=D1227),F1227,0)</f>
        <v>0</v>
      </c>
    </row>
    <row r="1227" spans="1:11" ht="12.75" hidden="1" customHeight="1" x14ac:dyDescent="0.2">
      <c r="A1227" s="8">
        <v>793</v>
      </c>
      <c r="B1227" s="8" t="s">
        <v>52</v>
      </c>
      <c r="C1227" s="8" t="s">
        <v>11</v>
      </c>
      <c r="D1227" s="12">
        <v>45200</v>
      </c>
      <c r="E1227" s="8">
        <v>23010</v>
      </c>
      <c r="F1227" s="10">
        <f>IF(ISTEXT(Таблицаx_2[[#This Row],[Значение]]), 0, Таблицаx_2[[#This Row],[Значение]])</f>
        <v>23010</v>
      </c>
      <c r="G1227" s="12">
        <v>45231</v>
      </c>
      <c r="H1227" s="10" t="str">
        <f>IFERROR(VLOOKUP(Таблицаx_2[[#This Row],[id]],prolongations!A:C,2,)," ")</f>
        <v>ноябрь 2023</v>
      </c>
      <c r="I1227" s="10">
        <f>IF(Таблицаx_2[[#This Row],[Месяц окончания]]=Таблицаx_2[[#This Row],[Месяц]],Таблицаx_2[[#This Row],[Значения числа]],0)</f>
        <v>0</v>
      </c>
      <c r="J1227" s="8">
        <f>IF(AND(Таблицаx_2[[#This Row],[Месяц окончания]]=Таблицаx_2[[#This Row],[Месяц]],Таблицаx_2[[#This Row],[id]]=A1228,EDATE(Таблицаx_2[[#This Row],[Месяц]],1)=D1228),F1228,0)</f>
        <v>0</v>
      </c>
      <c r="K1227" s="8">
        <f>IF(AND(Таблицаx_2[[#This Row],[Месяц окончания]]=Таблицаx_2[[#This Row],[Месяц]],Таблицаx_2[[#This Row],[id]]=A1228,EDATE(Таблицаx_2[[#This Row],[Месяц]],2)=D1228),F1228,0)</f>
        <v>0</v>
      </c>
    </row>
    <row r="1228" spans="1:11" ht="12.75" hidden="1" customHeight="1" x14ac:dyDescent="0.2">
      <c r="A1228" s="8">
        <v>793</v>
      </c>
      <c r="B1228" s="8" t="s">
        <v>52</v>
      </c>
      <c r="C1228" s="8" t="s">
        <v>11</v>
      </c>
      <c r="D1228" s="12">
        <v>45231</v>
      </c>
      <c r="E1228" s="8">
        <v>58810</v>
      </c>
      <c r="F1228" s="10">
        <f>IF(ISTEXT(Таблицаx_2[[#This Row],[Значение]]), 0, Таблицаx_2[[#This Row],[Значение]])</f>
        <v>58810</v>
      </c>
      <c r="G1228" s="12">
        <v>45231</v>
      </c>
      <c r="H1228" s="10" t="str">
        <f>IFERROR(VLOOKUP(Таблицаx_2[[#This Row],[id]],prolongations!A:C,2,)," ")</f>
        <v>ноябрь 2023</v>
      </c>
      <c r="I1228" s="10">
        <f>IF(Таблицаx_2[[#This Row],[Месяц окончания]]=Таблицаx_2[[#This Row],[Месяц]],Таблицаx_2[[#This Row],[Значения числа]],0)</f>
        <v>58810</v>
      </c>
      <c r="J1228" s="8">
        <f>IF(AND(Таблицаx_2[[#This Row],[Месяц окончания]]=Таблицаx_2[[#This Row],[Месяц]],Таблицаx_2[[#This Row],[id]]=A1229,EDATE(Таблицаx_2[[#This Row],[Месяц]],1)=D1229),F1229,0)</f>
        <v>0</v>
      </c>
      <c r="K1228" s="8">
        <f>IF(AND(Таблицаx_2[[#This Row],[Месяц окончания]]=Таблицаx_2[[#This Row],[Месяц]],Таблицаx_2[[#This Row],[id]]=A1229,EDATE(Таблицаx_2[[#This Row],[Месяц]],2)=D1229),F1229,0)</f>
        <v>0</v>
      </c>
    </row>
    <row r="1229" spans="1:11" ht="12.75" hidden="1" customHeight="1" x14ac:dyDescent="0.2">
      <c r="A1229" s="8">
        <v>793</v>
      </c>
      <c r="B1229" s="8" t="s">
        <v>50</v>
      </c>
      <c r="C1229" s="8" t="s">
        <v>11</v>
      </c>
      <c r="D1229" s="12">
        <v>44986</v>
      </c>
      <c r="E1229" s="8">
        <v>15926.7</v>
      </c>
      <c r="F1229" s="10">
        <f>IF(ISTEXT(Таблицаx_2[[#This Row],[Значение]]), 0, Таблицаx_2[[#This Row],[Значение]])</f>
        <v>15926.7</v>
      </c>
      <c r="G1229" s="12">
        <v>45231</v>
      </c>
      <c r="H1229" s="10" t="str">
        <f>IFERROR(VLOOKUP(Таблицаx_2[[#This Row],[id]],prolongations!A:C,2,)," ")</f>
        <v>ноябрь 2023</v>
      </c>
      <c r="I1229" s="10">
        <f>IF(Таблицаx_2[[#This Row],[Месяц окончания]]=Таблицаx_2[[#This Row],[Месяц]],Таблицаx_2[[#This Row],[Значения числа]],0)</f>
        <v>0</v>
      </c>
      <c r="J1229" s="8">
        <f>IF(AND(Таблицаx_2[[#This Row],[Месяц окончания]]=Таблицаx_2[[#This Row],[Месяц]],Таблицаx_2[[#This Row],[id]]=A1230,EDATE(Таблицаx_2[[#This Row],[Месяц]],1)=D1230),F1230,0)</f>
        <v>0</v>
      </c>
      <c r="K1229" s="8">
        <f>IF(AND(Таблицаx_2[[#This Row],[Месяц окончания]]=Таблицаx_2[[#This Row],[Месяц]],Таблицаx_2[[#This Row],[id]]=A1230,EDATE(Таблицаx_2[[#This Row],[Месяц]],2)=D1230),F1230,0)</f>
        <v>0</v>
      </c>
    </row>
    <row r="1230" spans="1:11" ht="12.75" hidden="1" customHeight="1" x14ac:dyDescent="0.2">
      <c r="A1230" s="8">
        <v>793</v>
      </c>
      <c r="B1230" s="8" t="s">
        <v>50</v>
      </c>
      <c r="C1230" s="8" t="s">
        <v>11</v>
      </c>
      <c r="D1230" s="12">
        <v>45017</v>
      </c>
      <c r="E1230" s="8">
        <v>10226</v>
      </c>
      <c r="F1230" s="10">
        <f>IF(ISTEXT(Таблицаx_2[[#This Row],[Значение]]), 0, Таблицаx_2[[#This Row],[Значение]])</f>
        <v>10226</v>
      </c>
      <c r="G1230" s="12">
        <v>45231</v>
      </c>
      <c r="H1230" s="10" t="str">
        <f>IFERROR(VLOOKUP(Таблицаx_2[[#This Row],[id]],prolongations!A:C,2,)," ")</f>
        <v>ноябрь 2023</v>
      </c>
      <c r="I1230" s="10">
        <f>IF(Таблицаx_2[[#This Row],[Месяц окончания]]=Таблицаx_2[[#This Row],[Месяц]],Таблицаx_2[[#This Row],[Значения числа]],0)</f>
        <v>0</v>
      </c>
      <c r="J1230" s="8">
        <f>IF(AND(Таблицаx_2[[#This Row],[Месяц окончания]]=Таблицаx_2[[#This Row],[Месяц]],Таблицаx_2[[#This Row],[id]]=A1231,EDATE(Таблицаx_2[[#This Row],[Месяц]],1)=D1231),F1231,0)</f>
        <v>0</v>
      </c>
      <c r="K1230" s="8">
        <f>IF(AND(Таблицаx_2[[#This Row],[Месяц окончания]]=Таблицаx_2[[#This Row],[Месяц]],Таблицаx_2[[#This Row],[id]]=A1231,EDATE(Таблицаx_2[[#This Row],[Месяц]],2)=D1231),F1231,0)</f>
        <v>0</v>
      </c>
    </row>
    <row r="1231" spans="1:11" ht="12.75" hidden="1" customHeight="1" x14ac:dyDescent="0.2">
      <c r="A1231" s="8">
        <v>793</v>
      </c>
      <c r="B1231" s="8" t="s">
        <v>50</v>
      </c>
      <c r="C1231" s="8" t="s">
        <v>11</v>
      </c>
      <c r="D1231" s="12">
        <v>45047</v>
      </c>
      <c r="E1231" s="8">
        <v>7578.94</v>
      </c>
      <c r="F1231" s="10">
        <f>IF(ISTEXT(Таблицаx_2[[#This Row],[Значение]]), 0, Таблицаx_2[[#This Row],[Значение]])</f>
        <v>7578.94</v>
      </c>
      <c r="G1231" s="12">
        <v>45231</v>
      </c>
      <c r="H1231" s="10" t="str">
        <f>IFERROR(VLOOKUP(Таблицаx_2[[#This Row],[id]],prolongations!A:C,2,)," ")</f>
        <v>ноябрь 2023</v>
      </c>
      <c r="I1231" s="10">
        <f>IF(Таблицаx_2[[#This Row],[Месяц окончания]]=Таблицаx_2[[#This Row],[Месяц]],Таблицаx_2[[#This Row],[Значения числа]],0)</f>
        <v>0</v>
      </c>
      <c r="J1231" s="8">
        <f>IF(AND(Таблицаx_2[[#This Row],[Месяц окончания]]=Таблицаx_2[[#This Row],[Месяц]],Таблицаx_2[[#This Row],[id]]=A1232,EDATE(Таблицаx_2[[#This Row],[Месяц]],1)=D1232),F1232,0)</f>
        <v>0</v>
      </c>
      <c r="K1231" s="8">
        <f>IF(AND(Таблицаx_2[[#This Row],[Месяц окончания]]=Таблицаx_2[[#This Row],[Месяц]],Таблицаx_2[[#This Row],[id]]=A1232,EDATE(Таблицаx_2[[#This Row],[Месяц]],2)=D1232),F1232,0)</f>
        <v>0</v>
      </c>
    </row>
    <row r="1232" spans="1:11" ht="12.75" hidden="1" customHeight="1" x14ac:dyDescent="0.2">
      <c r="A1232" s="8">
        <v>793</v>
      </c>
      <c r="B1232" s="8" t="s">
        <v>50</v>
      </c>
      <c r="C1232" s="8" t="s">
        <v>11</v>
      </c>
      <c r="D1232" s="12">
        <v>45078</v>
      </c>
      <c r="E1232" s="8">
        <v>11625.38</v>
      </c>
      <c r="F1232" s="10">
        <f>IF(ISTEXT(Таблицаx_2[[#This Row],[Значение]]), 0, Таблицаx_2[[#This Row],[Значение]])</f>
        <v>11625.38</v>
      </c>
      <c r="G1232" s="12">
        <v>45231</v>
      </c>
      <c r="H1232" s="10" t="str">
        <f>IFERROR(VLOOKUP(Таблицаx_2[[#This Row],[id]],prolongations!A:C,2,)," ")</f>
        <v>ноябрь 2023</v>
      </c>
      <c r="I1232" s="10">
        <f>IF(Таблицаx_2[[#This Row],[Месяц окончания]]=Таблицаx_2[[#This Row],[Месяц]],Таблицаx_2[[#This Row],[Значения числа]],0)</f>
        <v>0</v>
      </c>
      <c r="J1232" s="8">
        <f>IF(AND(Таблицаx_2[[#This Row],[Месяц окончания]]=Таблицаx_2[[#This Row],[Месяц]],Таблицаx_2[[#This Row],[id]]=A1233,EDATE(Таблицаx_2[[#This Row],[Месяц]],1)=D1233),F1233,0)</f>
        <v>0</v>
      </c>
      <c r="K1232" s="8">
        <f>IF(AND(Таблицаx_2[[#This Row],[Месяц окончания]]=Таблицаx_2[[#This Row],[Месяц]],Таблицаx_2[[#This Row],[id]]=A1233,EDATE(Таблицаx_2[[#This Row],[Месяц]],2)=D1233),F1233,0)</f>
        <v>0</v>
      </c>
    </row>
    <row r="1233" spans="1:11" ht="12.75" hidden="1" customHeight="1" x14ac:dyDescent="0.2">
      <c r="A1233" s="8">
        <v>793</v>
      </c>
      <c r="B1233" s="8" t="s">
        <v>50</v>
      </c>
      <c r="C1233" s="8" t="s">
        <v>11</v>
      </c>
      <c r="D1233" s="12">
        <v>45108</v>
      </c>
      <c r="E1233" s="8">
        <v>9084.4699999999993</v>
      </c>
      <c r="F1233" s="10">
        <f>IF(ISTEXT(Таблицаx_2[[#This Row],[Значение]]), 0, Таблицаx_2[[#This Row],[Значение]])</f>
        <v>9084.4699999999993</v>
      </c>
      <c r="G1233" s="12">
        <v>45231</v>
      </c>
      <c r="H1233" s="10" t="str">
        <f>IFERROR(VLOOKUP(Таблицаx_2[[#This Row],[id]],prolongations!A:C,2,)," ")</f>
        <v>ноябрь 2023</v>
      </c>
      <c r="I1233" s="10">
        <f>IF(Таблицаx_2[[#This Row],[Месяц окончания]]=Таблицаx_2[[#This Row],[Месяц]],Таблицаx_2[[#This Row],[Значения числа]],0)</f>
        <v>0</v>
      </c>
      <c r="J1233" s="8">
        <f>IF(AND(Таблицаx_2[[#This Row],[Месяц окончания]]=Таблицаx_2[[#This Row],[Месяц]],Таблицаx_2[[#This Row],[id]]=A1234,EDATE(Таблицаx_2[[#This Row],[Месяц]],1)=D1234),F1234,0)</f>
        <v>0</v>
      </c>
      <c r="K1233" s="8">
        <f>IF(AND(Таблицаx_2[[#This Row],[Месяц окончания]]=Таблицаx_2[[#This Row],[Месяц]],Таблицаx_2[[#This Row],[id]]=A1234,EDATE(Таблицаx_2[[#This Row],[Месяц]],2)=D1234),F1234,0)</f>
        <v>0</v>
      </c>
    </row>
    <row r="1234" spans="1:11" ht="12.75" hidden="1" customHeight="1" x14ac:dyDescent="0.2">
      <c r="A1234" s="8">
        <v>793</v>
      </c>
      <c r="B1234" s="8" t="s">
        <v>50</v>
      </c>
      <c r="C1234" s="8" t="s">
        <v>11</v>
      </c>
      <c r="D1234" s="12">
        <v>45139</v>
      </c>
      <c r="E1234" s="8">
        <v>7284.26</v>
      </c>
      <c r="F1234" s="10">
        <f>IF(ISTEXT(Таблицаx_2[[#This Row],[Значение]]), 0, Таблицаx_2[[#This Row],[Значение]])</f>
        <v>7284.26</v>
      </c>
      <c r="G1234" s="12">
        <v>45231</v>
      </c>
      <c r="H1234" s="10" t="str">
        <f>IFERROR(VLOOKUP(Таблицаx_2[[#This Row],[id]],prolongations!A:C,2,)," ")</f>
        <v>ноябрь 2023</v>
      </c>
      <c r="I1234" s="10">
        <f>IF(Таблицаx_2[[#This Row],[Месяц окончания]]=Таблицаx_2[[#This Row],[Месяц]],Таблицаx_2[[#This Row],[Значения числа]],0)</f>
        <v>0</v>
      </c>
      <c r="J1234" s="8">
        <f>IF(AND(Таблицаx_2[[#This Row],[Месяц окончания]]=Таблицаx_2[[#This Row],[Месяц]],Таблицаx_2[[#This Row],[id]]=A1235,EDATE(Таблицаx_2[[#This Row],[Месяц]],1)=D1235),F1235,0)</f>
        <v>0</v>
      </c>
      <c r="K1234" s="8">
        <f>IF(AND(Таблицаx_2[[#This Row],[Месяц окончания]]=Таблицаx_2[[#This Row],[Месяц]],Таблицаx_2[[#This Row],[id]]=A1235,EDATE(Таблицаx_2[[#This Row],[Месяц]],2)=D1235),F1235,0)</f>
        <v>0</v>
      </c>
    </row>
    <row r="1235" spans="1:11" ht="12.75" hidden="1" customHeight="1" x14ac:dyDescent="0.2">
      <c r="A1235" s="8">
        <v>793</v>
      </c>
      <c r="B1235" s="8" t="s">
        <v>50</v>
      </c>
      <c r="C1235" s="8" t="s">
        <v>11</v>
      </c>
      <c r="D1235" s="12">
        <v>45170</v>
      </c>
      <c r="E1235" s="8">
        <v>9650.43</v>
      </c>
      <c r="F1235" s="10">
        <f>IF(ISTEXT(Таблицаx_2[[#This Row],[Значение]]), 0, Таблицаx_2[[#This Row],[Значение]])</f>
        <v>9650.43</v>
      </c>
      <c r="G1235" s="12">
        <v>45231</v>
      </c>
      <c r="H1235" s="10" t="str">
        <f>IFERROR(VLOOKUP(Таблицаx_2[[#This Row],[id]],prolongations!A:C,2,)," ")</f>
        <v>ноябрь 2023</v>
      </c>
      <c r="I1235" s="10">
        <f>IF(Таблицаx_2[[#This Row],[Месяц окончания]]=Таблицаx_2[[#This Row],[Месяц]],Таблицаx_2[[#This Row],[Значения числа]],0)</f>
        <v>0</v>
      </c>
      <c r="J1235" s="8">
        <f>IF(AND(Таблицаx_2[[#This Row],[Месяц окончания]]=Таблицаx_2[[#This Row],[Месяц]],Таблицаx_2[[#This Row],[id]]=A1236,EDATE(Таблицаx_2[[#This Row],[Месяц]],1)=D1236),F1236,0)</f>
        <v>0</v>
      </c>
      <c r="K1235" s="8">
        <f>IF(AND(Таблицаx_2[[#This Row],[Месяц окончания]]=Таблицаx_2[[#This Row],[Месяц]],Таблицаx_2[[#This Row],[id]]=A1236,EDATE(Таблицаx_2[[#This Row],[Месяц]],2)=D1236),F1236,0)</f>
        <v>0</v>
      </c>
    </row>
    <row r="1236" spans="1:11" ht="12.75" hidden="1" customHeight="1" x14ac:dyDescent="0.2">
      <c r="A1236" s="8">
        <v>793</v>
      </c>
      <c r="B1236" s="8" t="s">
        <v>50</v>
      </c>
      <c r="C1236" s="8" t="s">
        <v>11</v>
      </c>
      <c r="D1236" s="12">
        <v>45200</v>
      </c>
      <c r="E1236" s="8">
        <v>8803.6200000000008</v>
      </c>
      <c r="F1236" s="10">
        <f>IF(ISTEXT(Таблицаx_2[[#This Row],[Значение]]), 0, Таблицаx_2[[#This Row],[Значение]])</f>
        <v>8803.6200000000008</v>
      </c>
      <c r="G1236" s="12">
        <v>45231</v>
      </c>
      <c r="H1236" s="10" t="str">
        <f>IFERROR(VLOOKUP(Таблицаx_2[[#This Row],[id]],prolongations!A:C,2,)," ")</f>
        <v>ноябрь 2023</v>
      </c>
      <c r="I1236" s="10">
        <f>IF(Таблицаx_2[[#This Row],[Месяц окончания]]=Таблицаx_2[[#This Row],[Месяц]],Таблицаx_2[[#This Row],[Значения числа]],0)</f>
        <v>0</v>
      </c>
      <c r="J1236" s="8">
        <f>IF(AND(Таблицаx_2[[#This Row],[Месяц окончания]]=Таблицаx_2[[#This Row],[Месяц]],Таблицаx_2[[#This Row],[id]]=A1237,EDATE(Таблицаx_2[[#This Row],[Месяц]],1)=D1237),F1237,0)</f>
        <v>0</v>
      </c>
      <c r="K1236" s="8">
        <f>IF(AND(Таблицаx_2[[#This Row],[Месяц окончания]]=Таблицаx_2[[#This Row],[Месяц]],Таблицаx_2[[#This Row],[id]]=A1237,EDATE(Таблицаx_2[[#This Row],[Месяц]],2)=D1237),F1237,0)</f>
        <v>0</v>
      </c>
    </row>
    <row r="1237" spans="1:11" ht="12.75" hidden="1" customHeight="1" x14ac:dyDescent="0.2">
      <c r="A1237" s="8">
        <v>793</v>
      </c>
      <c r="B1237" s="8" t="s">
        <v>50</v>
      </c>
      <c r="C1237" s="8" t="s">
        <v>11</v>
      </c>
      <c r="D1237" s="12">
        <v>45231</v>
      </c>
      <c r="E1237" s="8">
        <v>11086.06</v>
      </c>
      <c r="F1237" s="10">
        <f>IF(ISTEXT(Таблицаx_2[[#This Row],[Значение]]), 0, Таблицаx_2[[#This Row],[Значение]])</f>
        <v>11086.06</v>
      </c>
      <c r="G1237" s="12">
        <v>45231</v>
      </c>
      <c r="H1237" s="10" t="str">
        <f>IFERROR(VLOOKUP(Таблицаx_2[[#This Row],[id]],prolongations!A:C,2,)," ")</f>
        <v>ноябрь 2023</v>
      </c>
      <c r="I1237" s="10">
        <f>IF(Таблицаx_2[[#This Row],[Месяц окончания]]=Таблицаx_2[[#This Row],[Месяц]],Таблицаx_2[[#This Row],[Значения числа]],0)</f>
        <v>11086.06</v>
      </c>
      <c r="J1237" s="8">
        <f>IF(AND(Таблицаx_2[[#This Row],[Месяц окончания]]=Таблицаx_2[[#This Row],[Месяц]],Таблицаx_2[[#This Row],[id]]=A1238,EDATE(Таблицаx_2[[#This Row],[Месяц]],1)=D1238),F1238,0)</f>
        <v>0</v>
      </c>
      <c r="K1237" s="8">
        <f>IF(AND(Таблицаx_2[[#This Row],[Месяц окончания]]=Таблицаx_2[[#This Row],[Месяц]],Таблицаx_2[[#This Row],[id]]=A1238,EDATE(Таблицаx_2[[#This Row],[Месяц]],2)=D1238),F1238,0)</f>
        <v>0</v>
      </c>
    </row>
    <row r="1238" spans="1:11" ht="12.75" hidden="1" customHeight="1" x14ac:dyDescent="0.2">
      <c r="A1238" s="8">
        <v>48</v>
      </c>
      <c r="B1238" s="8" t="s">
        <v>45</v>
      </c>
      <c r="C1238" s="8" t="s">
        <v>10</v>
      </c>
      <c r="D1238" s="12">
        <v>44958</v>
      </c>
      <c r="E1238" s="8">
        <v>39726</v>
      </c>
      <c r="F1238" s="10">
        <f>IF(ISTEXT(Таблицаx_2[[#This Row],[Значение]]), 0, Таблицаx_2[[#This Row],[Значение]])</f>
        <v>39726</v>
      </c>
      <c r="G1238" s="12">
        <v>45017</v>
      </c>
      <c r="H1238" s="10" t="str">
        <f>IFERROR(VLOOKUP(Таблицаx_2[[#This Row],[id]],prolongations!A:C,2,)," ")</f>
        <v>апрель 2023</v>
      </c>
      <c r="I1238" s="10">
        <f>IF(Таблицаx_2[[#This Row],[Месяц окончания]]=Таблицаx_2[[#This Row],[Месяц]],Таблицаx_2[[#This Row],[Значения числа]],0)</f>
        <v>0</v>
      </c>
      <c r="J1238" s="8">
        <f>IF(AND(Таблицаx_2[[#This Row],[Месяц окончания]]=Таблицаx_2[[#This Row],[Месяц]],Таблицаx_2[[#This Row],[id]]=A1239,EDATE(Таблицаx_2[[#This Row],[Месяц]],1)=D1239),F1239,0)</f>
        <v>0</v>
      </c>
      <c r="K1238" s="8">
        <f>IF(AND(Таблицаx_2[[#This Row],[Месяц окончания]]=Таблицаx_2[[#This Row],[Месяц]],Таблицаx_2[[#This Row],[id]]=A1239,EDATE(Таблицаx_2[[#This Row],[Месяц]],2)=D1239),F1239,0)</f>
        <v>0</v>
      </c>
    </row>
    <row r="1239" spans="1:11" ht="12.75" hidden="1" customHeight="1" x14ac:dyDescent="0.2">
      <c r="A1239" s="8">
        <v>48</v>
      </c>
      <c r="B1239" s="8" t="s">
        <v>45</v>
      </c>
      <c r="C1239" s="8" t="s">
        <v>10</v>
      </c>
      <c r="D1239" s="12">
        <v>44986</v>
      </c>
      <c r="E1239" s="8">
        <v>39726</v>
      </c>
      <c r="F1239" s="10">
        <f>IF(ISTEXT(Таблицаx_2[[#This Row],[Значение]]), 0, Таблицаx_2[[#This Row],[Значение]])</f>
        <v>39726</v>
      </c>
      <c r="G1239" s="12">
        <v>45017</v>
      </c>
      <c r="H1239" s="10" t="str">
        <f>IFERROR(VLOOKUP(Таблицаx_2[[#This Row],[id]],prolongations!A:C,2,)," ")</f>
        <v>апрель 2023</v>
      </c>
      <c r="I1239" s="10">
        <f>IF(Таблицаx_2[[#This Row],[Месяц окончания]]=Таблицаx_2[[#This Row],[Месяц]],Таблицаx_2[[#This Row],[Значения числа]],0)</f>
        <v>0</v>
      </c>
      <c r="J1239" s="8">
        <f>IF(AND(Таблицаx_2[[#This Row],[Месяц окончания]]=Таблицаx_2[[#This Row],[Месяц]],Таблицаx_2[[#This Row],[id]]=A1240,EDATE(Таблицаx_2[[#This Row],[Месяц]],1)=D1240),F1240,0)</f>
        <v>0</v>
      </c>
      <c r="K1239" s="8">
        <f>IF(AND(Таблицаx_2[[#This Row],[Месяц окончания]]=Таблицаx_2[[#This Row],[Месяц]],Таблицаx_2[[#This Row],[id]]=A1240,EDATE(Таблицаx_2[[#This Row],[Месяц]],2)=D1240),F1240,0)</f>
        <v>0</v>
      </c>
    </row>
    <row r="1240" spans="1:11" ht="12.75" hidden="1" customHeight="1" x14ac:dyDescent="0.2">
      <c r="A1240" s="8">
        <v>48</v>
      </c>
      <c r="B1240" s="8" t="s">
        <v>45</v>
      </c>
      <c r="C1240" s="8" t="s">
        <v>10</v>
      </c>
      <c r="D1240" s="12">
        <v>45017</v>
      </c>
      <c r="E1240" s="8">
        <v>39726</v>
      </c>
      <c r="F1240" s="10">
        <f>IF(ISTEXT(Таблицаx_2[[#This Row],[Значение]]), 0, Таблицаx_2[[#This Row],[Значение]])</f>
        <v>39726</v>
      </c>
      <c r="G1240" s="12">
        <v>45017</v>
      </c>
      <c r="H1240" s="10" t="str">
        <f>IFERROR(VLOOKUP(Таблицаx_2[[#This Row],[id]],prolongations!A:C,2,)," ")</f>
        <v>апрель 2023</v>
      </c>
      <c r="I1240" s="10">
        <f>IF(Таблицаx_2[[#This Row],[Месяц окончания]]=Таблицаx_2[[#This Row],[Месяц]],Таблицаx_2[[#This Row],[Значения числа]],0)</f>
        <v>39726</v>
      </c>
      <c r="J1240" s="8">
        <f>IF(AND(Таблицаx_2[[#This Row],[Месяц окончания]]=Таблицаx_2[[#This Row],[Месяц]],Таблицаx_2[[#This Row],[id]]=A1241,EDATE(Таблицаx_2[[#This Row],[Месяц]],1)=D1241),F1241,0)</f>
        <v>0</v>
      </c>
      <c r="K1240" s="8">
        <f>IF(AND(Таблицаx_2[[#This Row],[Месяц окончания]]=Таблицаx_2[[#This Row],[Месяц]],Таблицаx_2[[#This Row],[id]]=A1241,EDATE(Таблицаx_2[[#This Row],[Месяц]],2)=D1241),F1241,0)</f>
        <v>0</v>
      </c>
    </row>
    <row r="1241" spans="1:11" ht="12.75" hidden="1" customHeight="1" x14ac:dyDescent="0.2">
      <c r="A1241" s="8">
        <v>48</v>
      </c>
      <c r="B1241" s="8" t="s">
        <v>45</v>
      </c>
      <c r="C1241" s="8" t="s">
        <v>10</v>
      </c>
      <c r="D1241" s="12">
        <v>45170</v>
      </c>
      <c r="E1241" s="8">
        <v>39726</v>
      </c>
      <c r="F1241" s="10">
        <f>IF(ISTEXT(Таблицаx_2[[#This Row],[Значение]]), 0, Таблицаx_2[[#This Row],[Значение]])</f>
        <v>39726</v>
      </c>
      <c r="G1241" s="12">
        <v>45017</v>
      </c>
      <c r="H1241" s="10" t="str">
        <f>IFERROR(VLOOKUP(Таблицаx_2[[#This Row],[id]],prolongations!A:C,2,)," ")</f>
        <v>апрель 2023</v>
      </c>
      <c r="I1241" s="10">
        <f>IF(Таблицаx_2[[#This Row],[Месяц окончания]]=Таблицаx_2[[#This Row],[Месяц]],Таблицаx_2[[#This Row],[Значения числа]],0)</f>
        <v>0</v>
      </c>
      <c r="J1241" s="8">
        <f>IF(AND(Таблицаx_2[[#This Row],[Месяц окончания]]=Таблицаx_2[[#This Row],[Месяц]],Таблицаx_2[[#This Row],[id]]=A1242,EDATE(Таблицаx_2[[#This Row],[Месяц]],1)=D1242),F1242,0)</f>
        <v>0</v>
      </c>
      <c r="K1241" s="8">
        <f>IF(AND(Таблицаx_2[[#This Row],[Месяц окончания]]=Таблицаx_2[[#This Row],[Месяц]],Таблицаx_2[[#This Row],[id]]=A1242,EDATE(Таблицаx_2[[#This Row],[Месяц]],2)=D1242),F1242,0)</f>
        <v>0</v>
      </c>
    </row>
    <row r="1242" spans="1:11" ht="12.75" hidden="1" customHeight="1" x14ac:dyDescent="0.2">
      <c r="A1242" s="8">
        <v>48</v>
      </c>
      <c r="B1242" s="8" t="s">
        <v>45</v>
      </c>
      <c r="C1242" s="8" t="s">
        <v>10</v>
      </c>
      <c r="D1242" s="12">
        <v>45200</v>
      </c>
      <c r="E1242" s="8">
        <v>39726</v>
      </c>
      <c r="F1242" s="10">
        <f>IF(ISTEXT(Таблицаx_2[[#This Row],[Значение]]), 0, Таблицаx_2[[#This Row],[Значение]])</f>
        <v>39726</v>
      </c>
      <c r="G1242" s="12">
        <v>45017</v>
      </c>
      <c r="H1242" s="10" t="str">
        <f>IFERROR(VLOOKUP(Таблицаx_2[[#This Row],[id]],prolongations!A:C,2,)," ")</f>
        <v>апрель 2023</v>
      </c>
      <c r="I1242" s="10">
        <f>IF(Таблицаx_2[[#This Row],[Месяц окончания]]=Таблицаx_2[[#This Row],[Месяц]],Таблицаx_2[[#This Row],[Значения числа]],0)</f>
        <v>0</v>
      </c>
      <c r="J1242" s="8">
        <f>IF(AND(Таблицаx_2[[#This Row],[Месяц окончания]]=Таблицаx_2[[#This Row],[Месяц]],Таблицаx_2[[#This Row],[id]]=A1243,EDATE(Таблицаx_2[[#This Row],[Месяц]],1)=D1243),F1243,0)</f>
        <v>0</v>
      </c>
      <c r="K1242" s="8">
        <f>IF(AND(Таблицаx_2[[#This Row],[Месяц окончания]]=Таблицаx_2[[#This Row],[Месяц]],Таблицаx_2[[#This Row],[id]]=A1243,EDATE(Таблицаx_2[[#This Row],[Месяц]],2)=D1243),F1243,0)</f>
        <v>0</v>
      </c>
    </row>
    <row r="1243" spans="1:11" ht="12.75" hidden="1" customHeight="1" x14ac:dyDescent="0.2">
      <c r="A1243" s="8">
        <v>48</v>
      </c>
      <c r="B1243" s="8" t="s">
        <v>45</v>
      </c>
      <c r="C1243" s="8" t="s">
        <v>10</v>
      </c>
      <c r="D1243" s="12">
        <v>45231</v>
      </c>
      <c r="E1243" s="8">
        <v>39726</v>
      </c>
      <c r="F1243" s="10">
        <f>IF(ISTEXT(Таблицаx_2[[#This Row],[Значение]]), 0, Таблицаx_2[[#This Row],[Значение]])</f>
        <v>39726</v>
      </c>
      <c r="G1243" s="12">
        <v>45017</v>
      </c>
      <c r="H1243" s="10" t="str">
        <f>IFERROR(VLOOKUP(Таблицаx_2[[#This Row],[id]],prolongations!A:C,2,)," ")</f>
        <v>апрель 2023</v>
      </c>
      <c r="I1243" s="10">
        <f>IF(Таблицаx_2[[#This Row],[Месяц окончания]]=Таблицаx_2[[#This Row],[Месяц]],Таблицаx_2[[#This Row],[Значения числа]],0)</f>
        <v>0</v>
      </c>
      <c r="J1243" s="8">
        <f>IF(AND(Таблицаx_2[[#This Row],[Месяц окончания]]=Таблицаx_2[[#This Row],[Месяц]],Таблицаx_2[[#This Row],[id]]=A1244,EDATE(Таблицаx_2[[#This Row],[Месяц]],1)=D1244),F1244,0)</f>
        <v>0</v>
      </c>
      <c r="K1243" s="8">
        <f>IF(AND(Таблицаx_2[[#This Row],[Месяц окончания]]=Таблицаx_2[[#This Row],[Месяц]],Таблицаx_2[[#This Row],[id]]=A1244,EDATE(Таблицаx_2[[#This Row],[Месяц]],2)=D1244),F1244,0)</f>
        <v>0</v>
      </c>
    </row>
    <row r="1244" spans="1:11" ht="12.75" hidden="1" customHeight="1" x14ac:dyDescent="0.2">
      <c r="A1244" s="8">
        <v>48</v>
      </c>
      <c r="B1244" s="8" t="s">
        <v>45</v>
      </c>
      <c r="C1244" s="8" t="s">
        <v>10</v>
      </c>
      <c r="D1244" s="12">
        <v>45292</v>
      </c>
      <c r="E1244" s="8">
        <v>45175.5</v>
      </c>
      <c r="F1244" s="10">
        <f>IF(ISTEXT(Таблицаx_2[[#This Row],[Значение]]), 0, Таблицаx_2[[#This Row],[Значение]])</f>
        <v>45175.5</v>
      </c>
      <c r="G1244" s="12">
        <v>45017</v>
      </c>
      <c r="H1244" s="10" t="str">
        <f>IFERROR(VLOOKUP(Таблицаx_2[[#This Row],[id]],prolongations!A:C,2,)," ")</f>
        <v>апрель 2023</v>
      </c>
      <c r="I1244" s="10">
        <f>IF(Таблицаx_2[[#This Row],[Месяц окончания]]=Таблицаx_2[[#This Row],[Месяц]],Таблицаx_2[[#This Row],[Значения числа]],0)</f>
        <v>0</v>
      </c>
      <c r="J1244" s="8">
        <f>IF(AND(Таблицаx_2[[#This Row],[Месяц окончания]]=Таблицаx_2[[#This Row],[Месяц]],Таблицаx_2[[#This Row],[id]]=A1245,EDATE(Таблицаx_2[[#This Row],[Месяц]],1)=D1245),F1245,0)</f>
        <v>0</v>
      </c>
      <c r="K1244" s="8">
        <f>IF(AND(Таблицаx_2[[#This Row],[Месяц окончания]]=Таблицаx_2[[#This Row],[Месяц]],Таблицаx_2[[#This Row],[id]]=A1245,EDATE(Таблицаx_2[[#This Row],[Месяц]],2)=D1245),F1245,0)</f>
        <v>0</v>
      </c>
    </row>
    <row r="1245" spans="1:11" ht="12.75" hidden="1" customHeight="1" x14ac:dyDescent="0.2">
      <c r="A1245" s="8">
        <v>48</v>
      </c>
      <c r="B1245" s="8" t="s">
        <v>45</v>
      </c>
      <c r="C1245" s="8" t="s">
        <v>10</v>
      </c>
      <c r="D1245" s="12">
        <v>45323</v>
      </c>
      <c r="E1245" s="8">
        <v>44635.5</v>
      </c>
      <c r="F1245" s="10">
        <f>IF(ISTEXT(Таблицаx_2[[#This Row],[Значение]]), 0, Таблицаx_2[[#This Row],[Значение]])</f>
        <v>44635.5</v>
      </c>
      <c r="G1245" s="12">
        <v>45017</v>
      </c>
      <c r="H1245" s="10" t="str">
        <f>IFERROR(VLOOKUP(Таблицаx_2[[#This Row],[id]],prolongations!A:C,2,)," ")</f>
        <v>апрель 2023</v>
      </c>
      <c r="I1245" s="10">
        <f>IF(Таблицаx_2[[#This Row],[Месяц окончания]]=Таблицаx_2[[#This Row],[Месяц]],Таблицаx_2[[#This Row],[Значения числа]],0)</f>
        <v>0</v>
      </c>
      <c r="J1245" s="8">
        <f>IF(AND(Таблицаx_2[[#This Row],[Месяц окончания]]=Таблицаx_2[[#This Row],[Месяц]],Таблицаx_2[[#This Row],[id]]=A1246,EDATE(Таблицаx_2[[#This Row],[Месяц]],1)=D1246),F1246,0)</f>
        <v>0</v>
      </c>
      <c r="K1245" s="8">
        <f>IF(AND(Таблицаx_2[[#This Row],[Месяц окончания]]=Таблицаx_2[[#This Row],[Месяц]],Таблицаx_2[[#This Row],[id]]=A1246,EDATE(Таблицаx_2[[#This Row],[Месяц]],2)=D1246),F1246,0)</f>
        <v>0</v>
      </c>
    </row>
    <row r="1246" spans="1:11" ht="12.75" hidden="1" customHeight="1" x14ac:dyDescent="0.2">
      <c r="A1246" s="8">
        <v>107</v>
      </c>
      <c r="B1246" s="8" t="s">
        <v>45</v>
      </c>
      <c r="C1246" s="8" t="s">
        <v>11</v>
      </c>
      <c r="D1246" s="12">
        <v>44866</v>
      </c>
      <c r="E1246" s="8">
        <v>52158</v>
      </c>
      <c r="F1246" s="10">
        <f>IF(ISTEXT(Таблицаx_2[[#This Row],[Значение]]), 0, Таблицаx_2[[#This Row],[Значение]])</f>
        <v>52158</v>
      </c>
      <c r="G1246" s="12">
        <v>44927</v>
      </c>
      <c r="H1246" s="10" t="str">
        <f>IFERROR(VLOOKUP(Таблицаx_2[[#This Row],[id]],prolongations!A:C,2,)," ")</f>
        <v>январь 2023</v>
      </c>
      <c r="I1246" s="10">
        <f>IF(Таблицаx_2[[#This Row],[Месяц окончания]]=Таблицаx_2[[#This Row],[Месяц]],Таблицаx_2[[#This Row],[Значения числа]],0)</f>
        <v>0</v>
      </c>
      <c r="J1246" s="8">
        <f>IF(AND(Таблицаx_2[[#This Row],[Месяц окончания]]=Таблицаx_2[[#This Row],[Месяц]],Таблицаx_2[[#This Row],[id]]=A1247,EDATE(Таблицаx_2[[#This Row],[Месяц]],1)=D1247),F1247,0)</f>
        <v>0</v>
      </c>
      <c r="K1246" s="8">
        <f>IF(AND(Таблицаx_2[[#This Row],[Месяц окончания]]=Таблицаx_2[[#This Row],[Месяц]],Таблицаx_2[[#This Row],[id]]=A1247,EDATE(Таблицаx_2[[#This Row],[Месяц]],2)=D1247),F1247,0)</f>
        <v>0</v>
      </c>
    </row>
    <row r="1247" spans="1:11" ht="12.75" hidden="1" customHeight="1" x14ac:dyDescent="0.2">
      <c r="A1247" s="8">
        <v>107</v>
      </c>
      <c r="B1247" s="8" t="s">
        <v>45</v>
      </c>
      <c r="C1247" s="8" t="s">
        <v>11</v>
      </c>
      <c r="D1247" s="12">
        <v>44896</v>
      </c>
      <c r="E1247" s="8">
        <v>66122</v>
      </c>
      <c r="F1247" s="10">
        <f>IF(ISTEXT(Таблицаx_2[[#This Row],[Значение]]), 0, Таблицаx_2[[#This Row],[Значение]])</f>
        <v>66122</v>
      </c>
      <c r="G1247" s="12">
        <v>44927</v>
      </c>
      <c r="H1247" s="10" t="str">
        <f>IFERROR(VLOOKUP(Таблицаx_2[[#This Row],[id]],prolongations!A:C,2,)," ")</f>
        <v>январь 2023</v>
      </c>
      <c r="I1247" s="10">
        <f>IF(Таблицаx_2[[#This Row],[Месяц окончания]]=Таблицаx_2[[#This Row],[Месяц]],Таблицаx_2[[#This Row],[Значения числа]],0)</f>
        <v>0</v>
      </c>
      <c r="J1247" s="8">
        <f>IF(AND(Таблицаx_2[[#This Row],[Месяц окончания]]=Таблицаx_2[[#This Row],[Месяц]],Таблицаx_2[[#This Row],[id]]=A1248,EDATE(Таблицаx_2[[#This Row],[Месяц]],1)=D1248),F1248,0)</f>
        <v>0</v>
      </c>
      <c r="K1247" s="8">
        <f>IF(AND(Таблицаx_2[[#This Row],[Месяц окончания]]=Таблицаx_2[[#This Row],[Месяц]],Таблицаx_2[[#This Row],[id]]=A1248,EDATE(Таблицаx_2[[#This Row],[Месяц]],2)=D1248),F1248,0)</f>
        <v>0</v>
      </c>
    </row>
    <row r="1248" spans="1:11" ht="12.75" hidden="1" customHeight="1" x14ac:dyDescent="0.2">
      <c r="A1248" s="8">
        <v>107</v>
      </c>
      <c r="B1248" s="8" t="s">
        <v>45</v>
      </c>
      <c r="C1248" s="8" t="s">
        <v>11</v>
      </c>
      <c r="D1248" s="12">
        <v>44927</v>
      </c>
      <c r="E1248" s="8">
        <v>34850</v>
      </c>
      <c r="F1248" s="10">
        <f>IF(ISTEXT(Таблицаx_2[[#This Row],[Значение]]), 0, Таблицаx_2[[#This Row],[Значение]])</f>
        <v>34850</v>
      </c>
      <c r="G1248" s="12">
        <v>44927</v>
      </c>
      <c r="H1248" s="10" t="str">
        <f>IFERROR(VLOOKUP(Таблицаx_2[[#This Row],[id]],prolongations!A:C,2,)," ")</f>
        <v>январь 2023</v>
      </c>
      <c r="I1248" s="10">
        <f>IF(Таблицаx_2[[#This Row],[Месяц окончания]]=Таблицаx_2[[#This Row],[Месяц]],Таблицаx_2[[#This Row],[Значения числа]],0)</f>
        <v>34850</v>
      </c>
      <c r="J1248" s="8">
        <f>IF(AND(Таблицаx_2[[#This Row],[Месяц окончания]]=Таблицаx_2[[#This Row],[Месяц]],Таблицаx_2[[#This Row],[id]]=A1249,EDATE(Таблицаx_2[[#This Row],[Месяц]],1)=D1249),F1249,0)</f>
        <v>0</v>
      </c>
      <c r="K1248" s="8">
        <f>IF(AND(Таблицаx_2[[#This Row],[Месяц окончания]]=Таблицаx_2[[#This Row],[Месяц]],Таблицаx_2[[#This Row],[id]]=A1249,EDATE(Таблицаx_2[[#This Row],[Месяц]],2)=D1249),F1249,0)</f>
        <v>67774.080000000002</v>
      </c>
    </row>
    <row r="1249" spans="1:11" ht="12.75" hidden="1" customHeight="1" x14ac:dyDescent="0.2">
      <c r="A1249" s="8">
        <v>107</v>
      </c>
      <c r="B1249" s="8" t="s">
        <v>45</v>
      </c>
      <c r="C1249" s="8" t="s">
        <v>11</v>
      </c>
      <c r="D1249" s="12">
        <v>44986</v>
      </c>
      <c r="E1249" s="8">
        <v>67774.080000000002</v>
      </c>
      <c r="F1249" s="10">
        <f>IF(ISTEXT(Таблицаx_2[[#This Row],[Значение]]), 0, Таблицаx_2[[#This Row],[Значение]])</f>
        <v>67774.080000000002</v>
      </c>
      <c r="G1249" s="12">
        <v>44927</v>
      </c>
      <c r="H1249" s="10" t="str">
        <f>IFERROR(VLOOKUP(Таблицаx_2[[#This Row],[id]],prolongations!A:C,2,)," ")</f>
        <v>январь 2023</v>
      </c>
      <c r="I1249" s="10">
        <f>IF(Таблицаx_2[[#This Row],[Месяц окончания]]=Таблицаx_2[[#This Row],[Месяц]],Таблицаx_2[[#This Row],[Значения числа]],0)</f>
        <v>0</v>
      </c>
      <c r="J1249" s="8">
        <f>IF(AND(Таблицаx_2[[#This Row],[Месяц окончания]]=Таблицаx_2[[#This Row],[Месяц]],Таблицаx_2[[#This Row],[id]]=A1250,EDATE(Таблицаx_2[[#This Row],[Месяц]],1)=D1250),F1250,0)</f>
        <v>0</v>
      </c>
      <c r="K1249" s="8">
        <f>IF(AND(Таблицаx_2[[#This Row],[Месяц окончания]]=Таблицаx_2[[#This Row],[Месяц]],Таблицаx_2[[#This Row],[id]]=A1250,EDATE(Таблицаx_2[[#This Row],[Месяц]],2)=D1250),F1250,0)</f>
        <v>0</v>
      </c>
    </row>
    <row r="1250" spans="1:11" ht="12.75" hidden="1" customHeight="1" x14ac:dyDescent="0.2">
      <c r="A1250" s="8">
        <v>107</v>
      </c>
      <c r="B1250" s="8" t="s">
        <v>45</v>
      </c>
      <c r="C1250" s="8" t="s">
        <v>11</v>
      </c>
      <c r="D1250" s="12">
        <v>45017</v>
      </c>
      <c r="E1250" s="8">
        <v>36046</v>
      </c>
      <c r="F1250" s="10">
        <f>IF(ISTEXT(Таблицаx_2[[#This Row],[Значение]]), 0, Таблицаx_2[[#This Row],[Значение]])</f>
        <v>36046</v>
      </c>
      <c r="G1250" s="12">
        <v>44927</v>
      </c>
      <c r="H1250" s="10" t="str">
        <f>IFERROR(VLOOKUP(Таблицаx_2[[#This Row],[id]],prolongations!A:C,2,)," ")</f>
        <v>январь 2023</v>
      </c>
      <c r="I1250" s="10">
        <f>IF(Таблицаx_2[[#This Row],[Месяц окончания]]=Таблицаx_2[[#This Row],[Месяц]],Таблицаx_2[[#This Row],[Значения числа]],0)</f>
        <v>0</v>
      </c>
      <c r="J1250" s="8">
        <f>IF(AND(Таблицаx_2[[#This Row],[Месяц окончания]]=Таблицаx_2[[#This Row],[Месяц]],Таблицаx_2[[#This Row],[id]]=A1251,EDATE(Таблицаx_2[[#This Row],[Месяц]],1)=D1251),F1251,0)</f>
        <v>0</v>
      </c>
      <c r="K1250" s="8">
        <f>IF(AND(Таблицаx_2[[#This Row],[Месяц окончания]]=Таблицаx_2[[#This Row],[Месяц]],Таблицаx_2[[#This Row],[id]]=A1251,EDATE(Таблицаx_2[[#This Row],[Месяц]],2)=D1251),F1251,0)</f>
        <v>0</v>
      </c>
    </row>
    <row r="1251" spans="1:11" ht="12.75" hidden="1" customHeight="1" x14ac:dyDescent="0.2">
      <c r="A1251" s="8">
        <v>107</v>
      </c>
      <c r="B1251" s="8" t="s">
        <v>45</v>
      </c>
      <c r="C1251" s="8" t="s">
        <v>11</v>
      </c>
      <c r="D1251" s="12">
        <v>45047</v>
      </c>
      <c r="E1251" s="8">
        <v>54832</v>
      </c>
      <c r="F1251" s="10">
        <f>IF(ISTEXT(Таблицаx_2[[#This Row],[Значение]]), 0, Таблицаx_2[[#This Row],[Значение]])</f>
        <v>54832</v>
      </c>
      <c r="G1251" s="12">
        <v>44927</v>
      </c>
      <c r="H1251" s="10" t="str">
        <f>IFERROR(VLOOKUP(Таблицаx_2[[#This Row],[id]],prolongations!A:C,2,)," ")</f>
        <v>январь 2023</v>
      </c>
      <c r="I1251" s="10">
        <f>IF(Таблицаx_2[[#This Row],[Месяц окончания]]=Таблицаx_2[[#This Row],[Месяц]],Таблицаx_2[[#This Row],[Значения числа]],0)</f>
        <v>0</v>
      </c>
      <c r="J1251" s="8">
        <f>IF(AND(Таблицаx_2[[#This Row],[Месяц окончания]]=Таблицаx_2[[#This Row],[Месяц]],Таблицаx_2[[#This Row],[id]]=A1252,EDATE(Таблицаx_2[[#This Row],[Месяц]],1)=D1252),F1252,0)</f>
        <v>0</v>
      </c>
      <c r="K1251" s="8">
        <f>IF(AND(Таблицаx_2[[#This Row],[Месяц окончания]]=Таблицаx_2[[#This Row],[Месяц]],Таблицаx_2[[#This Row],[id]]=A1252,EDATE(Таблицаx_2[[#This Row],[Месяц]],2)=D1252),F1252,0)</f>
        <v>0</v>
      </c>
    </row>
    <row r="1252" spans="1:11" ht="12.75" hidden="1" customHeight="1" x14ac:dyDescent="0.2">
      <c r="A1252" s="8">
        <v>107</v>
      </c>
      <c r="B1252" s="8" t="s">
        <v>45</v>
      </c>
      <c r="C1252" s="8" t="s">
        <v>11</v>
      </c>
      <c r="D1252" s="12">
        <v>45078</v>
      </c>
      <c r="E1252" s="8">
        <v>47165.279999999999</v>
      </c>
      <c r="F1252" s="10">
        <f>IF(ISTEXT(Таблицаx_2[[#This Row],[Значение]]), 0, Таблицаx_2[[#This Row],[Значение]])</f>
        <v>47165.279999999999</v>
      </c>
      <c r="G1252" s="12">
        <v>44927</v>
      </c>
      <c r="H1252" s="10" t="str">
        <f>IFERROR(VLOOKUP(Таблицаx_2[[#This Row],[id]],prolongations!A:C,2,)," ")</f>
        <v>январь 2023</v>
      </c>
      <c r="I1252" s="10">
        <f>IF(Таблицаx_2[[#This Row],[Месяц окончания]]=Таблицаx_2[[#This Row],[Месяц]],Таблицаx_2[[#This Row],[Значения числа]],0)</f>
        <v>0</v>
      </c>
      <c r="J1252" s="8">
        <f>IF(AND(Таблицаx_2[[#This Row],[Месяц окончания]]=Таблицаx_2[[#This Row],[Месяц]],Таблицаx_2[[#This Row],[id]]=A1253,EDATE(Таблицаx_2[[#This Row],[Месяц]],1)=D1253),F1253,0)</f>
        <v>0</v>
      </c>
      <c r="K1252" s="8">
        <f>IF(AND(Таблицаx_2[[#This Row],[Месяц окончания]]=Таблицаx_2[[#This Row],[Месяц]],Таблицаx_2[[#This Row],[id]]=A1253,EDATE(Таблицаx_2[[#This Row],[Месяц]],2)=D1253),F1253,0)</f>
        <v>0</v>
      </c>
    </row>
    <row r="1253" spans="1:11" ht="12.75" hidden="1" customHeight="1" x14ac:dyDescent="0.2">
      <c r="A1253" s="8">
        <v>107</v>
      </c>
      <c r="B1253" s="8" t="s">
        <v>45</v>
      </c>
      <c r="C1253" s="8" t="s">
        <v>11</v>
      </c>
      <c r="D1253" s="12">
        <v>45108</v>
      </c>
      <c r="E1253" s="8">
        <v>71542</v>
      </c>
      <c r="F1253" s="10">
        <f>IF(ISTEXT(Таблицаx_2[[#This Row],[Значение]]), 0, Таблицаx_2[[#This Row],[Значение]])</f>
        <v>71542</v>
      </c>
      <c r="G1253" s="12">
        <v>44927</v>
      </c>
      <c r="H1253" s="10" t="str">
        <f>IFERROR(VLOOKUP(Таблицаx_2[[#This Row],[id]],prolongations!A:C,2,)," ")</f>
        <v>январь 2023</v>
      </c>
      <c r="I1253" s="10">
        <f>IF(Таблицаx_2[[#This Row],[Месяц окончания]]=Таблицаx_2[[#This Row],[Месяц]],Таблицаx_2[[#This Row],[Значения числа]],0)</f>
        <v>0</v>
      </c>
      <c r="J1253" s="8">
        <f>IF(AND(Таблицаx_2[[#This Row],[Месяц окончания]]=Таблицаx_2[[#This Row],[Месяц]],Таблицаx_2[[#This Row],[id]]=A1254,EDATE(Таблицаx_2[[#This Row],[Месяц]],1)=D1254),F1254,0)</f>
        <v>0</v>
      </c>
      <c r="K1253" s="8">
        <f>IF(AND(Таблицаx_2[[#This Row],[Месяц окончания]]=Таблицаx_2[[#This Row],[Месяц]],Таблицаx_2[[#This Row],[id]]=A1254,EDATE(Таблицаx_2[[#This Row],[Месяц]],2)=D1254),F1254,0)</f>
        <v>0</v>
      </c>
    </row>
    <row r="1254" spans="1:11" ht="12.75" hidden="1" customHeight="1" x14ac:dyDescent="0.2">
      <c r="A1254" s="8">
        <v>107</v>
      </c>
      <c r="B1254" s="8" t="s">
        <v>45</v>
      </c>
      <c r="C1254" s="8" t="s">
        <v>11</v>
      </c>
      <c r="D1254" s="12">
        <v>45139</v>
      </c>
      <c r="E1254" s="8">
        <v>51910.74</v>
      </c>
      <c r="F1254" s="10">
        <f>IF(ISTEXT(Таблицаx_2[[#This Row],[Значение]]), 0, Таблицаx_2[[#This Row],[Значение]])</f>
        <v>51910.74</v>
      </c>
      <c r="G1254" s="12">
        <v>44927</v>
      </c>
      <c r="H1254" s="10" t="str">
        <f>IFERROR(VLOOKUP(Таблицаx_2[[#This Row],[id]],prolongations!A:C,2,)," ")</f>
        <v>январь 2023</v>
      </c>
      <c r="I1254" s="10">
        <f>IF(Таблицаx_2[[#This Row],[Месяц окончания]]=Таблицаx_2[[#This Row],[Месяц]],Таблицаx_2[[#This Row],[Значения числа]],0)</f>
        <v>0</v>
      </c>
      <c r="J1254" s="8">
        <f>IF(AND(Таблицаx_2[[#This Row],[Месяц окончания]]=Таблицаx_2[[#This Row],[Месяц]],Таблицаx_2[[#This Row],[id]]=A1255,EDATE(Таблицаx_2[[#This Row],[Месяц]],1)=D1255),F1255,0)</f>
        <v>0</v>
      </c>
      <c r="K1254" s="8">
        <f>IF(AND(Таблицаx_2[[#This Row],[Месяц окончания]]=Таблицаx_2[[#This Row],[Месяц]],Таблицаx_2[[#This Row],[id]]=A1255,EDATE(Таблицаx_2[[#This Row],[Месяц]],2)=D1255),F1255,0)</f>
        <v>0</v>
      </c>
    </row>
    <row r="1255" spans="1:11" ht="12.75" hidden="1" customHeight="1" x14ac:dyDescent="0.2">
      <c r="A1255" s="8">
        <v>107</v>
      </c>
      <c r="B1255" s="8" t="s">
        <v>45</v>
      </c>
      <c r="C1255" s="8" t="s">
        <v>11</v>
      </c>
      <c r="D1255" s="12">
        <v>45170</v>
      </c>
      <c r="E1255" s="8">
        <v>60269</v>
      </c>
      <c r="F1255" s="10">
        <f>IF(ISTEXT(Таблицаx_2[[#This Row],[Значение]]), 0, Таблицаx_2[[#This Row],[Значение]])</f>
        <v>60269</v>
      </c>
      <c r="G1255" s="12">
        <v>44927</v>
      </c>
      <c r="H1255" s="10" t="str">
        <f>IFERROR(VLOOKUP(Таблицаx_2[[#This Row],[id]],prolongations!A:C,2,)," ")</f>
        <v>январь 2023</v>
      </c>
      <c r="I1255" s="10">
        <f>IF(Таблицаx_2[[#This Row],[Месяц окончания]]=Таблицаx_2[[#This Row],[Месяц]],Таблицаx_2[[#This Row],[Значения числа]],0)</f>
        <v>0</v>
      </c>
      <c r="J1255" s="8">
        <f>IF(AND(Таблицаx_2[[#This Row],[Месяц окончания]]=Таблицаx_2[[#This Row],[Месяц]],Таблицаx_2[[#This Row],[id]]=A1256,EDATE(Таблицаx_2[[#This Row],[Месяц]],1)=D1256),F1256,0)</f>
        <v>0</v>
      </c>
      <c r="K1255" s="8">
        <f>IF(AND(Таблицаx_2[[#This Row],[Месяц окончания]]=Таблицаx_2[[#This Row],[Месяц]],Таблицаx_2[[#This Row],[id]]=A1256,EDATE(Таблицаx_2[[#This Row],[Месяц]],2)=D1256),F1256,0)</f>
        <v>0</v>
      </c>
    </row>
    <row r="1256" spans="1:11" ht="12.75" hidden="1" customHeight="1" x14ac:dyDescent="0.2">
      <c r="A1256" s="8">
        <v>107</v>
      </c>
      <c r="B1256" s="8" t="s">
        <v>45</v>
      </c>
      <c r="C1256" s="8" t="s">
        <v>11</v>
      </c>
      <c r="D1256" s="12">
        <v>45200</v>
      </c>
      <c r="E1256" s="8">
        <v>58485.96</v>
      </c>
      <c r="F1256" s="10">
        <f>IF(ISTEXT(Таблицаx_2[[#This Row],[Значение]]), 0, Таблицаx_2[[#This Row],[Значение]])</f>
        <v>58485.96</v>
      </c>
      <c r="G1256" s="12">
        <v>44927</v>
      </c>
      <c r="H1256" s="10" t="str">
        <f>IFERROR(VLOOKUP(Таблицаx_2[[#This Row],[id]],prolongations!A:C,2,)," ")</f>
        <v>январь 2023</v>
      </c>
      <c r="I1256" s="10">
        <f>IF(Таблицаx_2[[#This Row],[Месяц окончания]]=Таблицаx_2[[#This Row],[Месяц]],Таблицаx_2[[#This Row],[Значения числа]],0)</f>
        <v>0</v>
      </c>
      <c r="J1256" s="8">
        <f>IF(AND(Таблицаx_2[[#This Row],[Месяц окончания]]=Таблицаx_2[[#This Row],[Месяц]],Таблицаx_2[[#This Row],[id]]=A1257,EDATE(Таблицаx_2[[#This Row],[Месяц]],1)=D1257),F1257,0)</f>
        <v>0</v>
      </c>
      <c r="K1256" s="8">
        <f>IF(AND(Таблицаx_2[[#This Row],[Месяц окончания]]=Таблицаx_2[[#This Row],[Месяц]],Таблицаx_2[[#This Row],[id]]=A1257,EDATE(Таблицаx_2[[#This Row],[Месяц]],2)=D1257),F1257,0)</f>
        <v>0</v>
      </c>
    </row>
    <row r="1257" spans="1:11" ht="12.75" hidden="1" customHeight="1" x14ac:dyDescent="0.2">
      <c r="A1257" s="8">
        <v>107</v>
      </c>
      <c r="B1257" s="8" t="s">
        <v>45</v>
      </c>
      <c r="C1257" s="8" t="s">
        <v>11</v>
      </c>
      <c r="D1257" s="12">
        <v>45231</v>
      </c>
      <c r="E1257" s="8">
        <v>59885.85</v>
      </c>
      <c r="F1257" s="10">
        <f>IF(ISTEXT(Таблицаx_2[[#This Row],[Значение]]), 0, Таблицаx_2[[#This Row],[Значение]])</f>
        <v>59885.85</v>
      </c>
      <c r="G1257" s="12">
        <v>44927</v>
      </c>
      <c r="H1257" s="10" t="str">
        <f>IFERROR(VLOOKUP(Таблицаx_2[[#This Row],[id]],prolongations!A:C,2,)," ")</f>
        <v>январь 2023</v>
      </c>
      <c r="I1257" s="10">
        <f>IF(Таблицаx_2[[#This Row],[Месяц окончания]]=Таблицаx_2[[#This Row],[Месяц]],Таблицаx_2[[#This Row],[Значения числа]],0)</f>
        <v>0</v>
      </c>
      <c r="J1257" s="8">
        <f>IF(AND(Таблицаx_2[[#This Row],[Месяц окончания]]=Таблицаx_2[[#This Row],[Месяц]],Таблицаx_2[[#This Row],[id]]=A1258,EDATE(Таблицаx_2[[#This Row],[Месяц]],1)=D1258),F1258,0)</f>
        <v>0</v>
      </c>
      <c r="K1257" s="8">
        <f>IF(AND(Таблицаx_2[[#This Row],[Месяц окончания]]=Таблицаx_2[[#This Row],[Месяц]],Таблицаx_2[[#This Row],[id]]=A1258,EDATE(Таблицаx_2[[#This Row],[Месяц]],2)=D1258),F1258,0)</f>
        <v>0</v>
      </c>
    </row>
    <row r="1258" spans="1:11" ht="12.75" hidden="1" customHeight="1" x14ac:dyDescent="0.2">
      <c r="A1258" s="8">
        <v>107</v>
      </c>
      <c r="B1258" s="8" t="s">
        <v>45</v>
      </c>
      <c r="C1258" s="8" t="s">
        <v>11</v>
      </c>
      <c r="D1258" s="12">
        <v>45261</v>
      </c>
      <c r="E1258" s="8">
        <v>65222.34</v>
      </c>
      <c r="F1258" s="10">
        <f>IF(ISTEXT(Таблицаx_2[[#This Row],[Значение]]), 0, Таблицаx_2[[#This Row],[Значение]])</f>
        <v>65222.34</v>
      </c>
      <c r="G1258" s="12">
        <v>44927</v>
      </c>
      <c r="H1258" s="10" t="str">
        <f>IFERROR(VLOOKUP(Таблицаx_2[[#This Row],[id]],prolongations!A:C,2,)," ")</f>
        <v>январь 2023</v>
      </c>
      <c r="I1258" s="10">
        <f>IF(Таблицаx_2[[#This Row],[Месяц окончания]]=Таблицаx_2[[#This Row],[Месяц]],Таблицаx_2[[#This Row],[Значения числа]],0)</f>
        <v>0</v>
      </c>
      <c r="J1258" s="8">
        <f>IF(AND(Таблицаx_2[[#This Row],[Месяц окончания]]=Таблицаx_2[[#This Row],[Месяц]],Таблицаx_2[[#This Row],[id]]=A1259,EDATE(Таблицаx_2[[#This Row],[Месяц]],1)=D1259),F1259,0)</f>
        <v>0</v>
      </c>
      <c r="K1258" s="8">
        <f>IF(AND(Таблицаx_2[[#This Row],[Месяц окончания]]=Таблицаx_2[[#This Row],[Месяц]],Таблицаx_2[[#This Row],[id]]=A1259,EDATE(Таблицаx_2[[#This Row],[Месяц]],2)=D1259),F1259,0)</f>
        <v>0</v>
      </c>
    </row>
    <row r="1259" spans="1:11" ht="12.75" hidden="1" customHeight="1" x14ac:dyDescent="0.2">
      <c r="A1259" s="8">
        <v>107</v>
      </c>
      <c r="B1259" s="8" t="s">
        <v>45</v>
      </c>
      <c r="C1259" s="8" t="s">
        <v>11</v>
      </c>
      <c r="D1259" s="12">
        <v>45292</v>
      </c>
      <c r="E1259" s="8">
        <v>60505.74</v>
      </c>
      <c r="F1259" s="10">
        <f>IF(ISTEXT(Таблицаx_2[[#This Row],[Значение]]), 0, Таблицаx_2[[#This Row],[Значение]])</f>
        <v>60505.74</v>
      </c>
      <c r="G1259" s="12">
        <v>44927</v>
      </c>
      <c r="H1259" s="10" t="str">
        <f>IFERROR(VLOOKUP(Таблицаx_2[[#This Row],[id]],prolongations!A:C,2,)," ")</f>
        <v>январь 2023</v>
      </c>
      <c r="I1259" s="10">
        <f>IF(Таблицаx_2[[#This Row],[Месяц окончания]]=Таблицаx_2[[#This Row],[Месяц]],Таблицаx_2[[#This Row],[Значения числа]],0)</f>
        <v>0</v>
      </c>
      <c r="J1259" s="8">
        <f>IF(AND(Таблицаx_2[[#This Row],[Месяц окончания]]=Таблицаx_2[[#This Row],[Месяц]],Таблицаx_2[[#This Row],[id]]=A1260,EDATE(Таблицаx_2[[#This Row],[Месяц]],1)=D1260),F1260,0)</f>
        <v>0</v>
      </c>
      <c r="K1259" s="8">
        <f>IF(AND(Таблицаx_2[[#This Row],[Месяц окончания]]=Таблицаx_2[[#This Row],[Месяц]],Таблицаx_2[[#This Row],[id]]=A1260,EDATE(Таблицаx_2[[#This Row],[Месяц]],2)=D1260),F1260,0)</f>
        <v>0</v>
      </c>
    </row>
    <row r="1260" spans="1:11" ht="12.75" hidden="1" customHeight="1" x14ac:dyDescent="0.2">
      <c r="A1260" s="8">
        <v>107</v>
      </c>
      <c r="B1260" s="8" t="s">
        <v>45</v>
      </c>
      <c r="C1260" s="8" t="s">
        <v>11</v>
      </c>
      <c r="D1260" s="12">
        <v>45323</v>
      </c>
      <c r="E1260" s="8">
        <v>66694.89</v>
      </c>
      <c r="F1260" s="10">
        <f>IF(ISTEXT(Таблицаx_2[[#This Row],[Значение]]), 0, Таблицаx_2[[#This Row],[Значение]])</f>
        <v>66694.89</v>
      </c>
      <c r="G1260" s="12">
        <v>44927</v>
      </c>
      <c r="H1260" s="10" t="str">
        <f>IFERROR(VLOOKUP(Таблицаx_2[[#This Row],[id]],prolongations!A:C,2,)," ")</f>
        <v>январь 2023</v>
      </c>
      <c r="I1260" s="10">
        <f>IF(Таблицаx_2[[#This Row],[Месяц окончания]]=Таблицаx_2[[#This Row],[Месяц]],Таблицаx_2[[#This Row],[Значения числа]],0)</f>
        <v>0</v>
      </c>
      <c r="J1260" s="8">
        <f>IF(AND(Таблицаx_2[[#This Row],[Месяц окончания]]=Таблицаx_2[[#This Row],[Месяц]],Таблицаx_2[[#This Row],[id]]=A1261,EDATE(Таблицаx_2[[#This Row],[Месяц]],1)=D1261),F1261,0)</f>
        <v>0</v>
      </c>
      <c r="K1260" s="8">
        <f>IF(AND(Таблицаx_2[[#This Row],[Месяц окончания]]=Таблицаx_2[[#This Row],[Месяц]],Таблицаx_2[[#This Row],[id]]=A1261,EDATE(Таблицаx_2[[#This Row],[Месяц]],2)=D1261),F1261,0)</f>
        <v>0</v>
      </c>
    </row>
    <row r="1261" spans="1:11" ht="12.75" hidden="1" customHeight="1" x14ac:dyDescent="0.2">
      <c r="A1261" s="8">
        <v>910</v>
      </c>
      <c r="B1261" s="8" t="s">
        <v>45</v>
      </c>
      <c r="C1261" s="8" t="s">
        <v>10</v>
      </c>
      <c r="D1261" s="12">
        <v>45108</v>
      </c>
      <c r="E1261" s="8">
        <v>69800</v>
      </c>
      <c r="F1261" s="10">
        <f>IF(ISTEXT(Таблицаx_2[[#This Row],[Значение]]), 0, Таблицаx_2[[#This Row],[Значение]])</f>
        <v>69800</v>
      </c>
      <c r="G1261" s="12">
        <v>45231</v>
      </c>
      <c r="H1261" s="10" t="str">
        <f>IFERROR(VLOOKUP(Таблицаx_2[[#This Row],[id]],prolongations!A:C,2,)," ")</f>
        <v>ноябрь 2023</v>
      </c>
      <c r="I1261" s="10">
        <f>IF(Таблицаx_2[[#This Row],[Месяц окончания]]=Таблицаx_2[[#This Row],[Месяц]],Таблицаx_2[[#This Row],[Значения числа]],0)</f>
        <v>0</v>
      </c>
      <c r="J1261" s="8">
        <f>IF(AND(Таблицаx_2[[#This Row],[Месяц окончания]]=Таблицаx_2[[#This Row],[Месяц]],Таблицаx_2[[#This Row],[id]]=A1262,EDATE(Таблицаx_2[[#This Row],[Месяц]],1)=D1262),F1262,0)</f>
        <v>0</v>
      </c>
      <c r="K1261" s="8">
        <f>IF(AND(Таблицаx_2[[#This Row],[Месяц окончания]]=Таблицаx_2[[#This Row],[Месяц]],Таблицаx_2[[#This Row],[id]]=A1262,EDATE(Таблицаx_2[[#This Row],[Месяц]],2)=D1262),F1262,0)</f>
        <v>0</v>
      </c>
    </row>
    <row r="1262" spans="1:11" ht="12.75" hidden="1" customHeight="1" x14ac:dyDescent="0.2">
      <c r="A1262" s="8">
        <v>910</v>
      </c>
      <c r="B1262" s="8" t="s">
        <v>45</v>
      </c>
      <c r="C1262" s="8" t="s">
        <v>10</v>
      </c>
      <c r="D1262" s="12">
        <v>45139</v>
      </c>
      <c r="E1262" s="8">
        <v>70000</v>
      </c>
      <c r="F1262" s="10">
        <f>IF(ISTEXT(Таблицаx_2[[#This Row],[Значение]]), 0, Таблицаx_2[[#This Row],[Значение]])</f>
        <v>70000</v>
      </c>
      <c r="G1262" s="12">
        <v>45231</v>
      </c>
      <c r="H1262" s="10" t="str">
        <f>IFERROR(VLOOKUP(Таблицаx_2[[#This Row],[id]],prolongations!A:C,2,)," ")</f>
        <v>ноябрь 2023</v>
      </c>
      <c r="I1262" s="10">
        <f>IF(Таблицаx_2[[#This Row],[Месяц окончания]]=Таблицаx_2[[#This Row],[Месяц]],Таблицаx_2[[#This Row],[Значения числа]],0)</f>
        <v>0</v>
      </c>
      <c r="J1262" s="8">
        <f>IF(AND(Таблицаx_2[[#This Row],[Месяц окончания]]=Таблицаx_2[[#This Row],[Месяц]],Таблицаx_2[[#This Row],[id]]=A1263,EDATE(Таблицаx_2[[#This Row],[Месяц]],1)=D1263),F1263,0)</f>
        <v>0</v>
      </c>
      <c r="K1262" s="8">
        <f>IF(AND(Таблицаx_2[[#This Row],[Месяц окончания]]=Таблицаx_2[[#This Row],[Месяц]],Таблицаx_2[[#This Row],[id]]=A1263,EDATE(Таблицаx_2[[#This Row],[Месяц]],2)=D1263),F1263,0)</f>
        <v>0</v>
      </c>
    </row>
    <row r="1263" spans="1:11" ht="12.75" hidden="1" customHeight="1" x14ac:dyDescent="0.2">
      <c r="A1263" s="8">
        <v>910</v>
      </c>
      <c r="B1263" s="8" t="s">
        <v>45</v>
      </c>
      <c r="C1263" s="8" t="s">
        <v>10</v>
      </c>
      <c r="D1263" s="12">
        <v>45200</v>
      </c>
      <c r="E1263" s="8">
        <v>65425</v>
      </c>
      <c r="F1263" s="10">
        <f>IF(ISTEXT(Таблицаx_2[[#This Row],[Значение]]), 0, Таблицаx_2[[#This Row],[Значение]])</f>
        <v>65425</v>
      </c>
      <c r="G1263" s="12">
        <v>45231</v>
      </c>
      <c r="H1263" s="10" t="str">
        <f>IFERROR(VLOOKUP(Таблицаx_2[[#This Row],[id]],prolongations!A:C,2,)," ")</f>
        <v>ноябрь 2023</v>
      </c>
      <c r="I1263" s="10">
        <f>IF(Таблицаx_2[[#This Row],[Месяц окончания]]=Таблицаx_2[[#This Row],[Месяц]],Таблицаx_2[[#This Row],[Значения числа]],0)</f>
        <v>0</v>
      </c>
      <c r="J1263" s="8">
        <f>IF(AND(Таблицаx_2[[#This Row],[Месяц окончания]]=Таблицаx_2[[#This Row],[Месяц]],Таблицаx_2[[#This Row],[id]]=A1264,EDATE(Таблицаx_2[[#This Row],[Месяц]],1)=D1264),F1264,0)</f>
        <v>0</v>
      </c>
      <c r="K1263" s="8">
        <f>IF(AND(Таблицаx_2[[#This Row],[Месяц окончания]]=Таблицаx_2[[#This Row],[Месяц]],Таблицаx_2[[#This Row],[id]]=A1264,EDATE(Таблицаx_2[[#This Row],[Месяц]],2)=D1264),F1264,0)</f>
        <v>0</v>
      </c>
    </row>
    <row r="1264" spans="1:11" ht="12.75" hidden="1" customHeight="1" x14ac:dyDescent="0.2">
      <c r="A1264" s="8">
        <v>910</v>
      </c>
      <c r="B1264" s="8" t="s">
        <v>47</v>
      </c>
      <c r="C1264" s="8" t="s">
        <v>10</v>
      </c>
      <c r="D1264" s="12">
        <v>45200</v>
      </c>
      <c r="E1264" s="8" t="s">
        <v>48</v>
      </c>
      <c r="F1264" s="10">
        <f>IF(ISTEXT(Таблицаx_2[[#This Row],[Значение]]), 0, Таблицаx_2[[#This Row],[Значение]])</f>
        <v>0</v>
      </c>
      <c r="G1264" s="12">
        <v>45231</v>
      </c>
      <c r="H1264" s="10" t="str">
        <f>IFERROR(VLOOKUP(Таблицаx_2[[#This Row],[id]],prolongations!A:C,2,)," ")</f>
        <v>ноябрь 2023</v>
      </c>
      <c r="I1264" s="10">
        <f>IF(Таблицаx_2[[#This Row],[Месяц окончания]]=Таблицаx_2[[#This Row],[Месяц]],Таблицаx_2[[#This Row],[Значения числа]],0)</f>
        <v>0</v>
      </c>
      <c r="J1264" s="8">
        <f>IF(AND(Таблицаx_2[[#This Row],[Месяц окончания]]=Таблицаx_2[[#This Row],[Месяц]],Таблицаx_2[[#This Row],[id]]=A1265,EDATE(Таблицаx_2[[#This Row],[Месяц]],1)=D1265),F1265,0)</f>
        <v>0</v>
      </c>
      <c r="K1264" s="8">
        <f>IF(AND(Таблицаx_2[[#This Row],[Месяц окончания]]=Таблицаx_2[[#This Row],[Месяц]],Таблицаx_2[[#This Row],[id]]=A1265,EDATE(Таблицаx_2[[#This Row],[Месяц]],2)=D1265),F1265,0)</f>
        <v>0</v>
      </c>
    </row>
    <row r="1265" spans="1:11" ht="12.75" hidden="1" customHeight="1" x14ac:dyDescent="0.2">
      <c r="A1265" s="8">
        <v>690</v>
      </c>
      <c r="B1265" s="8"/>
      <c r="C1265" s="8" t="s">
        <v>10</v>
      </c>
      <c r="D1265" s="12">
        <v>44866</v>
      </c>
      <c r="E1265" s="8">
        <v>54455</v>
      </c>
      <c r="F1265" s="10">
        <f>IF(ISTEXT(Таблицаx_2[[#This Row],[Значение]]), 0, Таблицаx_2[[#This Row],[Значение]])</f>
        <v>54455</v>
      </c>
      <c r="G1265" s="12">
        <v>44958</v>
      </c>
      <c r="H1265" s="10" t="str">
        <f>IFERROR(VLOOKUP(Таблицаx_2[[#This Row],[id]],prolongations!A:C,2,)," ")</f>
        <v>февраль 2023</v>
      </c>
      <c r="I1265" s="10">
        <f>IF(Таблицаx_2[[#This Row],[Месяц окончания]]=Таблицаx_2[[#This Row],[Месяц]],Таблицаx_2[[#This Row],[Значения числа]],0)</f>
        <v>0</v>
      </c>
      <c r="J1265" s="8">
        <f>IF(AND(Таблицаx_2[[#This Row],[Месяц окончания]]=Таблицаx_2[[#This Row],[Месяц]],Таблицаx_2[[#This Row],[id]]=A1266,EDATE(Таблицаx_2[[#This Row],[Месяц]],1)=D1266),F1266,0)</f>
        <v>0</v>
      </c>
      <c r="K1265" s="8">
        <f>IF(AND(Таблицаx_2[[#This Row],[Месяц окончания]]=Таблицаx_2[[#This Row],[Месяц]],Таблицаx_2[[#This Row],[id]]=A1266,EDATE(Таблицаx_2[[#This Row],[Месяц]],2)=D1266),F1266,0)</f>
        <v>0</v>
      </c>
    </row>
    <row r="1266" spans="1:11" ht="12.75" hidden="1" customHeight="1" x14ac:dyDescent="0.2">
      <c r="A1266" s="8">
        <v>690</v>
      </c>
      <c r="B1266" s="8"/>
      <c r="C1266" s="8" t="s">
        <v>10</v>
      </c>
      <c r="D1266" s="12">
        <v>44896</v>
      </c>
      <c r="E1266" s="8">
        <v>51995</v>
      </c>
      <c r="F1266" s="10">
        <f>IF(ISTEXT(Таблицаx_2[[#This Row],[Значение]]), 0, Таблицаx_2[[#This Row],[Значение]])</f>
        <v>51995</v>
      </c>
      <c r="G1266" s="12">
        <v>44958</v>
      </c>
      <c r="H1266" s="10" t="str">
        <f>IFERROR(VLOOKUP(Таблицаx_2[[#This Row],[id]],prolongations!A:C,2,)," ")</f>
        <v>февраль 2023</v>
      </c>
      <c r="I1266" s="10">
        <f>IF(Таблицаx_2[[#This Row],[Месяц окончания]]=Таблицаx_2[[#This Row],[Месяц]],Таблицаx_2[[#This Row],[Значения числа]],0)</f>
        <v>0</v>
      </c>
      <c r="J1266" s="8">
        <f>IF(AND(Таблицаx_2[[#This Row],[Месяц окончания]]=Таблицаx_2[[#This Row],[Месяц]],Таблицаx_2[[#This Row],[id]]=A1267,EDATE(Таблицаx_2[[#This Row],[Месяц]],1)=D1267),F1267,0)</f>
        <v>0</v>
      </c>
      <c r="K1266" s="8">
        <f>IF(AND(Таблицаx_2[[#This Row],[Месяц окончания]]=Таблицаx_2[[#This Row],[Месяц]],Таблицаx_2[[#This Row],[id]]=A1267,EDATE(Таблицаx_2[[#This Row],[Месяц]],2)=D1267),F1267,0)</f>
        <v>0</v>
      </c>
    </row>
    <row r="1267" spans="1:11" ht="12.75" hidden="1" customHeight="1" x14ac:dyDescent="0.2">
      <c r="A1267" s="8">
        <v>690</v>
      </c>
      <c r="B1267" s="8"/>
      <c r="C1267" s="8" t="s">
        <v>10</v>
      </c>
      <c r="D1267" s="12">
        <v>44927</v>
      </c>
      <c r="E1267" s="8">
        <v>54735</v>
      </c>
      <c r="F1267" s="10">
        <f>IF(ISTEXT(Таблицаx_2[[#This Row],[Значение]]), 0, Таблицаx_2[[#This Row],[Значение]])</f>
        <v>54735</v>
      </c>
      <c r="G1267" s="12">
        <v>44958</v>
      </c>
      <c r="H1267" s="10" t="str">
        <f>IFERROR(VLOOKUP(Таблицаx_2[[#This Row],[id]],prolongations!A:C,2,)," ")</f>
        <v>февраль 2023</v>
      </c>
      <c r="I1267" s="10">
        <f>IF(Таблицаx_2[[#This Row],[Месяц окончания]]=Таблицаx_2[[#This Row],[Месяц]],Таблицаx_2[[#This Row],[Значения числа]],0)</f>
        <v>0</v>
      </c>
      <c r="J1267" s="8">
        <f>IF(AND(Таблицаx_2[[#This Row],[Месяц окончания]]=Таблицаx_2[[#This Row],[Месяц]],Таблицаx_2[[#This Row],[id]]=A1268,EDATE(Таблицаx_2[[#This Row],[Месяц]],1)=D1268),F1268,0)</f>
        <v>0</v>
      </c>
      <c r="K1267" s="8">
        <f>IF(AND(Таблицаx_2[[#This Row],[Месяц окончания]]=Таблицаx_2[[#This Row],[Месяц]],Таблицаx_2[[#This Row],[id]]=A1268,EDATE(Таблицаx_2[[#This Row],[Месяц]],2)=D1268),F1268,0)</f>
        <v>0</v>
      </c>
    </row>
    <row r="1268" spans="1:11" ht="12.75" hidden="1" customHeight="1" x14ac:dyDescent="0.2">
      <c r="A1268" s="8">
        <v>690</v>
      </c>
      <c r="B1268" s="8"/>
      <c r="C1268" s="8" t="s">
        <v>10</v>
      </c>
      <c r="D1268" s="12">
        <v>44958</v>
      </c>
      <c r="E1268" s="8">
        <v>80085</v>
      </c>
      <c r="F1268" s="10">
        <f>IF(ISTEXT(Таблицаx_2[[#This Row],[Значение]]), 0, Таблицаx_2[[#This Row],[Значение]])</f>
        <v>80085</v>
      </c>
      <c r="G1268" s="12">
        <v>44958</v>
      </c>
      <c r="H1268" s="10" t="str">
        <f>IFERROR(VLOOKUP(Таблицаx_2[[#This Row],[id]],prolongations!A:C,2,)," ")</f>
        <v>февраль 2023</v>
      </c>
      <c r="I1268" s="10">
        <f>IF(Таблицаx_2[[#This Row],[Месяц окончания]]=Таблицаx_2[[#This Row],[Месяц]],Таблицаx_2[[#This Row],[Значения числа]],0)</f>
        <v>80085</v>
      </c>
      <c r="J1268" s="8">
        <f>IF(AND(Таблицаx_2[[#This Row],[Месяц окончания]]=Таблицаx_2[[#This Row],[Месяц]],Таблицаx_2[[#This Row],[id]]=A1269,EDATE(Таблицаx_2[[#This Row],[Месяц]],1)=D1269),F1269,0)</f>
        <v>79045</v>
      </c>
      <c r="K1268" s="8">
        <f>IF(AND(Таблицаx_2[[#This Row],[Месяц окончания]]=Таблицаx_2[[#This Row],[Месяц]],Таблицаx_2[[#This Row],[id]]=A1269,EDATE(Таблицаx_2[[#This Row],[Месяц]],2)=D1269),F1269,0)</f>
        <v>0</v>
      </c>
    </row>
    <row r="1269" spans="1:11" ht="12.75" hidden="1" customHeight="1" x14ac:dyDescent="0.2">
      <c r="A1269" s="8">
        <v>690</v>
      </c>
      <c r="B1269" s="8"/>
      <c r="C1269" s="8" t="s">
        <v>10</v>
      </c>
      <c r="D1269" s="12">
        <v>44986</v>
      </c>
      <c r="E1269" s="8">
        <v>79045</v>
      </c>
      <c r="F1269" s="10">
        <f>IF(ISTEXT(Таблицаx_2[[#This Row],[Значение]]), 0, Таблицаx_2[[#This Row],[Значение]])</f>
        <v>79045</v>
      </c>
      <c r="G1269" s="12">
        <v>44958</v>
      </c>
      <c r="H1269" s="10" t="str">
        <f>IFERROR(VLOOKUP(Таблицаx_2[[#This Row],[id]],prolongations!A:C,2,)," ")</f>
        <v>февраль 2023</v>
      </c>
      <c r="I1269" s="10">
        <f>IF(Таблицаx_2[[#This Row],[Месяц окончания]]=Таблицаx_2[[#This Row],[Месяц]],Таблицаx_2[[#This Row],[Значения числа]],0)</f>
        <v>0</v>
      </c>
      <c r="J1269" s="8">
        <f>IF(AND(Таблицаx_2[[#This Row],[Месяц окончания]]=Таблицаx_2[[#This Row],[Месяц]],Таблицаx_2[[#This Row],[id]]=A1270,EDATE(Таблицаx_2[[#This Row],[Месяц]],1)=D1270),F1270,0)</f>
        <v>0</v>
      </c>
      <c r="K1269" s="8">
        <f>IF(AND(Таблицаx_2[[#This Row],[Месяц окончания]]=Таблицаx_2[[#This Row],[Месяц]],Таблицаx_2[[#This Row],[id]]=A1270,EDATE(Таблицаx_2[[#This Row],[Месяц]],2)=D1270),F1270,0)</f>
        <v>0</v>
      </c>
    </row>
    <row r="1270" spans="1:11" ht="12.75" hidden="1" customHeight="1" x14ac:dyDescent="0.2">
      <c r="A1270" s="8">
        <v>690</v>
      </c>
      <c r="B1270" s="8"/>
      <c r="C1270" s="8" t="s">
        <v>10</v>
      </c>
      <c r="D1270" s="12">
        <v>45017</v>
      </c>
      <c r="E1270" s="8">
        <v>81310</v>
      </c>
      <c r="F1270" s="10">
        <f>IF(ISTEXT(Таблицаx_2[[#This Row],[Значение]]), 0, Таблицаx_2[[#This Row],[Значение]])</f>
        <v>81310</v>
      </c>
      <c r="G1270" s="12">
        <v>44958</v>
      </c>
      <c r="H1270" s="10" t="str">
        <f>IFERROR(VLOOKUP(Таблицаx_2[[#This Row],[id]],prolongations!A:C,2,)," ")</f>
        <v>февраль 2023</v>
      </c>
      <c r="I1270" s="10">
        <f>IF(Таблицаx_2[[#This Row],[Месяц окончания]]=Таблицаx_2[[#This Row],[Месяц]],Таблицаx_2[[#This Row],[Значения числа]],0)</f>
        <v>0</v>
      </c>
      <c r="J1270" s="8">
        <f>IF(AND(Таблицаx_2[[#This Row],[Месяц окончания]]=Таблицаx_2[[#This Row],[Месяц]],Таблицаx_2[[#This Row],[id]]=A1271,EDATE(Таблицаx_2[[#This Row],[Месяц]],1)=D1271),F1271,0)</f>
        <v>0</v>
      </c>
      <c r="K1270" s="8">
        <f>IF(AND(Таблицаx_2[[#This Row],[Месяц окончания]]=Таблицаx_2[[#This Row],[Месяц]],Таблицаx_2[[#This Row],[id]]=A1271,EDATE(Таблицаx_2[[#This Row],[Месяц]],2)=D1271),F1271,0)</f>
        <v>0</v>
      </c>
    </row>
    <row r="1271" spans="1:11" ht="12.75" hidden="1" customHeight="1" x14ac:dyDescent="0.2">
      <c r="A1271" s="8">
        <v>690</v>
      </c>
      <c r="B1271" s="8"/>
      <c r="C1271" s="8" t="s">
        <v>10</v>
      </c>
      <c r="D1271" s="12">
        <v>45047</v>
      </c>
      <c r="E1271" s="8" t="s">
        <v>46</v>
      </c>
      <c r="F1271" s="10">
        <f>IF(ISTEXT(Таблицаx_2[[#This Row],[Значение]]), 0, Таблицаx_2[[#This Row],[Значение]])</f>
        <v>0</v>
      </c>
      <c r="G1271" s="12">
        <v>44958</v>
      </c>
      <c r="H1271" s="10" t="str">
        <f>IFERROR(VLOOKUP(Таблицаx_2[[#This Row],[id]],prolongations!A:C,2,)," ")</f>
        <v>февраль 2023</v>
      </c>
      <c r="I1271" s="10">
        <f>IF(Таблицаx_2[[#This Row],[Месяц окончания]]=Таблицаx_2[[#This Row],[Месяц]],Таблицаx_2[[#This Row],[Значения числа]],0)</f>
        <v>0</v>
      </c>
      <c r="J1271" s="8">
        <f>IF(AND(Таблицаx_2[[#This Row],[Месяц окончания]]=Таблицаx_2[[#This Row],[Месяц]],Таблицаx_2[[#This Row],[id]]=A1272,EDATE(Таблицаx_2[[#This Row],[Месяц]],1)=D1272),F1272,0)</f>
        <v>0</v>
      </c>
      <c r="K1271" s="8">
        <f>IF(AND(Таблицаx_2[[#This Row],[Месяц окончания]]=Таблицаx_2[[#This Row],[Месяц]],Таблицаx_2[[#This Row],[id]]=A1272,EDATE(Таблицаx_2[[#This Row],[Месяц]],2)=D1272),F1272,0)</f>
        <v>0</v>
      </c>
    </row>
    <row r="1272" spans="1:11" ht="12.75" hidden="1" customHeight="1" x14ac:dyDescent="0.2">
      <c r="A1272" s="8">
        <v>690</v>
      </c>
      <c r="B1272" s="8"/>
      <c r="C1272" s="8" t="s">
        <v>10</v>
      </c>
      <c r="D1272" s="12">
        <v>45078</v>
      </c>
      <c r="E1272" s="8">
        <v>51395</v>
      </c>
      <c r="F1272" s="10">
        <f>IF(ISTEXT(Таблицаx_2[[#This Row],[Значение]]), 0, Таблицаx_2[[#This Row],[Значение]])</f>
        <v>51395</v>
      </c>
      <c r="G1272" s="12">
        <v>44958</v>
      </c>
      <c r="H1272" s="10" t="str">
        <f>IFERROR(VLOOKUP(Таблицаx_2[[#This Row],[id]],prolongations!A:C,2,)," ")</f>
        <v>февраль 2023</v>
      </c>
      <c r="I1272" s="10">
        <f>IF(Таблицаx_2[[#This Row],[Месяц окончания]]=Таблицаx_2[[#This Row],[Месяц]],Таблицаx_2[[#This Row],[Значения числа]],0)</f>
        <v>0</v>
      </c>
      <c r="J1272" s="8">
        <f>IF(AND(Таблицаx_2[[#This Row],[Месяц окончания]]=Таблицаx_2[[#This Row],[Месяц]],Таблицаx_2[[#This Row],[id]]=A1273,EDATE(Таблицаx_2[[#This Row],[Месяц]],1)=D1273),F1273,0)</f>
        <v>0</v>
      </c>
      <c r="K1272" s="8">
        <f>IF(AND(Таблицаx_2[[#This Row],[Месяц окончания]]=Таблицаx_2[[#This Row],[Месяц]],Таблицаx_2[[#This Row],[id]]=A1273,EDATE(Таблицаx_2[[#This Row],[Месяц]],2)=D1273),F1273,0)</f>
        <v>0</v>
      </c>
    </row>
    <row r="1273" spans="1:11" ht="12.75" hidden="1" customHeight="1" x14ac:dyDescent="0.2">
      <c r="A1273" s="8">
        <v>690</v>
      </c>
      <c r="B1273" s="8"/>
      <c r="C1273" s="8" t="s">
        <v>10</v>
      </c>
      <c r="D1273" s="12">
        <v>45108</v>
      </c>
      <c r="E1273" s="8">
        <v>51395</v>
      </c>
      <c r="F1273" s="10">
        <f>IF(ISTEXT(Таблицаx_2[[#This Row],[Значение]]), 0, Таблицаx_2[[#This Row],[Значение]])</f>
        <v>51395</v>
      </c>
      <c r="G1273" s="12">
        <v>44958</v>
      </c>
      <c r="H1273" s="10" t="str">
        <f>IFERROR(VLOOKUP(Таблицаx_2[[#This Row],[id]],prolongations!A:C,2,)," ")</f>
        <v>февраль 2023</v>
      </c>
      <c r="I1273" s="10">
        <f>IF(Таблицаx_2[[#This Row],[Месяц окончания]]=Таблицаx_2[[#This Row],[Месяц]],Таблицаx_2[[#This Row],[Значения числа]],0)</f>
        <v>0</v>
      </c>
      <c r="J1273" s="8">
        <f>IF(AND(Таблицаx_2[[#This Row],[Месяц окончания]]=Таблицаx_2[[#This Row],[Месяц]],Таблицаx_2[[#This Row],[id]]=A1274,EDATE(Таблицаx_2[[#This Row],[Месяц]],1)=D1274),F1274,0)</f>
        <v>0</v>
      </c>
      <c r="K1273" s="8">
        <f>IF(AND(Таблицаx_2[[#This Row],[Месяц окончания]]=Таблицаx_2[[#This Row],[Месяц]],Таблицаx_2[[#This Row],[id]]=A1274,EDATE(Таблицаx_2[[#This Row],[Месяц]],2)=D1274),F1274,0)</f>
        <v>0</v>
      </c>
    </row>
    <row r="1274" spans="1:11" ht="12.75" hidden="1" customHeight="1" x14ac:dyDescent="0.2">
      <c r="A1274" s="8">
        <v>690</v>
      </c>
      <c r="B1274" s="8"/>
      <c r="C1274" s="8" t="s">
        <v>10</v>
      </c>
      <c r="D1274" s="12">
        <v>45139</v>
      </c>
      <c r="E1274" s="8">
        <v>51395</v>
      </c>
      <c r="F1274" s="10">
        <f>IF(ISTEXT(Таблицаx_2[[#This Row],[Значение]]), 0, Таблицаx_2[[#This Row],[Значение]])</f>
        <v>51395</v>
      </c>
      <c r="G1274" s="12">
        <v>44958</v>
      </c>
      <c r="H1274" s="10" t="str">
        <f>IFERROR(VLOOKUP(Таблицаx_2[[#This Row],[id]],prolongations!A:C,2,)," ")</f>
        <v>февраль 2023</v>
      </c>
      <c r="I1274" s="10">
        <f>IF(Таблицаx_2[[#This Row],[Месяц окончания]]=Таблицаx_2[[#This Row],[Месяц]],Таблицаx_2[[#This Row],[Значения числа]],0)</f>
        <v>0</v>
      </c>
      <c r="J1274" s="8">
        <f>IF(AND(Таблицаx_2[[#This Row],[Месяц окончания]]=Таблицаx_2[[#This Row],[Месяц]],Таблицаx_2[[#This Row],[id]]=A1275,EDATE(Таблицаx_2[[#This Row],[Месяц]],1)=D1275),F1275,0)</f>
        <v>0</v>
      </c>
      <c r="K1274" s="8">
        <f>IF(AND(Таблицаx_2[[#This Row],[Месяц окончания]]=Таблицаx_2[[#This Row],[Месяц]],Таблицаx_2[[#This Row],[id]]=A1275,EDATE(Таблицаx_2[[#This Row],[Месяц]],2)=D1275),F1275,0)</f>
        <v>0</v>
      </c>
    </row>
    <row r="1275" spans="1:11" ht="12.75" hidden="1" customHeight="1" x14ac:dyDescent="0.2">
      <c r="A1275" s="8">
        <v>690</v>
      </c>
      <c r="B1275" s="8"/>
      <c r="C1275" s="8" t="s">
        <v>10</v>
      </c>
      <c r="D1275" s="12">
        <v>45170</v>
      </c>
      <c r="E1275" s="8">
        <v>51395</v>
      </c>
      <c r="F1275" s="10">
        <f>IF(ISTEXT(Таблицаx_2[[#This Row],[Значение]]), 0, Таблицаx_2[[#This Row],[Значение]])</f>
        <v>51395</v>
      </c>
      <c r="G1275" s="12">
        <v>44958</v>
      </c>
      <c r="H1275" s="10" t="str">
        <f>IFERROR(VLOOKUP(Таблицаx_2[[#This Row],[id]],prolongations!A:C,2,)," ")</f>
        <v>февраль 2023</v>
      </c>
      <c r="I1275" s="10">
        <f>IF(Таблицаx_2[[#This Row],[Месяц окончания]]=Таблицаx_2[[#This Row],[Месяц]],Таблицаx_2[[#This Row],[Значения числа]],0)</f>
        <v>0</v>
      </c>
      <c r="J1275" s="8">
        <f>IF(AND(Таблицаx_2[[#This Row],[Месяц окончания]]=Таблицаx_2[[#This Row],[Месяц]],Таблицаx_2[[#This Row],[id]]=A1276,EDATE(Таблицаx_2[[#This Row],[Месяц]],1)=D1276),F1276,0)</f>
        <v>0</v>
      </c>
      <c r="K1275" s="8">
        <f>IF(AND(Таблицаx_2[[#This Row],[Месяц окончания]]=Таблицаx_2[[#This Row],[Месяц]],Таблицаx_2[[#This Row],[id]]=A1276,EDATE(Таблицаx_2[[#This Row],[Месяц]],2)=D1276),F1276,0)</f>
        <v>0</v>
      </c>
    </row>
    <row r="1276" spans="1:11" ht="12.75" hidden="1" customHeight="1" x14ac:dyDescent="0.2">
      <c r="A1276" s="8">
        <v>690</v>
      </c>
      <c r="B1276" s="8"/>
      <c r="C1276" s="8" t="s">
        <v>10</v>
      </c>
      <c r="D1276" s="12">
        <v>45200</v>
      </c>
      <c r="E1276" s="8">
        <v>19425</v>
      </c>
      <c r="F1276" s="10">
        <f>IF(ISTEXT(Таблицаx_2[[#This Row],[Значение]]), 0, Таблицаx_2[[#This Row],[Значение]])</f>
        <v>19425</v>
      </c>
      <c r="G1276" s="12">
        <v>44958</v>
      </c>
      <c r="H1276" s="10" t="str">
        <f>IFERROR(VLOOKUP(Таблицаx_2[[#This Row],[id]],prolongations!A:C,2,)," ")</f>
        <v>февраль 2023</v>
      </c>
      <c r="I1276" s="10">
        <f>IF(Таблицаx_2[[#This Row],[Месяц окончания]]=Таблицаx_2[[#This Row],[Месяц]],Таблицаx_2[[#This Row],[Значения числа]],0)</f>
        <v>0</v>
      </c>
      <c r="J1276" s="8">
        <f>IF(AND(Таблицаx_2[[#This Row],[Месяц окончания]]=Таблицаx_2[[#This Row],[Месяц]],Таблицаx_2[[#This Row],[id]]=A1277,EDATE(Таблицаx_2[[#This Row],[Месяц]],1)=D1277),F1277,0)</f>
        <v>0</v>
      </c>
      <c r="K1276" s="8">
        <f>IF(AND(Таблицаx_2[[#This Row],[Месяц окончания]]=Таблицаx_2[[#This Row],[Месяц]],Таблицаx_2[[#This Row],[id]]=A1277,EDATE(Таблицаx_2[[#This Row],[Месяц]],2)=D1277),F1277,0)</f>
        <v>0</v>
      </c>
    </row>
    <row r="1277" spans="1:11" ht="12.75" hidden="1" customHeight="1" x14ac:dyDescent="0.2">
      <c r="A1277" s="8">
        <v>690</v>
      </c>
      <c r="B1277" s="8"/>
      <c r="C1277" s="8" t="s">
        <v>10</v>
      </c>
      <c r="D1277" s="12">
        <v>45231</v>
      </c>
      <c r="E1277" s="8" t="s">
        <v>46</v>
      </c>
      <c r="F1277" s="10">
        <f>IF(ISTEXT(Таблицаx_2[[#This Row],[Значение]]), 0, Таблицаx_2[[#This Row],[Значение]])</f>
        <v>0</v>
      </c>
      <c r="G1277" s="12">
        <v>44958</v>
      </c>
      <c r="H1277" s="10" t="str">
        <f>IFERROR(VLOOKUP(Таблицаx_2[[#This Row],[id]],prolongations!A:C,2,)," ")</f>
        <v>февраль 2023</v>
      </c>
      <c r="I1277" s="10">
        <f>IF(Таблицаx_2[[#This Row],[Месяц окончания]]=Таблицаx_2[[#This Row],[Месяц]],Таблицаx_2[[#This Row],[Значения числа]],0)</f>
        <v>0</v>
      </c>
      <c r="J1277" s="8">
        <f>IF(AND(Таблицаx_2[[#This Row],[Месяц окончания]]=Таблицаx_2[[#This Row],[Месяц]],Таблицаx_2[[#This Row],[id]]=A1278,EDATE(Таблицаx_2[[#This Row],[Месяц]],1)=D1278),F1278,0)</f>
        <v>0</v>
      </c>
      <c r="K1277" s="8">
        <f>IF(AND(Таблицаx_2[[#This Row],[Месяц окончания]]=Таблицаx_2[[#This Row],[Месяц]],Таблицаx_2[[#This Row],[id]]=A1278,EDATE(Таблицаx_2[[#This Row],[Месяц]],2)=D1278),F1278,0)</f>
        <v>0</v>
      </c>
    </row>
    <row r="1278" spans="1:11" ht="12.75" hidden="1" customHeight="1" x14ac:dyDescent="0.2">
      <c r="A1278" s="8">
        <v>690</v>
      </c>
      <c r="B1278" s="8"/>
      <c r="C1278" s="8" t="s">
        <v>10</v>
      </c>
      <c r="D1278" s="12">
        <v>45323</v>
      </c>
      <c r="E1278" s="8">
        <v>64300</v>
      </c>
      <c r="F1278" s="10">
        <f>IF(ISTEXT(Таблицаx_2[[#This Row],[Значение]]), 0, Таблицаx_2[[#This Row],[Значение]])</f>
        <v>64300</v>
      </c>
      <c r="G1278" s="12">
        <v>44958</v>
      </c>
      <c r="H1278" s="10" t="str">
        <f>IFERROR(VLOOKUP(Таблицаx_2[[#This Row],[id]],prolongations!A:C,2,)," ")</f>
        <v>февраль 2023</v>
      </c>
      <c r="I1278" s="10">
        <f>IF(Таблицаx_2[[#This Row],[Месяц окончания]]=Таблицаx_2[[#This Row],[Месяц]],Таблицаx_2[[#This Row],[Значения числа]],0)</f>
        <v>0</v>
      </c>
      <c r="J1278" s="8">
        <f>IF(AND(Таблицаx_2[[#This Row],[Месяц окончания]]=Таблицаx_2[[#This Row],[Месяц]],Таблицаx_2[[#This Row],[id]]=A1279,EDATE(Таблицаx_2[[#This Row],[Месяц]],1)=D1279),F1279,0)</f>
        <v>0</v>
      </c>
      <c r="K1278" s="8">
        <f>IF(AND(Таблицаx_2[[#This Row],[Месяц окончания]]=Таблицаx_2[[#This Row],[Месяц]],Таблицаx_2[[#This Row],[id]]=A1279,EDATE(Таблицаx_2[[#This Row],[Месяц]],2)=D1279),F1279,0)</f>
        <v>0</v>
      </c>
    </row>
    <row r="1279" spans="1:11" ht="12.75" hidden="1" customHeight="1" x14ac:dyDescent="0.2">
      <c r="A1279" s="8">
        <v>934</v>
      </c>
      <c r="B1279" s="8"/>
      <c r="C1279" s="8" t="s">
        <v>10</v>
      </c>
      <c r="D1279" s="12">
        <v>45139</v>
      </c>
      <c r="E1279" s="8">
        <v>22620</v>
      </c>
      <c r="F1279" s="10">
        <f>IF(ISTEXT(Таблицаx_2[[#This Row],[Значение]]), 0, Таблицаx_2[[#This Row],[Значение]])</f>
        <v>22620</v>
      </c>
      <c r="G1279" s="12">
        <v>45170</v>
      </c>
      <c r="H1279" s="10" t="str">
        <f>IFERROR(VLOOKUP(Таблицаx_2[[#This Row],[id]],prolongations!A:C,2,)," ")</f>
        <v>сентябрь 2023</v>
      </c>
      <c r="I1279" s="10">
        <f>IF(Таблицаx_2[[#This Row],[Месяц окончания]]=Таблицаx_2[[#This Row],[Месяц]],Таблицаx_2[[#This Row],[Значения числа]],0)</f>
        <v>0</v>
      </c>
      <c r="J1279" s="8">
        <f>IF(AND(Таблицаx_2[[#This Row],[Месяц окончания]]=Таблицаx_2[[#This Row],[Месяц]],Таблицаx_2[[#This Row],[id]]=A1280,EDATE(Таблицаx_2[[#This Row],[Месяц]],1)=D1280),F1280,0)</f>
        <v>0</v>
      </c>
      <c r="K1279" s="8">
        <f>IF(AND(Таблицаx_2[[#This Row],[Месяц окончания]]=Таблицаx_2[[#This Row],[Месяц]],Таблицаx_2[[#This Row],[id]]=A1280,EDATE(Таблицаx_2[[#This Row],[Месяц]],2)=D1280),F1280,0)</f>
        <v>0</v>
      </c>
    </row>
    <row r="1280" spans="1:11" ht="12.75" hidden="1" customHeight="1" x14ac:dyDescent="0.2">
      <c r="A1280" s="8">
        <v>934</v>
      </c>
      <c r="B1280" s="8"/>
      <c r="C1280" s="8" t="s">
        <v>10</v>
      </c>
      <c r="D1280" s="12">
        <v>45170</v>
      </c>
      <c r="E1280" s="8">
        <v>22020</v>
      </c>
      <c r="F1280" s="10">
        <f>IF(ISTEXT(Таблицаx_2[[#This Row],[Значение]]), 0, Таблицаx_2[[#This Row],[Значение]])</f>
        <v>22020</v>
      </c>
      <c r="G1280" s="12">
        <v>45170</v>
      </c>
      <c r="H1280" s="10" t="str">
        <f>IFERROR(VLOOKUP(Таблицаx_2[[#This Row],[id]],prolongations!A:C,2,)," ")</f>
        <v>сентябрь 2023</v>
      </c>
      <c r="I1280" s="10">
        <f>IF(Таблицаx_2[[#This Row],[Месяц окончания]]=Таблицаx_2[[#This Row],[Месяц]],Таблицаx_2[[#This Row],[Значения числа]],0)</f>
        <v>22020</v>
      </c>
      <c r="J1280" s="8">
        <f>IF(AND(Таблицаx_2[[#This Row],[Месяц окончания]]=Таблицаx_2[[#This Row],[Месяц]],Таблицаx_2[[#This Row],[id]]=A1281,EDATE(Таблицаx_2[[#This Row],[Месяц]],1)=D1281),F1281,0)</f>
        <v>19865</v>
      </c>
      <c r="K1280" s="8">
        <f>IF(AND(Таблицаx_2[[#This Row],[Месяц окончания]]=Таблицаx_2[[#This Row],[Месяц]],Таблицаx_2[[#This Row],[id]]=A1281,EDATE(Таблицаx_2[[#This Row],[Месяц]],2)=D1281),F1281,0)</f>
        <v>0</v>
      </c>
    </row>
    <row r="1281" spans="1:11" ht="12.75" hidden="1" customHeight="1" x14ac:dyDescent="0.2">
      <c r="A1281" s="8">
        <v>934</v>
      </c>
      <c r="B1281" s="8"/>
      <c r="C1281" s="8" t="s">
        <v>10</v>
      </c>
      <c r="D1281" s="12">
        <v>45200</v>
      </c>
      <c r="E1281" s="8">
        <v>19865</v>
      </c>
      <c r="F1281" s="10">
        <f>IF(ISTEXT(Таблицаx_2[[#This Row],[Значение]]), 0, Таблицаx_2[[#This Row],[Значение]])</f>
        <v>19865</v>
      </c>
      <c r="G1281" s="12">
        <v>45170</v>
      </c>
      <c r="H1281" s="10" t="str">
        <f>IFERROR(VLOOKUP(Таблицаx_2[[#This Row],[id]],prolongations!A:C,2,)," ")</f>
        <v>сентябрь 2023</v>
      </c>
      <c r="I1281" s="10">
        <f>IF(Таблицаx_2[[#This Row],[Месяц окончания]]=Таблицаx_2[[#This Row],[Месяц]],Таблицаx_2[[#This Row],[Значения числа]],0)</f>
        <v>0</v>
      </c>
      <c r="J1281" s="8">
        <f>IF(AND(Таблицаx_2[[#This Row],[Месяц окончания]]=Таблицаx_2[[#This Row],[Месяц]],Таблицаx_2[[#This Row],[id]]=A1282,EDATE(Таблицаx_2[[#This Row],[Месяц]],1)=D1282),F1282,0)</f>
        <v>0</v>
      </c>
      <c r="K1281" s="8">
        <f>IF(AND(Таблицаx_2[[#This Row],[Месяц окончания]]=Таблицаx_2[[#This Row],[Месяц]],Таблицаx_2[[#This Row],[id]]=A1282,EDATE(Таблицаx_2[[#This Row],[Месяц]],2)=D1282),F1282,0)</f>
        <v>0</v>
      </c>
    </row>
    <row r="1282" spans="1:11" ht="12.75" hidden="1" customHeight="1" x14ac:dyDescent="0.2">
      <c r="A1282" s="8">
        <v>934</v>
      </c>
      <c r="B1282" s="8"/>
      <c r="C1282" s="8" t="s">
        <v>10</v>
      </c>
      <c r="D1282" s="12">
        <v>45231</v>
      </c>
      <c r="E1282" s="8">
        <v>19865</v>
      </c>
      <c r="F1282" s="10">
        <f>IF(ISTEXT(Таблицаx_2[[#This Row],[Значение]]), 0, Таблицаx_2[[#This Row],[Значение]])</f>
        <v>19865</v>
      </c>
      <c r="G1282" s="12">
        <v>45170</v>
      </c>
      <c r="H1282" s="10" t="str">
        <f>IFERROR(VLOOKUP(Таблицаx_2[[#This Row],[id]],prolongations!A:C,2,)," ")</f>
        <v>сентябрь 2023</v>
      </c>
      <c r="I1282" s="10">
        <f>IF(Таблицаx_2[[#This Row],[Месяц окончания]]=Таблицаx_2[[#This Row],[Месяц]],Таблицаx_2[[#This Row],[Значения числа]],0)</f>
        <v>0</v>
      </c>
      <c r="J1282" s="8">
        <f>IF(AND(Таблицаx_2[[#This Row],[Месяц окончания]]=Таблицаx_2[[#This Row],[Месяц]],Таблицаx_2[[#This Row],[id]]=A1283,EDATE(Таблицаx_2[[#This Row],[Месяц]],1)=D1283),F1283,0)</f>
        <v>0</v>
      </c>
      <c r="K1282" s="8">
        <f>IF(AND(Таблицаx_2[[#This Row],[Месяц окончания]]=Таблицаx_2[[#This Row],[Месяц]],Таблицаx_2[[#This Row],[id]]=A1283,EDATE(Таблицаx_2[[#This Row],[Месяц]],2)=D1283),F1283,0)</f>
        <v>0</v>
      </c>
    </row>
    <row r="1283" spans="1:11" ht="12.75" hidden="1" customHeight="1" x14ac:dyDescent="0.2">
      <c r="A1283" s="8">
        <v>712</v>
      </c>
      <c r="B1283" s="8" t="s">
        <v>45</v>
      </c>
      <c r="C1283" s="8" t="s">
        <v>10</v>
      </c>
      <c r="D1283" s="12">
        <v>44896</v>
      </c>
      <c r="E1283" s="8">
        <v>40690</v>
      </c>
      <c r="F1283" s="10">
        <f>IF(ISTEXT(Таблицаx_2[[#This Row],[Значение]]), 0, Таблицаx_2[[#This Row],[Значение]])</f>
        <v>40690</v>
      </c>
      <c r="G1283" s="12">
        <v>45017</v>
      </c>
      <c r="H1283" s="10" t="str">
        <f>IFERROR(VLOOKUP(Таблицаx_2[[#This Row],[id]],prolongations!A:C,2,)," ")</f>
        <v>апрель 2023</v>
      </c>
      <c r="I1283" s="10">
        <f>IF(Таблицаx_2[[#This Row],[Месяц окончания]]=Таблицаx_2[[#This Row],[Месяц]],Таблицаx_2[[#This Row],[Значения числа]],0)</f>
        <v>0</v>
      </c>
      <c r="J1283" s="8">
        <f>IF(AND(Таблицаx_2[[#This Row],[Месяц окончания]]=Таблицаx_2[[#This Row],[Месяц]],Таблицаx_2[[#This Row],[id]]=A1284,EDATE(Таблицаx_2[[#This Row],[Месяц]],1)=D1284),F1284,0)</f>
        <v>0</v>
      </c>
      <c r="K1283" s="8">
        <f>IF(AND(Таблицаx_2[[#This Row],[Месяц окончания]]=Таблицаx_2[[#This Row],[Месяц]],Таблицаx_2[[#This Row],[id]]=A1284,EDATE(Таблицаx_2[[#This Row],[Месяц]],2)=D1284),F1284,0)</f>
        <v>0</v>
      </c>
    </row>
    <row r="1284" spans="1:11" ht="12.75" hidden="1" customHeight="1" x14ac:dyDescent="0.2">
      <c r="A1284" s="8">
        <v>712</v>
      </c>
      <c r="B1284" s="8" t="s">
        <v>45</v>
      </c>
      <c r="C1284" s="8" t="s">
        <v>10</v>
      </c>
      <c r="D1284" s="12">
        <v>44927</v>
      </c>
      <c r="E1284" s="8">
        <v>40030</v>
      </c>
      <c r="F1284" s="10">
        <f>IF(ISTEXT(Таблицаx_2[[#This Row],[Значение]]), 0, Таблицаx_2[[#This Row],[Значение]])</f>
        <v>40030</v>
      </c>
      <c r="G1284" s="12">
        <v>45017</v>
      </c>
      <c r="H1284" s="10" t="str">
        <f>IFERROR(VLOOKUP(Таблицаx_2[[#This Row],[id]],prolongations!A:C,2,)," ")</f>
        <v>апрель 2023</v>
      </c>
      <c r="I1284" s="10">
        <f>IF(Таблицаx_2[[#This Row],[Месяц окончания]]=Таблицаx_2[[#This Row],[Месяц]],Таблицаx_2[[#This Row],[Значения числа]],0)</f>
        <v>0</v>
      </c>
      <c r="J1284" s="8">
        <f>IF(AND(Таблицаx_2[[#This Row],[Месяц окончания]]=Таблицаx_2[[#This Row],[Месяц]],Таблицаx_2[[#This Row],[id]]=A1285,EDATE(Таблицаx_2[[#This Row],[Месяц]],1)=D1285),F1285,0)</f>
        <v>0</v>
      </c>
      <c r="K1284" s="8">
        <f>IF(AND(Таблицаx_2[[#This Row],[Месяц окончания]]=Таблицаx_2[[#This Row],[Месяц]],Таблицаx_2[[#This Row],[id]]=A1285,EDATE(Таблицаx_2[[#This Row],[Месяц]],2)=D1285),F1285,0)</f>
        <v>0</v>
      </c>
    </row>
    <row r="1285" spans="1:11" ht="12.75" hidden="1" customHeight="1" x14ac:dyDescent="0.2">
      <c r="A1285" s="8">
        <v>712</v>
      </c>
      <c r="B1285" s="8" t="s">
        <v>45</v>
      </c>
      <c r="C1285" s="8" t="s">
        <v>10</v>
      </c>
      <c r="D1285" s="12">
        <v>44958</v>
      </c>
      <c r="E1285" s="8">
        <v>40920</v>
      </c>
      <c r="F1285" s="10">
        <f>IF(ISTEXT(Таблицаx_2[[#This Row],[Значение]]), 0, Таблицаx_2[[#This Row],[Значение]])</f>
        <v>40920</v>
      </c>
      <c r="G1285" s="12">
        <v>45017</v>
      </c>
      <c r="H1285" s="10" t="str">
        <f>IFERROR(VLOOKUP(Таблицаx_2[[#This Row],[id]],prolongations!A:C,2,)," ")</f>
        <v>апрель 2023</v>
      </c>
      <c r="I1285" s="10">
        <f>IF(Таблицаx_2[[#This Row],[Месяц окончания]]=Таблицаx_2[[#This Row],[Месяц]],Таблицаx_2[[#This Row],[Значения числа]],0)</f>
        <v>0</v>
      </c>
      <c r="J1285" s="8">
        <f>IF(AND(Таблицаx_2[[#This Row],[Месяц окончания]]=Таблицаx_2[[#This Row],[Месяц]],Таблицаx_2[[#This Row],[id]]=A1286,EDATE(Таблицаx_2[[#This Row],[Месяц]],1)=D1286),F1286,0)</f>
        <v>0</v>
      </c>
      <c r="K1285" s="8">
        <f>IF(AND(Таблицаx_2[[#This Row],[Месяц окончания]]=Таблицаx_2[[#This Row],[Месяц]],Таблицаx_2[[#This Row],[id]]=A1286,EDATE(Таблицаx_2[[#This Row],[Месяц]],2)=D1286),F1286,0)</f>
        <v>0</v>
      </c>
    </row>
    <row r="1286" spans="1:11" ht="12.75" hidden="1" customHeight="1" x14ac:dyDescent="0.2">
      <c r="A1286" s="8">
        <v>712</v>
      </c>
      <c r="B1286" s="8" t="s">
        <v>45</v>
      </c>
      <c r="C1286" s="8" t="s">
        <v>10</v>
      </c>
      <c r="D1286" s="12">
        <v>44986</v>
      </c>
      <c r="E1286" s="8">
        <v>34840</v>
      </c>
      <c r="F1286" s="10">
        <f>IF(ISTEXT(Таблицаx_2[[#This Row],[Значение]]), 0, Таблицаx_2[[#This Row],[Значение]])</f>
        <v>34840</v>
      </c>
      <c r="G1286" s="12">
        <v>45017</v>
      </c>
      <c r="H1286" s="10" t="str">
        <f>IFERROR(VLOOKUP(Таблицаx_2[[#This Row],[id]],prolongations!A:C,2,)," ")</f>
        <v>апрель 2023</v>
      </c>
      <c r="I1286" s="10">
        <f>IF(Таблицаx_2[[#This Row],[Месяц окончания]]=Таблицаx_2[[#This Row],[Месяц]],Таблицаx_2[[#This Row],[Значения числа]],0)</f>
        <v>0</v>
      </c>
      <c r="J1286" s="8">
        <f>IF(AND(Таблицаx_2[[#This Row],[Месяц окончания]]=Таблицаx_2[[#This Row],[Месяц]],Таблицаx_2[[#This Row],[id]]=A1287,EDATE(Таблицаx_2[[#This Row],[Месяц]],1)=D1287),F1287,0)</f>
        <v>0</v>
      </c>
      <c r="K1286" s="8">
        <f>IF(AND(Таблицаx_2[[#This Row],[Месяц окончания]]=Таблицаx_2[[#This Row],[Месяц]],Таблицаx_2[[#This Row],[id]]=A1287,EDATE(Таблицаx_2[[#This Row],[Месяц]],2)=D1287),F1287,0)</f>
        <v>0</v>
      </c>
    </row>
    <row r="1287" spans="1:11" ht="12.75" hidden="1" customHeight="1" x14ac:dyDescent="0.2">
      <c r="A1287" s="8">
        <v>712</v>
      </c>
      <c r="B1287" s="8" t="s">
        <v>45</v>
      </c>
      <c r="C1287" s="8" t="s">
        <v>10</v>
      </c>
      <c r="D1287" s="12">
        <v>45017</v>
      </c>
      <c r="E1287" s="8">
        <v>34990</v>
      </c>
      <c r="F1287" s="10">
        <f>IF(ISTEXT(Таблицаx_2[[#This Row],[Значение]]), 0, Таблицаx_2[[#This Row],[Значение]])</f>
        <v>34990</v>
      </c>
      <c r="G1287" s="12">
        <v>45017</v>
      </c>
      <c r="H1287" s="10" t="str">
        <f>IFERROR(VLOOKUP(Таблицаx_2[[#This Row],[id]],prolongations!A:C,2,)," ")</f>
        <v>апрель 2023</v>
      </c>
      <c r="I1287" s="10">
        <f>IF(Таблицаx_2[[#This Row],[Месяц окончания]]=Таблицаx_2[[#This Row],[Месяц]],Таблицаx_2[[#This Row],[Значения числа]],0)</f>
        <v>34990</v>
      </c>
      <c r="J1287" s="8">
        <f>IF(AND(Таблицаx_2[[#This Row],[Месяц окончания]]=Таблицаx_2[[#This Row],[Месяц]],Таблицаx_2[[#This Row],[id]]=A1288,EDATE(Таблицаx_2[[#This Row],[Месяц]],1)=D1288),F1288,0)</f>
        <v>41070</v>
      </c>
      <c r="K1287" s="8">
        <f>IF(AND(Таблицаx_2[[#This Row],[Месяц окончания]]=Таблицаx_2[[#This Row],[Месяц]],Таблицаx_2[[#This Row],[id]]=A1288,EDATE(Таблицаx_2[[#This Row],[Месяц]],2)=D1288),F1288,0)</f>
        <v>0</v>
      </c>
    </row>
    <row r="1288" spans="1:11" ht="12.75" hidden="1" customHeight="1" x14ac:dyDescent="0.2">
      <c r="A1288" s="8">
        <v>712</v>
      </c>
      <c r="B1288" s="8" t="s">
        <v>45</v>
      </c>
      <c r="C1288" s="8" t="s">
        <v>10</v>
      </c>
      <c r="D1288" s="12">
        <v>45047</v>
      </c>
      <c r="E1288" s="8">
        <v>41070</v>
      </c>
      <c r="F1288" s="10">
        <f>IF(ISTEXT(Таблицаx_2[[#This Row],[Значение]]), 0, Таблицаx_2[[#This Row],[Значение]])</f>
        <v>41070</v>
      </c>
      <c r="G1288" s="12">
        <v>45017</v>
      </c>
      <c r="H1288" s="10" t="str">
        <f>IFERROR(VLOOKUP(Таблицаx_2[[#This Row],[id]],prolongations!A:C,2,)," ")</f>
        <v>апрель 2023</v>
      </c>
      <c r="I1288" s="10">
        <f>IF(Таблицаx_2[[#This Row],[Месяц окончания]]=Таблицаx_2[[#This Row],[Месяц]],Таблицаx_2[[#This Row],[Значения числа]],0)</f>
        <v>0</v>
      </c>
      <c r="J1288" s="8">
        <f>IF(AND(Таблицаx_2[[#This Row],[Месяц окончания]]=Таблицаx_2[[#This Row],[Месяц]],Таблицаx_2[[#This Row],[id]]=A1289,EDATE(Таблицаx_2[[#This Row],[Месяц]],1)=D1289),F1289,0)</f>
        <v>0</v>
      </c>
      <c r="K1288" s="8">
        <f>IF(AND(Таблицаx_2[[#This Row],[Месяц окончания]]=Таблицаx_2[[#This Row],[Месяц]],Таблицаx_2[[#This Row],[id]]=A1289,EDATE(Таблицаx_2[[#This Row],[Месяц]],2)=D1289),F1289,0)</f>
        <v>0</v>
      </c>
    </row>
    <row r="1289" spans="1:11" ht="12.75" hidden="1" customHeight="1" x14ac:dyDescent="0.2">
      <c r="A1289" s="8">
        <v>712</v>
      </c>
      <c r="B1289" s="8" t="s">
        <v>45</v>
      </c>
      <c r="C1289" s="8" t="s">
        <v>10</v>
      </c>
      <c r="D1289" s="12">
        <v>45078</v>
      </c>
      <c r="E1289" s="8">
        <v>43980</v>
      </c>
      <c r="F1289" s="10">
        <f>IF(ISTEXT(Таблицаx_2[[#This Row],[Значение]]), 0, Таблицаx_2[[#This Row],[Значение]])</f>
        <v>43980</v>
      </c>
      <c r="G1289" s="12">
        <v>45017</v>
      </c>
      <c r="H1289" s="10" t="str">
        <f>IFERROR(VLOOKUP(Таблицаx_2[[#This Row],[id]],prolongations!A:C,2,)," ")</f>
        <v>апрель 2023</v>
      </c>
      <c r="I1289" s="10">
        <f>IF(Таблицаx_2[[#This Row],[Месяц окончания]]=Таблицаx_2[[#This Row],[Месяц]],Таблицаx_2[[#This Row],[Значения числа]],0)</f>
        <v>0</v>
      </c>
      <c r="J1289" s="8">
        <f>IF(AND(Таблицаx_2[[#This Row],[Месяц окончания]]=Таблицаx_2[[#This Row],[Месяц]],Таблицаx_2[[#This Row],[id]]=A1290,EDATE(Таблицаx_2[[#This Row],[Месяц]],1)=D1290),F1290,0)</f>
        <v>0</v>
      </c>
      <c r="K1289" s="8">
        <f>IF(AND(Таблицаx_2[[#This Row],[Месяц окончания]]=Таблицаx_2[[#This Row],[Месяц]],Таблицаx_2[[#This Row],[id]]=A1290,EDATE(Таблицаx_2[[#This Row],[Месяц]],2)=D1290),F1290,0)</f>
        <v>0</v>
      </c>
    </row>
    <row r="1290" spans="1:11" ht="12.75" hidden="1" customHeight="1" x14ac:dyDescent="0.2">
      <c r="A1290" s="8">
        <v>712</v>
      </c>
      <c r="B1290" s="8" t="s">
        <v>45</v>
      </c>
      <c r="C1290" s="8" t="s">
        <v>10</v>
      </c>
      <c r="D1290" s="12">
        <v>45108</v>
      </c>
      <c r="E1290" s="8">
        <v>43980</v>
      </c>
      <c r="F1290" s="10">
        <f>IF(ISTEXT(Таблицаx_2[[#This Row],[Значение]]), 0, Таблицаx_2[[#This Row],[Значение]])</f>
        <v>43980</v>
      </c>
      <c r="G1290" s="12">
        <v>45017</v>
      </c>
      <c r="H1290" s="10" t="str">
        <f>IFERROR(VLOOKUP(Таблицаx_2[[#This Row],[id]],prolongations!A:C,2,)," ")</f>
        <v>апрель 2023</v>
      </c>
      <c r="I1290" s="10">
        <f>IF(Таблицаx_2[[#This Row],[Месяц окончания]]=Таблицаx_2[[#This Row],[Месяц]],Таблицаx_2[[#This Row],[Значения числа]],0)</f>
        <v>0</v>
      </c>
      <c r="J1290" s="8">
        <f>IF(AND(Таблицаx_2[[#This Row],[Месяц окончания]]=Таблицаx_2[[#This Row],[Месяц]],Таблицаx_2[[#This Row],[id]]=A1291,EDATE(Таблицаx_2[[#This Row],[Месяц]],1)=D1291),F1291,0)</f>
        <v>0</v>
      </c>
      <c r="K1290" s="8">
        <f>IF(AND(Таблицаx_2[[#This Row],[Месяц окончания]]=Таблицаx_2[[#This Row],[Месяц]],Таблицаx_2[[#This Row],[id]]=A1291,EDATE(Таблицаx_2[[#This Row],[Месяц]],2)=D1291),F1291,0)</f>
        <v>0</v>
      </c>
    </row>
    <row r="1291" spans="1:11" ht="12.75" hidden="1" customHeight="1" x14ac:dyDescent="0.2">
      <c r="A1291" s="8">
        <v>712</v>
      </c>
      <c r="B1291" s="8" t="s">
        <v>45</v>
      </c>
      <c r="C1291" s="8" t="s">
        <v>10</v>
      </c>
      <c r="D1291" s="12">
        <v>45139</v>
      </c>
      <c r="E1291" s="8">
        <v>44870</v>
      </c>
      <c r="F1291" s="10">
        <f>IF(ISTEXT(Таблицаx_2[[#This Row],[Значение]]), 0, Таблицаx_2[[#This Row],[Значение]])</f>
        <v>44870</v>
      </c>
      <c r="G1291" s="12">
        <v>45017</v>
      </c>
      <c r="H1291" s="10" t="str">
        <f>IFERROR(VLOOKUP(Таблицаx_2[[#This Row],[id]],prolongations!A:C,2,)," ")</f>
        <v>апрель 2023</v>
      </c>
      <c r="I1291" s="10">
        <f>IF(Таблицаx_2[[#This Row],[Месяц окончания]]=Таблицаx_2[[#This Row],[Месяц]],Таблицаx_2[[#This Row],[Значения числа]],0)</f>
        <v>0</v>
      </c>
      <c r="J1291" s="8">
        <f>IF(AND(Таблицаx_2[[#This Row],[Месяц окончания]]=Таблицаx_2[[#This Row],[Месяц]],Таблицаx_2[[#This Row],[id]]=A1292,EDATE(Таблицаx_2[[#This Row],[Месяц]],1)=D1292),F1292,0)</f>
        <v>0</v>
      </c>
      <c r="K1291" s="8">
        <f>IF(AND(Таблицаx_2[[#This Row],[Месяц окончания]]=Таблицаx_2[[#This Row],[Месяц]],Таблицаx_2[[#This Row],[id]]=A1292,EDATE(Таблицаx_2[[#This Row],[Месяц]],2)=D1292),F1292,0)</f>
        <v>0</v>
      </c>
    </row>
    <row r="1292" spans="1:11" ht="12.75" hidden="1" customHeight="1" x14ac:dyDescent="0.2">
      <c r="A1292" s="8">
        <v>712</v>
      </c>
      <c r="B1292" s="8" t="s">
        <v>45</v>
      </c>
      <c r="C1292" s="8" t="s">
        <v>10</v>
      </c>
      <c r="D1292" s="12">
        <v>45170</v>
      </c>
      <c r="E1292" s="8">
        <v>43980</v>
      </c>
      <c r="F1292" s="10">
        <f>IF(ISTEXT(Таблицаx_2[[#This Row],[Значение]]), 0, Таблицаx_2[[#This Row],[Значение]])</f>
        <v>43980</v>
      </c>
      <c r="G1292" s="12">
        <v>45017</v>
      </c>
      <c r="H1292" s="10" t="str">
        <f>IFERROR(VLOOKUP(Таблицаx_2[[#This Row],[id]],prolongations!A:C,2,)," ")</f>
        <v>апрель 2023</v>
      </c>
      <c r="I1292" s="10">
        <f>IF(Таблицаx_2[[#This Row],[Месяц окончания]]=Таблицаx_2[[#This Row],[Месяц]],Таблицаx_2[[#This Row],[Значения числа]],0)</f>
        <v>0</v>
      </c>
      <c r="J1292" s="8">
        <f>IF(AND(Таблицаx_2[[#This Row],[Месяц окончания]]=Таблицаx_2[[#This Row],[Месяц]],Таблицаx_2[[#This Row],[id]]=A1293,EDATE(Таблицаx_2[[#This Row],[Месяц]],1)=D1293),F1293,0)</f>
        <v>0</v>
      </c>
      <c r="K1292" s="8">
        <f>IF(AND(Таблицаx_2[[#This Row],[Месяц окончания]]=Таблицаx_2[[#This Row],[Месяц]],Таблицаx_2[[#This Row],[id]]=A1293,EDATE(Таблицаx_2[[#This Row],[Месяц]],2)=D1293),F1293,0)</f>
        <v>0</v>
      </c>
    </row>
    <row r="1293" spans="1:11" ht="12.75" hidden="1" customHeight="1" x14ac:dyDescent="0.2">
      <c r="A1293" s="8">
        <v>712</v>
      </c>
      <c r="B1293" s="8" t="s">
        <v>45</v>
      </c>
      <c r="C1293" s="8" t="s">
        <v>10</v>
      </c>
      <c r="D1293" s="12">
        <v>45200</v>
      </c>
      <c r="E1293" s="8">
        <v>43980</v>
      </c>
      <c r="F1293" s="10">
        <f>IF(ISTEXT(Таблицаx_2[[#This Row],[Значение]]), 0, Таблицаx_2[[#This Row],[Значение]])</f>
        <v>43980</v>
      </c>
      <c r="G1293" s="12">
        <v>45017</v>
      </c>
      <c r="H1293" s="10" t="str">
        <f>IFERROR(VLOOKUP(Таблицаx_2[[#This Row],[id]],prolongations!A:C,2,)," ")</f>
        <v>апрель 2023</v>
      </c>
      <c r="I1293" s="10">
        <f>IF(Таблицаx_2[[#This Row],[Месяц окончания]]=Таблицаx_2[[#This Row],[Месяц]],Таблицаx_2[[#This Row],[Значения числа]],0)</f>
        <v>0</v>
      </c>
      <c r="J1293" s="8">
        <f>IF(AND(Таблицаx_2[[#This Row],[Месяц окончания]]=Таблицаx_2[[#This Row],[Месяц]],Таблицаx_2[[#This Row],[id]]=A1294,EDATE(Таблицаx_2[[#This Row],[Месяц]],1)=D1294),F1294,0)</f>
        <v>0</v>
      </c>
      <c r="K1293" s="8">
        <f>IF(AND(Таблицаx_2[[#This Row],[Месяц окончания]]=Таблицаx_2[[#This Row],[Месяц]],Таблицаx_2[[#This Row],[id]]=A1294,EDATE(Таблицаx_2[[#This Row],[Месяц]],2)=D1294),F1294,0)</f>
        <v>0</v>
      </c>
    </row>
    <row r="1294" spans="1:11" ht="12.75" hidden="1" customHeight="1" x14ac:dyDescent="0.2">
      <c r="A1294" s="8">
        <v>712</v>
      </c>
      <c r="B1294" s="8" t="s">
        <v>45</v>
      </c>
      <c r="C1294" s="8" t="s">
        <v>10</v>
      </c>
      <c r="D1294" s="12">
        <v>45231</v>
      </c>
      <c r="E1294" s="8">
        <v>44870</v>
      </c>
      <c r="F1294" s="10">
        <f>IF(ISTEXT(Таблицаx_2[[#This Row],[Значение]]), 0, Таблицаx_2[[#This Row],[Значение]])</f>
        <v>44870</v>
      </c>
      <c r="G1294" s="12">
        <v>45017</v>
      </c>
      <c r="H1294" s="10" t="str">
        <f>IFERROR(VLOOKUP(Таблицаx_2[[#This Row],[id]],prolongations!A:C,2,)," ")</f>
        <v>апрель 2023</v>
      </c>
      <c r="I1294" s="10">
        <f>IF(Таблицаx_2[[#This Row],[Месяц окончания]]=Таблицаx_2[[#This Row],[Месяц]],Таблицаx_2[[#This Row],[Значения числа]],0)</f>
        <v>0</v>
      </c>
      <c r="J1294" s="8">
        <f>IF(AND(Таблицаx_2[[#This Row],[Месяц окончания]]=Таблицаx_2[[#This Row],[Месяц]],Таблицаx_2[[#This Row],[id]]=A1295,EDATE(Таблицаx_2[[#This Row],[Месяц]],1)=D1295),F1295,0)</f>
        <v>0</v>
      </c>
      <c r="K1294" s="8">
        <f>IF(AND(Таблицаx_2[[#This Row],[Месяц окончания]]=Таблицаx_2[[#This Row],[Месяц]],Таблицаx_2[[#This Row],[id]]=A1295,EDATE(Таблицаx_2[[#This Row],[Месяц]],2)=D1295),F1295,0)</f>
        <v>0</v>
      </c>
    </row>
    <row r="1295" spans="1:11" ht="12.75" hidden="1" customHeight="1" x14ac:dyDescent="0.2">
      <c r="A1295" s="8">
        <v>712</v>
      </c>
      <c r="B1295" s="8" t="s">
        <v>45</v>
      </c>
      <c r="C1295" s="8" t="s">
        <v>10</v>
      </c>
      <c r="D1295" s="12">
        <v>45261</v>
      </c>
      <c r="E1295" s="8">
        <v>40970</v>
      </c>
      <c r="F1295" s="10">
        <f>IF(ISTEXT(Таблицаx_2[[#This Row],[Значение]]), 0, Таблицаx_2[[#This Row],[Значение]])</f>
        <v>40970</v>
      </c>
      <c r="G1295" s="12">
        <v>45017</v>
      </c>
      <c r="H1295" s="10" t="str">
        <f>IFERROR(VLOOKUP(Таблицаx_2[[#This Row],[id]],prolongations!A:C,2,)," ")</f>
        <v>апрель 2023</v>
      </c>
      <c r="I1295" s="10">
        <f>IF(Таблицаx_2[[#This Row],[Месяц окончания]]=Таблицаx_2[[#This Row],[Месяц]],Таблицаx_2[[#This Row],[Значения числа]],0)</f>
        <v>0</v>
      </c>
      <c r="J1295" s="8">
        <f>IF(AND(Таблицаx_2[[#This Row],[Месяц окончания]]=Таблицаx_2[[#This Row],[Месяц]],Таблицаx_2[[#This Row],[id]]=A1296,EDATE(Таблицаx_2[[#This Row],[Месяц]],1)=D1296),F1296,0)</f>
        <v>0</v>
      </c>
      <c r="K1295" s="8">
        <f>IF(AND(Таблицаx_2[[#This Row],[Месяц окончания]]=Таблицаx_2[[#This Row],[Месяц]],Таблицаx_2[[#This Row],[id]]=A1296,EDATE(Таблицаx_2[[#This Row],[Месяц]],2)=D1296),F1296,0)</f>
        <v>0</v>
      </c>
    </row>
    <row r="1296" spans="1:11" ht="12.75" hidden="1" customHeight="1" x14ac:dyDescent="0.2">
      <c r="A1296" s="8">
        <v>712</v>
      </c>
      <c r="B1296" s="8" t="s">
        <v>45</v>
      </c>
      <c r="C1296" s="8" t="s">
        <v>10</v>
      </c>
      <c r="D1296" s="12">
        <v>45292</v>
      </c>
      <c r="E1296" s="8">
        <v>40970</v>
      </c>
      <c r="F1296" s="10">
        <f>IF(ISTEXT(Таблицаx_2[[#This Row],[Значение]]), 0, Таблицаx_2[[#This Row],[Значение]])</f>
        <v>40970</v>
      </c>
      <c r="G1296" s="12">
        <v>45017</v>
      </c>
      <c r="H1296" s="10" t="str">
        <f>IFERROR(VLOOKUP(Таблицаx_2[[#This Row],[id]],prolongations!A:C,2,)," ")</f>
        <v>апрель 2023</v>
      </c>
      <c r="I1296" s="10">
        <f>IF(Таблицаx_2[[#This Row],[Месяц окончания]]=Таблицаx_2[[#This Row],[Месяц]],Таблицаx_2[[#This Row],[Значения числа]],0)</f>
        <v>0</v>
      </c>
      <c r="J1296" s="8">
        <f>IF(AND(Таблицаx_2[[#This Row],[Месяц окончания]]=Таблицаx_2[[#This Row],[Месяц]],Таблицаx_2[[#This Row],[id]]=A1297,EDATE(Таблицаx_2[[#This Row],[Месяц]],1)=D1297),F1297,0)</f>
        <v>0</v>
      </c>
      <c r="K1296" s="8">
        <f>IF(AND(Таблицаx_2[[#This Row],[Месяц окончания]]=Таблицаx_2[[#This Row],[Месяц]],Таблицаx_2[[#This Row],[id]]=A1297,EDATE(Таблицаx_2[[#This Row],[Месяц]],2)=D1297),F1297,0)</f>
        <v>0</v>
      </c>
    </row>
    <row r="1297" spans="1:11" ht="12.75" hidden="1" customHeight="1" x14ac:dyDescent="0.2">
      <c r="A1297" s="8">
        <v>712</v>
      </c>
      <c r="B1297" s="8" t="s">
        <v>45</v>
      </c>
      <c r="C1297" s="8" t="s">
        <v>10</v>
      </c>
      <c r="D1297" s="12">
        <v>45323</v>
      </c>
      <c r="E1297" s="8">
        <v>40970</v>
      </c>
      <c r="F1297" s="10">
        <f>IF(ISTEXT(Таблицаx_2[[#This Row],[Значение]]), 0, Таблицаx_2[[#This Row],[Значение]])</f>
        <v>40970</v>
      </c>
      <c r="G1297" s="12">
        <v>45017</v>
      </c>
      <c r="H1297" s="10" t="str">
        <f>IFERROR(VLOOKUP(Таблицаx_2[[#This Row],[id]],prolongations!A:C,2,)," ")</f>
        <v>апрель 2023</v>
      </c>
      <c r="I1297" s="10">
        <f>IF(Таблицаx_2[[#This Row],[Месяц окончания]]=Таблицаx_2[[#This Row],[Месяц]],Таблицаx_2[[#This Row],[Значения числа]],0)</f>
        <v>0</v>
      </c>
      <c r="J1297" s="8">
        <f>IF(AND(Таблицаx_2[[#This Row],[Месяц окончания]]=Таблицаx_2[[#This Row],[Месяц]],Таблицаx_2[[#This Row],[id]]=A1298,EDATE(Таблицаx_2[[#This Row],[Месяц]],1)=D1298),F1298,0)</f>
        <v>0</v>
      </c>
      <c r="K1297" s="8">
        <f>IF(AND(Таблицаx_2[[#This Row],[Месяц окончания]]=Таблицаx_2[[#This Row],[Месяц]],Таблицаx_2[[#This Row],[id]]=A1298,EDATE(Таблицаx_2[[#This Row],[Месяц]],2)=D1298),F1298,0)</f>
        <v>0</v>
      </c>
    </row>
    <row r="1298" spans="1:11" ht="12.75" hidden="1" customHeight="1" x14ac:dyDescent="0.2">
      <c r="A1298" s="8">
        <v>712</v>
      </c>
      <c r="B1298" s="8" t="s">
        <v>47</v>
      </c>
      <c r="C1298" s="8" t="s">
        <v>10</v>
      </c>
      <c r="D1298" s="12">
        <v>45017</v>
      </c>
      <c r="E1298" s="8">
        <v>5190</v>
      </c>
      <c r="F1298" s="10">
        <f>IF(ISTEXT(Таблицаx_2[[#This Row],[Значение]]), 0, Таблицаx_2[[#This Row],[Значение]])</f>
        <v>5190</v>
      </c>
      <c r="G1298" s="12">
        <v>45017</v>
      </c>
      <c r="H1298" s="10" t="str">
        <f>IFERROR(VLOOKUP(Таблицаx_2[[#This Row],[id]],prolongations!A:C,2,)," ")</f>
        <v>апрель 2023</v>
      </c>
      <c r="I1298" s="10">
        <f>IF(Таблицаx_2[[#This Row],[Месяц окончания]]=Таблицаx_2[[#This Row],[Месяц]],Таблицаx_2[[#This Row],[Значения числа]],0)</f>
        <v>5190</v>
      </c>
      <c r="J1298" s="8">
        <f>IF(AND(Таблицаx_2[[#This Row],[Месяц окончания]]=Таблицаx_2[[#This Row],[Месяц]],Таблицаx_2[[#This Row],[id]]=A1299,EDATE(Таблицаx_2[[#This Row],[Месяц]],1)=D1299),F1299,0)</f>
        <v>0</v>
      </c>
      <c r="K1298" s="8">
        <f>IF(AND(Таблицаx_2[[#This Row],[Месяц окончания]]=Таблицаx_2[[#This Row],[Месяц]],Таблицаx_2[[#This Row],[id]]=A1299,EDATE(Таблицаx_2[[#This Row],[Месяц]],2)=D1299),F1299,0)</f>
        <v>0</v>
      </c>
    </row>
    <row r="1299" spans="1:11" ht="12.75" hidden="1" customHeight="1" x14ac:dyDescent="0.2">
      <c r="A1299" s="8">
        <v>927</v>
      </c>
      <c r="B1299" s="8"/>
      <c r="C1299" s="8" t="s">
        <v>10</v>
      </c>
      <c r="D1299" s="12">
        <v>45139</v>
      </c>
      <c r="E1299" s="8">
        <v>130750</v>
      </c>
      <c r="F1299" s="10">
        <f>IF(ISTEXT(Таблицаx_2[[#This Row],[Значение]]), 0, Таблицаx_2[[#This Row],[Значение]])</f>
        <v>130750</v>
      </c>
      <c r="G1299" s="12">
        <v>45231</v>
      </c>
      <c r="H1299" s="10" t="str">
        <f>IFERROR(VLOOKUP(Таблицаx_2[[#This Row],[id]],prolongations!A:C,2,)," ")</f>
        <v>ноябрь 2023</v>
      </c>
      <c r="I1299" s="10">
        <f>IF(Таблицаx_2[[#This Row],[Месяц окончания]]=Таблицаx_2[[#This Row],[Месяц]],Таблицаx_2[[#This Row],[Значения числа]],0)</f>
        <v>0</v>
      </c>
      <c r="J1299" s="8">
        <f>IF(AND(Таблицаx_2[[#This Row],[Месяц окончания]]=Таблицаx_2[[#This Row],[Месяц]],Таблицаx_2[[#This Row],[id]]=A1300,EDATE(Таблицаx_2[[#This Row],[Месяц]],1)=D1300),F1300,0)</f>
        <v>0</v>
      </c>
      <c r="K1299" s="8">
        <f>IF(AND(Таблицаx_2[[#This Row],[Месяц окончания]]=Таблицаx_2[[#This Row],[Месяц]],Таблицаx_2[[#This Row],[id]]=A1300,EDATE(Таблицаx_2[[#This Row],[Месяц]],2)=D1300),F1300,0)</f>
        <v>0</v>
      </c>
    </row>
    <row r="1300" spans="1:11" ht="12.75" hidden="1" customHeight="1" x14ac:dyDescent="0.2">
      <c r="A1300" s="8">
        <v>927</v>
      </c>
      <c r="B1300" s="8"/>
      <c r="C1300" s="8" t="s">
        <v>10</v>
      </c>
      <c r="D1300" s="12">
        <v>45170</v>
      </c>
      <c r="E1300" s="8">
        <v>128150</v>
      </c>
      <c r="F1300" s="10">
        <f>IF(ISTEXT(Таблицаx_2[[#This Row],[Значение]]), 0, Таблицаx_2[[#This Row],[Значение]])</f>
        <v>128150</v>
      </c>
      <c r="G1300" s="12">
        <v>45231</v>
      </c>
      <c r="H1300" s="10" t="str">
        <f>IFERROR(VLOOKUP(Таблицаx_2[[#This Row],[id]],prolongations!A:C,2,)," ")</f>
        <v>ноябрь 2023</v>
      </c>
      <c r="I1300" s="10">
        <f>IF(Таблицаx_2[[#This Row],[Месяц окончания]]=Таблицаx_2[[#This Row],[Месяц]],Таблицаx_2[[#This Row],[Значения числа]],0)</f>
        <v>0</v>
      </c>
      <c r="J1300" s="8">
        <f>IF(AND(Таблицаx_2[[#This Row],[Месяц окончания]]=Таблицаx_2[[#This Row],[Месяц]],Таблицаx_2[[#This Row],[id]]=A1301,EDATE(Таблицаx_2[[#This Row],[Месяц]],1)=D1301),F1301,0)</f>
        <v>0</v>
      </c>
      <c r="K1300" s="8">
        <f>IF(AND(Таблицаx_2[[#This Row],[Месяц окончания]]=Таблицаx_2[[#This Row],[Месяц]],Таблицаx_2[[#This Row],[id]]=A1301,EDATE(Таблицаx_2[[#This Row],[Месяц]],2)=D1301),F1301,0)</f>
        <v>0</v>
      </c>
    </row>
    <row r="1301" spans="1:11" ht="12.75" hidden="1" customHeight="1" x14ac:dyDescent="0.2">
      <c r="A1301" s="8">
        <v>927</v>
      </c>
      <c r="B1301" s="8"/>
      <c r="C1301" s="8" t="s">
        <v>10</v>
      </c>
      <c r="D1301" s="12">
        <v>45200</v>
      </c>
      <c r="E1301" s="8">
        <v>128850</v>
      </c>
      <c r="F1301" s="10">
        <f>IF(ISTEXT(Таблицаx_2[[#This Row],[Значение]]), 0, Таблицаx_2[[#This Row],[Значение]])</f>
        <v>128850</v>
      </c>
      <c r="G1301" s="12">
        <v>45231</v>
      </c>
      <c r="H1301" s="10" t="str">
        <f>IFERROR(VLOOKUP(Таблицаx_2[[#This Row],[id]],prolongations!A:C,2,)," ")</f>
        <v>ноябрь 2023</v>
      </c>
      <c r="I1301" s="10">
        <f>IF(Таблицаx_2[[#This Row],[Месяц окончания]]=Таблицаx_2[[#This Row],[Месяц]],Таблицаx_2[[#This Row],[Значения числа]],0)</f>
        <v>0</v>
      </c>
      <c r="J1301" s="8">
        <f>IF(AND(Таблицаx_2[[#This Row],[Месяц окончания]]=Таблицаx_2[[#This Row],[Месяц]],Таблицаx_2[[#This Row],[id]]=A1302,EDATE(Таблицаx_2[[#This Row],[Месяц]],1)=D1302),F1302,0)</f>
        <v>0</v>
      </c>
      <c r="K1301" s="8">
        <f>IF(AND(Таблицаx_2[[#This Row],[Месяц окончания]]=Таблицаx_2[[#This Row],[Месяц]],Таблицаx_2[[#This Row],[id]]=A1302,EDATE(Таблицаx_2[[#This Row],[Месяц]],2)=D1302),F1302,0)</f>
        <v>0</v>
      </c>
    </row>
    <row r="1302" spans="1:11" ht="12.75" hidden="1" customHeight="1" x14ac:dyDescent="0.2">
      <c r="A1302" s="8">
        <v>927</v>
      </c>
      <c r="B1302" s="8"/>
      <c r="C1302" s="8" t="s">
        <v>10</v>
      </c>
      <c r="D1302" s="12">
        <v>45231</v>
      </c>
      <c r="E1302" s="8">
        <v>51850</v>
      </c>
      <c r="F1302" s="10">
        <f>IF(ISTEXT(Таблицаx_2[[#This Row],[Значение]]), 0, Таблицаx_2[[#This Row],[Значение]])</f>
        <v>51850</v>
      </c>
      <c r="G1302" s="12">
        <v>45231</v>
      </c>
      <c r="H1302" s="10" t="str">
        <f>IFERROR(VLOOKUP(Таблицаx_2[[#This Row],[id]],prolongations!A:C,2,)," ")</f>
        <v>ноябрь 2023</v>
      </c>
      <c r="I1302" s="10">
        <f>IF(Таблицаx_2[[#This Row],[Месяц окончания]]=Таблицаx_2[[#This Row],[Месяц]],Таблицаx_2[[#This Row],[Значения числа]],0)</f>
        <v>51850</v>
      </c>
      <c r="J1302" s="8">
        <f>IF(AND(Таблицаx_2[[#This Row],[Месяц окончания]]=Таблицаx_2[[#This Row],[Месяц]],Таблицаx_2[[#This Row],[id]]=A1303,EDATE(Таблицаx_2[[#This Row],[Месяц]],1)=D1303),F1303,0)</f>
        <v>0</v>
      </c>
      <c r="K1302" s="8">
        <f>IF(AND(Таблицаx_2[[#This Row],[Месяц окончания]]=Таблицаx_2[[#This Row],[Месяц]],Таблицаx_2[[#This Row],[id]]=A1303,EDATE(Таблицаx_2[[#This Row],[Месяц]],2)=D1303),F1303,0)</f>
        <v>0</v>
      </c>
    </row>
    <row r="1303" spans="1:11" ht="12.75" hidden="1" customHeight="1" x14ac:dyDescent="0.2">
      <c r="A1303" s="8">
        <v>817</v>
      </c>
      <c r="B1303" s="8" t="s">
        <v>52</v>
      </c>
      <c r="C1303" s="8" t="s">
        <v>8</v>
      </c>
      <c r="D1303" s="12">
        <v>44986</v>
      </c>
      <c r="E1303" s="8">
        <v>51525</v>
      </c>
      <c r="F1303" s="10">
        <f>IF(ISTEXT(Таблицаx_2[[#This Row],[Значение]]), 0, Таблицаx_2[[#This Row],[Значение]])</f>
        <v>51525</v>
      </c>
      <c r="G1303" s="12">
        <v>45231</v>
      </c>
      <c r="H1303" s="10" t="str">
        <f>IFERROR(VLOOKUP(Таблицаx_2[[#This Row],[id]],prolongations!A:C,2,)," ")</f>
        <v>ноябрь 2023</v>
      </c>
      <c r="I1303" s="10">
        <f>IF(Таблицаx_2[[#This Row],[Месяц окончания]]=Таблицаx_2[[#This Row],[Месяц]],Таблицаx_2[[#This Row],[Значения числа]],0)</f>
        <v>0</v>
      </c>
      <c r="J1303" s="8">
        <f>IF(AND(Таблицаx_2[[#This Row],[Месяц окончания]]=Таблицаx_2[[#This Row],[Месяц]],Таблицаx_2[[#This Row],[id]]=A1304,EDATE(Таблицаx_2[[#This Row],[Месяц]],1)=D1304),F1304,0)</f>
        <v>0</v>
      </c>
      <c r="K1303" s="8">
        <f>IF(AND(Таблицаx_2[[#This Row],[Месяц окончания]]=Таблицаx_2[[#This Row],[Месяц]],Таблицаx_2[[#This Row],[id]]=A1304,EDATE(Таблицаx_2[[#This Row],[Месяц]],2)=D1304),F1304,0)</f>
        <v>0</v>
      </c>
    </row>
    <row r="1304" spans="1:11" ht="12.75" hidden="1" customHeight="1" x14ac:dyDescent="0.2">
      <c r="A1304" s="8">
        <v>817</v>
      </c>
      <c r="B1304" s="8" t="s">
        <v>52</v>
      </c>
      <c r="C1304" s="8" t="s">
        <v>8</v>
      </c>
      <c r="D1304" s="12">
        <v>45017</v>
      </c>
      <c r="E1304" s="8">
        <v>49700</v>
      </c>
      <c r="F1304" s="10">
        <f>IF(ISTEXT(Таблицаx_2[[#This Row],[Значение]]), 0, Таблицаx_2[[#This Row],[Значение]])</f>
        <v>49700</v>
      </c>
      <c r="G1304" s="12">
        <v>45231</v>
      </c>
      <c r="H1304" s="10" t="str">
        <f>IFERROR(VLOOKUP(Таблицаx_2[[#This Row],[id]],prolongations!A:C,2,)," ")</f>
        <v>ноябрь 2023</v>
      </c>
      <c r="I1304" s="10">
        <f>IF(Таблицаx_2[[#This Row],[Месяц окончания]]=Таблицаx_2[[#This Row],[Месяц]],Таблицаx_2[[#This Row],[Значения числа]],0)</f>
        <v>0</v>
      </c>
      <c r="J1304" s="8">
        <f>IF(AND(Таблицаx_2[[#This Row],[Месяц окончания]]=Таблицаx_2[[#This Row],[Месяц]],Таблицаx_2[[#This Row],[id]]=A1305,EDATE(Таблицаx_2[[#This Row],[Месяц]],1)=D1305),F1305,0)</f>
        <v>0</v>
      </c>
      <c r="K1304" s="8">
        <f>IF(AND(Таблицаx_2[[#This Row],[Месяц окончания]]=Таблицаx_2[[#This Row],[Месяц]],Таблицаx_2[[#This Row],[id]]=A1305,EDATE(Таблицаx_2[[#This Row],[Месяц]],2)=D1305),F1305,0)</f>
        <v>0</v>
      </c>
    </row>
    <row r="1305" spans="1:11" ht="12.75" hidden="1" customHeight="1" x14ac:dyDescent="0.2">
      <c r="A1305" s="8">
        <v>817</v>
      </c>
      <c r="B1305" s="8" t="s">
        <v>52</v>
      </c>
      <c r="C1305" s="8" t="s">
        <v>8</v>
      </c>
      <c r="D1305" s="12">
        <v>45047</v>
      </c>
      <c r="E1305" s="8">
        <v>49700</v>
      </c>
      <c r="F1305" s="10">
        <f>IF(ISTEXT(Таблицаx_2[[#This Row],[Значение]]), 0, Таблицаx_2[[#This Row],[Значение]])</f>
        <v>49700</v>
      </c>
      <c r="G1305" s="12">
        <v>45231</v>
      </c>
      <c r="H1305" s="10" t="str">
        <f>IFERROR(VLOOKUP(Таблицаx_2[[#This Row],[id]],prolongations!A:C,2,)," ")</f>
        <v>ноябрь 2023</v>
      </c>
      <c r="I1305" s="10">
        <f>IF(Таблицаx_2[[#This Row],[Месяц окончания]]=Таблицаx_2[[#This Row],[Месяц]],Таблицаx_2[[#This Row],[Значения числа]],0)</f>
        <v>0</v>
      </c>
      <c r="J1305" s="8">
        <f>IF(AND(Таблицаx_2[[#This Row],[Месяц окончания]]=Таблицаx_2[[#This Row],[Месяц]],Таблицаx_2[[#This Row],[id]]=A1306,EDATE(Таблицаx_2[[#This Row],[Месяц]],1)=D1306),F1306,0)</f>
        <v>0</v>
      </c>
      <c r="K1305" s="8">
        <f>IF(AND(Таблицаx_2[[#This Row],[Месяц окончания]]=Таблицаx_2[[#This Row],[Месяц]],Таблицаx_2[[#This Row],[id]]=A1306,EDATE(Таблицаx_2[[#This Row],[Месяц]],2)=D1306),F1306,0)</f>
        <v>0</v>
      </c>
    </row>
    <row r="1306" spans="1:11" ht="12.75" hidden="1" customHeight="1" x14ac:dyDescent="0.2">
      <c r="A1306" s="8">
        <v>817</v>
      </c>
      <c r="B1306" s="8" t="s">
        <v>52</v>
      </c>
      <c r="C1306" s="8" t="s">
        <v>8</v>
      </c>
      <c r="D1306" s="12">
        <v>45078</v>
      </c>
      <c r="E1306" s="8">
        <v>56435</v>
      </c>
      <c r="F1306" s="10">
        <f>IF(ISTEXT(Таблицаx_2[[#This Row],[Значение]]), 0, Таблицаx_2[[#This Row],[Значение]])</f>
        <v>56435</v>
      </c>
      <c r="G1306" s="12">
        <v>45231</v>
      </c>
      <c r="H1306" s="10" t="str">
        <f>IFERROR(VLOOKUP(Таблицаx_2[[#This Row],[id]],prolongations!A:C,2,)," ")</f>
        <v>ноябрь 2023</v>
      </c>
      <c r="I1306" s="10">
        <f>IF(Таблицаx_2[[#This Row],[Месяц окончания]]=Таблицаx_2[[#This Row],[Месяц]],Таблицаx_2[[#This Row],[Значения числа]],0)</f>
        <v>0</v>
      </c>
      <c r="J1306" s="8">
        <f>IF(AND(Таблицаx_2[[#This Row],[Месяц окончания]]=Таблицаx_2[[#This Row],[Месяц]],Таблицаx_2[[#This Row],[id]]=A1307,EDATE(Таблицаx_2[[#This Row],[Месяц]],1)=D1307),F1307,0)</f>
        <v>0</v>
      </c>
      <c r="K1306" s="8">
        <f>IF(AND(Таблицаx_2[[#This Row],[Месяц окончания]]=Таблицаx_2[[#This Row],[Месяц]],Таблицаx_2[[#This Row],[id]]=A1307,EDATE(Таблицаx_2[[#This Row],[Месяц]],2)=D1307),F1307,0)</f>
        <v>0</v>
      </c>
    </row>
    <row r="1307" spans="1:11" ht="12.75" hidden="1" customHeight="1" x14ac:dyDescent="0.2">
      <c r="A1307" s="8">
        <v>817</v>
      </c>
      <c r="B1307" s="8" t="s">
        <v>52</v>
      </c>
      <c r="C1307" s="8" t="s">
        <v>8</v>
      </c>
      <c r="D1307" s="12">
        <v>45108</v>
      </c>
      <c r="E1307" s="8">
        <v>56435</v>
      </c>
      <c r="F1307" s="10">
        <f>IF(ISTEXT(Таблицаx_2[[#This Row],[Значение]]), 0, Таблицаx_2[[#This Row],[Значение]])</f>
        <v>56435</v>
      </c>
      <c r="G1307" s="12">
        <v>45231</v>
      </c>
      <c r="H1307" s="10" t="str">
        <f>IFERROR(VLOOKUP(Таблицаx_2[[#This Row],[id]],prolongations!A:C,2,)," ")</f>
        <v>ноябрь 2023</v>
      </c>
      <c r="I1307" s="10">
        <f>IF(Таблицаx_2[[#This Row],[Месяц окончания]]=Таблицаx_2[[#This Row],[Месяц]],Таблицаx_2[[#This Row],[Значения числа]],0)</f>
        <v>0</v>
      </c>
      <c r="J1307" s="8">
        <f>IF(AND(Таблицаx_2[[#This Row],[Месяц окончания]]=Таблицаx_2[[#This Row],[Месяц]],Таблицаx_2[[#This Row],[id]]=A1308,EDATE(Таблицаx_2[[#This Row],[Месяц]],1)=D1308),F1308,0)</f>
        <v>0</v>
      </c>
      <c r="K1307" s="8">
        <f>IF(AND(Таблицаx_2[[#This Row],[Месяц окончания]]=Таблицаx_2[[#This Row],[Месяц]],Таблицаx_2[[#This Row],[id]]=A1308,EDATE(Таблицаx_2[[#This Row],[Месяц]],2)=D1308),F1308,0)</f>
        <v>0</v>
      </c>
    </row>
    <row r="1308" spans="1:11" ht="12.75" hidden="1" customHeight="1" x14ac:dyDescent="0.2">
      <c r="A1308" s="8">
        <v>817</v>
      </c>
      <c r="B1308" s="8" t="s">
        <v>52</v>
      </c>
      <c r="C1308" s="8" t="s">
        <v>8</v>
      </c>
      <c r="D1308" s="12">
        <v>45139</v>
      </c>
      <c r="E1308" s="8">
        <v>56435</v>
      </c>
      <c r="F1308" s="10">
        <f>IF(ISTEXT(Таблицаx_2[[#This Row],[Значение]]), 0, Таблицаx_2[[#This Row],[Значение]])</f>
        <v>56435</v>
      </c>
      <c r="G1308" s="12">
        <v>45231</v>
      </c>
      <c r="H1308" s="10" t="str">
        <f>IFERROR(VLOOKUP(Таблицаx_2[[#This Row],[id]],prolongations!A:C,2,)," ")</f>
        <v>ноябрь 2023</v>
      </c>
      <c r="I1308" s="10">
        <f>IF(Таблицаx_2[[#This Row],[Месяц окончания]]=Таблицаx_2[[#This Row],[Месяц]],Таблицаx_2[[#This Row],[Значения числа]],0)</f>
        <v>0</v>
      </c>
      <c r="J1308" s="8">
        <f>IF(AND(Таблицаx_2[[#This Row],[Месяц окончания]]=Таблицаx_2[[#This Row],[Месяц]],Таблицаx_2[[#This Row],[id]]=A1309,EDATE(Таблицаx_2[[#This Row],[Месяц]],1)=D1309),F1309,0)</f>
        <v>0</v>
      </c>
      <c r="K1308" s="8">
        <f>IF(AND(Таблицаx_2[[#This Row],[Месяц окончания]]=Таблицаx_2[[#This Row],[Месяц]],Таблицаx_2[[#This Row],[id]]=A1309,EDATE(Таблицаx_2[[#This Row],[Месяц]],2)=D1309),F1309,0)</f>
        <v>0</v>
      </c>
    </row>
    <row r="1309" spans="1:11" ht="12.75" hidden="1" customHeight="1" x14ac:dyDescent="0.2">
      <c r="A1309" s="8">
        <v>817</v>
      </c>
      <c r="B1309" s="8" t="s">
        <v>52</v>
      </c>
      <c r="C1309" s="8" t="s">
        <v>8</v>
      </c>
      <c r="D1309" s="12">
        <v>45170</v>
      </c>
      <c r="E1309" s="8">
        <v>59075</v>
      </c>
      <c r="F1309" s="10">
        <f>IF(ISTEXT(Таблицаx_2[[#This Row],[Значение]]), 0, Таблицаx_2[[#This Row],[Значение]])</f>
        <v>59075</v>
      </c>
      <c r="G1309" s="12">
        <v>45231</v>
      </c>
      <c r="H1309" s="10" t="str">
        <f>IFERROR(VLOOKUP(Таблицаx_2[[#This Row],[id]],prolongations!A:C,2,)," ")</f>
        <v>ноябрь 2023</v>
      </c>
      <c r="I1309" s="10">
        <f>IF(Таблицаx_2[[#This Row],[Месяц окончания]]=Таблицаx_2[[#This Row],[Месяц]],Таблицаx_2[[#This Row],[Значения числа]],0)</f>
        <v>0</v>
      </c>
      <c r="J1309" s="8">
        <f>IF(AND(Таблицаx_2[[#This Row],[Месяц окончания]]=Таблицаx_2[[#This Row],[Месяц]],Таблицаx_2[[#This Row],[id]]=A1310,EDATE(Таблицаx_2[[#This Row],[Месяц]],1)=D1310),F1310,0)</f>
        <v>0</v>
      </c>
      <c r="K1309" s="8">
        <f>IF(AND(Таблицаx_2[[#This Row],[Месяц окончания]]=Таблицаx_2[[#This Row],[Месяц]],Таблицаx_2[[#This Row],[id]]=A1310,EDATE(Таблицаx_2[[#This Row],[Месяц]],2)=D1310),F1310,0)</f>
        <v>0</v>
      </c>
    </row>
    <row r="1310" spans="1:11" ht="12.75" hidden="1" customHeight="1" x14ac:dyDescent="0.2">
      <c r="A1310" s="8">
        <v>817</v>
      </c>
      <c r="B1310" s="8" t="s">
        <v>52</v>
      </c>
      <c r="C1310" s="8" t="s">
        <v>8</v>
      </c>
      <c r="D1310" s="12">
        <v>45200</v>
      </c>
      <c r="E1310" s="8">
        <v>59075</v>
      </c>
      <c r="F1310" s="10">
        <f>IF(ISTEXT(Таблицаx_2[[#This Row],[Значение]]), 0, Таблицаx_2[[#This Row],[Значение]])</f>
        <v>59075</v>
      </c>
      <c r="G1310" s="12">
        <v>45231</v>
      </c>
      <c r="H1310" s="10" t="str">
        <f>IFERROR(VLOOKUP(Таблицаx_2[[#This Row],[id]],prolongations!A:C,2,)," ")</f>
        <v>ноябрь 2023</v>
      </c>
      <c r="I1310" s="10">
        <f>IF(Таблицаx_2[[#This Row],[Месяц окончания]]=Таблицаx_2[[#This Row],[Месяц]],Таблицаx_2[[#This Row],[Значения числа]],0)</f>
        <v>0</v>
      </c>
      <c r="J1310" s="8">
        <f>IF(AND(Таблицаx_2[[#This Row],[Месяц окончания]]=Таблицаx_2[[#This Row],[Месяц]],Таблицаx_2[[#This Row],[id]]=A1311,EDATE(Таблицаx_2[[#This Row],[Месяц]],1)=D1311),F1311,0)</f>
        <v>0</v>
      </c>
      <c r="K1310" s="8">
        <f>IF(AND(Таблицаx_2[[#This Row],[Месяц окончания]]=Таблицаx_2[[#This Row],[Месяц]],Таблицаx_2[[#This Row],[id]]=A1311,EDATE(Таблицаx_2[[#This Row],[Месяц]],2)=D1311),F1311,0)</f>
        <v>0</v>
      </c>
    </row>
    <row r="1311" spans="1:11" ht="12.75" hidden="1" customHeight="1" x14ac:dyDescent="0.2">
      <c r="A1311" s="8">
        <v>817</v>
      </c>
      <c r="B1311" s="8" t="s">
        <v>52</v>
      </c>
      <c r="C1311" s="8" t="s">
        <v>8</v>
      </c>
      <c r="D1311" s="12">
        <v>45231</v>
      </c>
      <c r="E1311" s="8">
        <v>59075</v>
      </c>
      <c r="F1311" s="10">
        <f>IF(ISTEXT(Таблицаx_2[[#This Row],[Значение]]), 0, Таблицаx_2[[#This Row],[Значение]])</f>
        <v>59075</v>
      </c>
      <c r="G1311" s="12">
        <v>45231</v>
      </c>
      <c r="H1311" s="10" t="str">
        <f>IFERROR(VLOOKUP(Таблицаx_2[[#This Row],[id]],prolongations!A:C,2,)," ")</f>
        <v>ноябрь 2023</v>
      </c>
      <c r="I1311" s="10">
        <f>IF(Таблицаx_2[[#This Row],[Месяц окончания]]=Таблицаx_2[[#This Row],[Месяц]],Таблицаx_2[[#This Row],[Значения числа]],0)</f>
        <v>59075</v>
      </c>
      <c r="J1311" s="8">
        <f>IF(AND(Таблицаx_2[[#This Row],[Месяц окончания]]=Таблицаx_2[[#This Row],[Месяц]],Таблицаx_2[[#This Row],[id]]=A1312,EDATE(Таблицаx_2[[#This Row],[Месяц]],1)=D1312),F1312,0)</f>
        <v>56750</v>
      </c>
      <c r="K1311" s="8">
        <f>IF(AND(Таблицаx_2[[#This Row],[Месяц окончания]]=Таблицаx_2[[#This Row],[Месяц]],Таблицаx_2[[#This Row],[id]]=A1312,EDATE(Таблицаx_2[[#This Row],[Месяц]],2)=D1312),F1312,0)</f>
        <v>0</v>
      </c>
    </row>
    <row r="1312" spans="1:11" ht="12.75" hidden="1" customHeight="1" x14ac:dyDescent="0.2">
      <c r="A1312" s="8">
        <v>817</v>
      </c>
      <c r="B1312" s="8" t="s">
        <v>52</v>
      </c>
      <c r="C1312" s="8" t="s">
        <v>8</v>
      </c>
      <c r="D1312" s="12">
        <v>45261</v>
      </c>
      <c r="E1312" s="8">
        <v>56750</v>
      </c>
      <c r="F1312" s="10">
        <f>IF(ISTEXT(Таблицаx_2[[#This Row],[Значение]]), 0, Таблицаx_2[[#This Row],[Значение]])</f>
        <v>56750</v>
      </c>
      <c r="G1312" s="12">
        <v>45231</v>
      </c>
      <c r="H1312" s="10" t="str">
        <f>IFERROR(VLOOKUP(Таблицаx_2[[#This Row],[id]],prolongations!A:C,2,)," ")</f>
        <v>ноябрь 2023</v>
      </c>
      <c r="I1312" s="10">
        <f>IF(Таблицаx_2[[#This Row],[Месяц окончания]]=Таблицаx_2[[#This Row],[Месяц]],Таблицаx_2[[#This Row],[Значения числа]],0)</f>
        <v>0</v>
      </c>
      <c r="J1312" s="8">
        <f>IF(AND(Таблицаx_2[[#This Row],[Месяц окончания]]=Таблицаx_2[[#This Row],[Месяц]],Таблицаx_2[[#This Row],[id]]=A1313,EDATE(Таблицаx_2[[#This Row],[Месяц]],1)=D1313),F1313,0)</f>
        <v>0</v>
      </c>
      <c r="K1312" s="8">
        <f>IF(AND(Таблицаx_2[[#This Row],[Месяц окончания]]=Таблицаx_2[[#This Row],[Месяц]],Таблицаx_2[[#This Row],[id]]=A1313,EDATE(Таблицаx_2[[#This Row],[Месяц]],2)=D1313),F1313,0)</f>
        <v>0</v>
      </c>
    </row>
    <row r="1313" spans="1:11" ht="12.75" hidden="1" customHeight="1" x14ac:dyDescent="0.2">
      <c r="A1313" s="8">
        <v>817</v>
      </c>
      <c r="B1313" s="8" t="s">
        <v>52</v>
      </c>
      <c r="C1313" s="8" t="s">
        <v>8</v>
      </c>
      <c r="D1313" s="12">
        <v>45292</v>
      </c>
      <c r="E1313" s="8">
        <v>56750</v>
      </c>
      <c r="F1313" s="10">
        <f>IF(ISTEXT(Таблицаx_2[[#This Row],[Значение]]), 0, Таблицаx_2[[#This Row],[Значение]])</f>
        <v>56750</v>
      </c>
      <c r="G1313" s="12">
        <v>45231</v>
      </c>
      <c r="H1313" s="10" t="str">
        <f>IFERROR(VLOOKUP(Таблицаx_2[[#This Row],[id]],prolongations!A:C,2,)," ")</f>
        <v>ноябрь 2023</v>
      </c>
      <c r="I1313" s="10">
        <f>IF(Таблицаx_2[[#This Row],[Месяц окончания]]=Таблицаx_2[[#This Row],[Месяц]],Таблицаx_2[[#This Row],[Значения числа]],0)</f>
        <v>0</v>
      </c>
      <c r="J1313" s="8">
        <f>IF(AND(Таблицаx_2[[#This Row],[Месяц окончания]]=Таблицаx_2[[#This Row],[Месяц]],Таблицаx_2[[#This Row],[id]]=A1314,EDATE(Таблицаx_2[[#This Row],[Месяц]],1)=D1314),F1314,0)</f>
        <v>0</v>
      </c>
      <c r="K1313" s="8">
        <f>IF(AND(Таблицаx_2[[#This Row],[Месяц окончания]]=Таблицаx_2[[#This Row],[Месяц]],Таблицаx_2[[#This Row],[id]]=A1314,EDATE(Таблицаx_2[[#This Row],[Месяц]],2)=D1314),F1314,0)</f>
        <v>0</v>
      </c>
    </row>
    <row r="1314" spans="1:11" ht="12.75" hidden="1" customHeight="1" x14ac:dyDescent="0.2">
      <c r="A1314" s="8">
        <v>817</v>
      </c>
      <c r="B1314" s="8" t="s">
        <v>52</v>
      </c>
      <c r="C1314" s="8" t="s">
        <v>8</v>
      </c>
      <c r="D1314" s="12">
        <v>45323</v>
      </c>
      <c r="E1314" s="8" t="s">
        <v>46</v>
      </c>
      <c r="F1314" s="10">
        <f>IF(ISTEXT(Таблицаx_2[[#This Row],[Значение]]), 0, Таблицаx_2[[#This Row],[Значение]])</f>
        <v>0</v>
      </c>
      <c r="G1314" s="12">
        <v>45231</v>
      </c>
      <c r="H1314" s="10" t="str">
        <f>IFERROR(VLOOKUP(Таблицаx_2[[#This Row],[id]],prolongations!A:C,2,)," ")</f>
        <v>ноябрь 2023</v>
      </c>
      <c r="I1314" s="10">
        <f>IF(Таблицаx_2[[#This Row],[Месяц окончания]]=Таблицаx_2[[#This Row],[Месяц]],Таблицаx_2[[#This Row],[Значения числа]],0)</f>
        <v>0</v>
      </c>
      <c r="J1314" s="8">
        <f>IF(AND(Таблицаx_2[[#This Row],[Месяц окончания]]=Таблицаx_2[[#This Row],[Месяц]],Таблицаx_2[[#This Row],[id]]=A1315,EDATE(Таблицаx_2[[#This Row],[Месяц]],1)=D1315),F1315,0)</f>
        <v>0</v>
      </c>
      <c r="K1314" s="8">
        <f>IF(AND(Таблицаx_2[[#This Row],[Месяц окончания]]=Таблицаx_2[[#This Row],[Месяц]],Таблицаx_2[[#This Row],[id]]=A1315,EDATE(Таблицаx_2[[#This Row],[Месяц]],2)=D1315),F1315,0)</f>
        <v>0</v>
      </c>
    </row>
    <row r="1315" spans="1:11" ht="12.75" hidden="1" customHeight="1" x14ac:dyDescent="0.2">
      <c r="A1315" s="8">
        <v>817</v>
      </c>
      <c r="B1315" s="8" t="s">
        <v>50</v>
      </c>
      <c r="C1315" s="8" t="s">
        <v>8</v>
      </c>
      <c r="D1315" s="12">
        <v>44986</v>
      </c>
      <c r="E1315" s="8">
        <v>10100</v>
      </c>
      <c r="F1315" s="10">
        <f>IF(ISTEXT(Таблицаx_2[[#This Row],[Значение]]), 0, Таблицаx_2[[#This Row],[Значение]])</f>
        <v>10100</v>
      </c>
      <c r="G1315" s="12">
        <v>45231</v>
      </c>
      <c r="H1315" s="10" t="str">
        <f>IFERROR(VLOOKUP(Таблицаx_2[[#This Row],[id]],prolongations!A:C,2,)," ")</f>
        <v>ноябрь 2023</v>
      </c>
      <c r="I1315" s="10">
        <f>IF(Таблицаx_2[[#This Row],[Месяц окончания]]=Таблицаx_2[[#This Row],[Месяц]],Таблицаx_2[[#This Row],[Значения числа]],0)</f>
        <v>0</v>
      </c>
      <c r="J1315" s="8">
        <f>IF(AND(Таблицаx_2[[#This Row],[Месяц окончания]]=Таблицаx_2[[#This Row],[Месяц]],Таблицаx_2[[#This Row],[id]]=A1316,EDATE(Таблицаx_2[[#This Row],[Месяц]],1)=D1316),F1316,0)</f>
        <v>0</v>
      </c>
      <c r="K1315" s="8">
        <f>IF(AND(Таблицаx_2[[#This Row],[Месяц окончания]]=Таблицаx_2[[#This Row],[Месяц]],Таблицаx_2[[#This Row],[id]]=A1316,EDATE(Таблицаx_2[[#This Row],[Месяц]],2)=D1316),F1316,0)</f>
        <v>0</v>
      </c>
    </row>
    <row r="1316" spans="1:11" ht="12.75" hidden="1" customHeight="1" x14ac:dyDescent="0.2">
      <c r="A1316" s="8">
        <v>817</v>
      </c>
      <c r="B1316" s="8" t="s">
        <v>50</v>
      </c>
      <c r="C1316" s="8" t="s">
        <v>8</v>
      </c>
      <c r="D1316" s="12">
        <v>45017</v>
      </c>
      <c r="E1316" s="8">
        <v>7425</v>
      </c>
      <c r="F1316" s="10">
        <f>IF(ISTEXT(Таблицаx_2[[#This Row],[Значение]]), 0, Таблицаx_2[[#This Row],[Значение]])</f>
        <v>7425</v>
      </c>
      <c r="G1316" s="12">
        <v>45231</v>
      </c>
      <c r="H1316" s="10" t="str">
        <f>IFERROR(VLOOKUP(Таблицаx_2[[#This Row],[id]],prolongations!A:C,2,)," ")</f>
        <v>ноябрь 2023</v>
      </c>
      <c r="I1316" s="10">
        <f>IF(Таблицаx_2[[#This Row],[Месяц окончания]]=Таблицаx_2[[#This Row],[Месяц]],Таблицаx_2[[#This Row],[Значения числа]],0)</f>
        <v>0</v>
      </c>
      <c r="J1316" s="8">
        <f>IF(AND(Таблицаx_2[[#This Row],[Месяц окончания]]=Таблицаx_2[[#This Row],[Месяц]],Таблицаx_2[[#This Row],[id]]=A1317,EDATE(Таблицаx_2[[#This Row],[Месяц]],1)=D1317),F1317,0)</f>
        <v>0</v>
      </c>
      <c r="K1316" s="8">
        <f>IF(AND(Таблицаx_2[[#This Row],[Месяц окончания]]=Таблицаx_2[[#This Row],[Месяц]],Таблицаx_2[[#This Row],[id]]=A1317,EDATE(Таблицаx_2[[#This Row],[Месяц]],2)=D1317),F1317,0)</f>
        <v>0</v>
      </c>
    </row>
    <row r="1317" spans="1:11" ht="12.75" hidden="1" customHeight="1" x14ac:dyDescent="0.2">
      <c r="A1317" s="8">
        <v>817</v>
      </c>
      <c r="B1317" s="8" t="s">
        <v>50</v>
      </c>
      <c r="C1317" s="8" t="s">
        <v>8</v>
      </c>
      <c r="D1317" s="12">
        <v>45047</v>
      </c>
      <c r="E1317" s="8">
        <v>7425</v>
      </c>
      <c r="F1317" s="10">
        <f>IF(ISTEXT(Таблицаx_2[[#This Row],[Значение]]), 0, Таблицаx_2[[#This Row],[Значение]])</f>
        <v>7425</v>
      </c>
      <c r="G1317" s="12">
        <v>45231</v>
      </c>
      <c r="H1317" s="10" t="str">
        <f>IFERROR(VLOOKUP(Таблицаx_2[[#This Row],[id]],prolongations!A:C,2,)," ")</f>
        <v>ноябрь 2023</v>
      </c>
      <c r="I1317" s="10">
        <f>IF(Таблицаx_2[[#This Row],[Месяц окончания]]=Таблицаx_2[[#This Row],[Месяц]],Таблицаx_2[[#This Row],[Значения числа]],0)</f>
        <v>0</v>
      </c>
      <c r="J1317" s="8">
        <f>IF(AND(Таблицаx_2[[#This Row],[Месяц окончания]]=Таблицаx_2[[#This Row],[Месяц]],Таблицаx_2[[#This Row],[id]]=A1318,EDATE(Таблицаx_2[[#This Row],[Месяц]],1)=D1318),F1318,0)</f>
        <v>0</v>
      </c>
      <c r="K1317" s="8">
        <f>IF(AND(Таблицаx_2[[#This Row],[Месяц окончания]]=Таблицаx_2[[#This Row],[Месяц]],Таблицаx_2[[#This Row],[id]]=A1318,EDATE(Таблицаx_2[[#This Row],[Месяц]],2)=D1318),F1318,0)</f>
        <v>0</v>
      </c>
    </row>
    <row r="1318" spans="1:11" ht="12.75" hidden="1" customHeight="1" x14ac:dyDescent="0.2">
      <c r="A1318" s="8">
        <v>817</v>
      </c>
      <c r="B1318" s="8" t="s">
        <v>50</v>
      </c>
      <c r="C1318" s="8" t="s">
        <v>8</v>
      </c>
      <c r="D1318" s="12">
        <v>45078</v>
      </c>
      <c r="E1318" s="8">
        <v>7900</v>
      </c>
      <c r="F1318" s="10">
        <f>IF(ISTEXT(Таблицаx_2[[#This Row],[Значение]]), 0, Таблицаx_2[[#This Row],[Значение]])</f>
        <v>7900</v>
      </c>
      <c r="G1318" s="12">
        <v>45231</v>
      </c>
      <c r="H1318" s="10" t="str">
        <f>IFERROR(VLOOKUP(Таблицаx_2[[#This Row],[id]],prolongations!A:C,2,)," ")</f>
        <v>ноябрь 2023</v>
      </c>
      <c r="I1318" s="10">
        <f>IF(Таблицаx_2[[#This Row],[Месяц окончания]]=Таблицаx_2[[#This Row],[Месяц]],Таблицаx_2[[#This Row],[Значения числа]],0)</f>
        <v>0</v>
      </c>
      <c r="J1318" s="8">
        <f>IF(AND(Таблицаx_2[[#This Row],[Месяц окончания]]=Таблицаx_2[[#This Row],[Месяц]],Таблицаx_2[[#This Row],[id]]=A1319,EDATE(Таблицаx_2[[#This Row],[Месяц]],1)=D1319),F1319,0)</f>
        <v>0</v>
      </c>
      <c r="K1318" s="8">
        <f>IF(AND(Таблицаx_2[[#This Row],[Месяц окончания]]=Таблицаx_2[[#This Row],[Месяц]],Таблицаx_2[[#This Row],[id]]=A1319,EDATE(Таблицаx_2[[#This Row],[Месяц]],2)=D1319),F1319,0)</f>
        <v>0</v>
      </c>
    </row>
    <row r="1319" spans="1:11" ht="12.75" hidden="1" customHeight="1" x14ac:dyDescent="0.2">
      <c r="A1319" s="8">
        <v>817</v>
      </c>
      <c r="B1319" s="8" t="s">
        <v>50</v>
      </c>
      <c r="C1319" s="8" t="s">
        <v>8</v>
      </c>
      <c r="D1319" s="12">
        <v>45108</v>
      </c>
      <c r="E1319" s="8">
        <v>7900</v>
      </c>
      <c r="F1319" s="10">
        <f>IF(ISTEXT(Таблицаx_2[[#This Row],[Значение]]), 0, Таблицаx_2[[#This Row],[Значение]])</f>
        <v>7900</v>
      </c>
      <c r="G1319" s="12">
        <v>45231</v>
      </c>
      <c r="H1319" s="10" t="str">
        <f>IFERROR(VLOOKUP(Таблицаx_2[[#This Row],[id]],prolongations!A:C,2,)," ")</f>
        <v>ноябрь 2023</v>
      </c>
      <c r="I1319" s="10">
        <f>IF(Таблицаx_2[[#This Row],[Месяц окончания]]=Таблицаx_2[[#This Row],[Месяц]],Таблицаx_2[[#This Row],[Значения числа]],0)</f>
        <v>0</v>
      </c>
      <c r="J1319" s="8">
        <f>IF(AND(Таблицаx_2[[#This Row],[Месяц окончания]]=Таблицаx_2[[#This Row],[Месяц]],Таблицаx_2[[#This Row],[id]]=A1320,EDATE(Таблицаx_2[[#This Row],[Месяц]],1)=D1320),F1320,0)</f>
        <v>0</v>
      </c>
      <c r="K1319" s="8">
        <f>IF(AND(Таблицаx_2[[#This Row],[Месяц окончания]]=Таблицаx_2[[#This Row],[Месяц]],Таблицаx_2[[#This Row],[id]]=A1320,EDATE(Таблицаx_2[[#This Row],[Месяц]],2)=D1320),F1320,0)</f>
        <v>0</v>
      </c>
    </row>
    <row r="1320" spans="1:11" ht="12.75" hidden="1" customHeight="1" x14ac:dyDescent="0.2">
      <c r="A1320" s="8">
        <v>817</v>
      </c>
      <c r="B1320" s="8" t="s">
        <v>50</v>
      </c>
      <c r="C1320" s="8" t="s">
        <v>8</v>
      </c>
      <c r="D1320" s="12">
        <v>45139</v>
      </c>
      <c r="E1320" s="8">
        <v>7900</v>
      </c>
      <c r="F1320" s="10">
        <f>IF(ISTEXT(Таблицаx_2[[#This Row],[Значение]]), 0, Таблицаx_2[[#This Row],[Значение]])</f>
        <v>7900</v>
      </c>
      <c r="G1320" s="12">
        <v>45231</v>
      </c>
      <c r="H1320" s="10" t="str">
        <f>IFERROR(VLOOKUP(Таблицаx_2[[#This Row],[id]],prolongations!A:C,2,)," ")</f>
        <v>ноябрь 2023</v>
      </c>
      <c r="I1320" s="10">
        <f>IF(Таблицаx_2[[#This Row],[Месяц окончания]]=Таблицаx_2[[#This Row],[Месяц]],Таблицаx_2[[#This Row],[Значения числа]],0)</f>
        <v>0</v>
      </c>
      <c r="J1320" s="8">
        <f>IF(AND(Таблицаx_2[[#This Row],[Месяц окончания]]=Таблицаx_2[[#This Row],[Месяц]],Таблицаx_2[[#This Row],[id]]=A1321,EDATE(Таблицаx_2[[#This Row],[Месяц]],1)=D1321),F1321,0)</f>
        <v>0</v>
      </c>
      <c r="K1320" s="8">
        <f>IF(AND(Таблицаx_2[[#This Row],[Месяц окончания]]=Таблицаx_2[[#This Row],[Месяц]],Таблицаx_2[[#This Row],[id]]=A1321,EDATE(Таблицаx_2[[#This Row],[Месяц]],2)=D1321),F1321,0)</f>
        <v>0</v>
      </c>
    </row>
    <row r="1321" spans="1:11" ht="12.75" hidden="1" customHeight="1" x14ac:dyDescent="0.2">
      <c r="A1321" s="8">
        <v>817</v>
      </c>
      <c r="B1321" s="8" t="s">
        <v>50</v>
      </c>
      <c r="C1321" s="8" t="s">
        <v>8</v>
      </c>
      <c r="D1321" s="12">
        <v>45170</v>
      </c>
      <c r="E1321" s="8">
        <v>8850</v>
      </c>
      <c r="F1321" s="10">
        <f>IF(ISTEXT(Таблицаx_2[[#This Row],[Значение]]), 0, Таблицаx_2[[#This Row],[Значение]])</f>
        <v>8850</v>
      </c>
      <c r="G1321" s="12">
        <v>45231</v>
      </c>
      <c r="H1321" s="10" t="str">
        <f>IFERROR(VLOOKUP(Таблицаx_2[[#This Row],[id]],prolongations!A:C,2,)," ")</f>
        <v>ноябрь 2023</v>
      </c>
      <c r="I1321" s="10">
        <f>IF(Таблицаx_2[[#This Row],[Месяц окончания]]=Таблицаx_2[[#This Row],[Месяц]],Таблицаx_2[[#This Row],[Значения числа]],0)</f>
        <v>0</v>
      </c>
      <c r="J1321" s="8">
        <f>IF(AND(Таблицаx_2[[#This Row],[Месяц окончания]]=Таблицаx_2[[#This Row],[Месяц]],Таблицаx_2[[#This Row],[id]]=A1322,EDATE(Таблицаx_2[[#This Row],[Месяц]],1)=D1322),F1322,0)</f>
        <v>0</v>
      </c>
      <c r="K1321" s="8">
        <f>IF(AND(Таблицаx_2[[#This Row],[Месяц окончания]]=Таблицаx_2[[#This Row],[Месяц]],Таблицаx_2[[#This Row],[id]]=A1322,EDATE(Таблицаx_2[[#This Row],[Месяц]],2)=D1322),F1322,0)</f>
        <v>0</v>
      </c>
    </row>
    <row r="1322" spans="1:11" ht="12.75" hidden="1" customHeight="1" x14ac:dyDescent="0.2">
      <c r="A1322" s="8">
        <v>817</v>
      </c>
      <c r="B1322" s="8" t="s">
        <v>50</v>
      </c>
      <c r="C1322" s="8" t="s">
        <v>8</v>
      </c>
      <c r="D1322" s="12">
        <v>45200</v>
      </c>
      <c r="E1322" s="8">
        <v>8610</v>
      </c>
      <c r="F1322" s="10">
        <f>IF(ISTEXT(Таблицаx_2[[#This Row],[Значение]]), 0, Таблицаx_2[[#This Row],[Значение]])</f>
        <v>8610</v>
      </c>
      <c r="G1322" s="12">
        <v>45231</v>
      </c>
      <c r="H1322" s="10" t="str">
        <f>IFERROR(VLOOKUP(Таблицаx_2[[#This Row],[id]],prolongations!A:C,2,)," ")</f>
        <v>ноябрь 2023</v>
      </c>
      <c r="I1322" s="10">
        <f>IF(Таблицаx_2[[#This Row],[Месяц окончания]]=Таблицаx_2[[#This Row],[Месяц]],Таблицаx_2[[#This Row],[Значения числа]],0)</f>
        <v>0</v>
      </c>
      <c r="J1322" s="8">
        <f>IF(AND(Таблицаx_2[[#This Row],[Месяц окончания]]=Таблицаx_2[[#This Row],[Месяц]],Таблицаx_2[[#This Row],[id]]=A1323,EDATE(Таблицаx_2[[#This Row],[Месяц]],1)=D1323),F1323,0)</f>
        <v>0</v>
      </c>
      <c r="K1322" s="8">
        <f>IF(AND(Таблицаx_2[[#This Row],[Месяц окончания]]=Таблицаx_2[[#This Row],[Месяц]],Таблицаx_2[[#This Row],[id]]=A1323,EDATE(Таблицаx_2[[#This Row],[Месяц]],2)=D1323),F1323,0)</f>
        <v>0</v>
      </c>
    </row>
    <row r="1323" spans="1:11" ht="12.75" hidden="1" customHeight="1" x14ac:dyDescent="0.2">
      <c r="A1323" s="8">
        <v>817</v>
      </c>
      <c r="B1323" s="8" t="s">
        <v>50</v>
      </c>
      <c r="C1323" s="8" t="s">
        <v>8</v>
      </c>
      <c r="D1323" s="12">
        <v>45231</v>
      </c>
      <c r="E1323" s="8">
        <v>8780</v>
      </c>
      <c r="F1323" s="10">
        <f>IF(ISTEXT(Таблицаx_2[[#This Row],[Значение]]), 0, Таблицаx_2[[#This Row],[Значение]])</f>
        <v>8780</v>
      </c>
      <c r="G1323" s="12">
        <v>45231</v>
      </c>
      <c r="H1323" s="10" t="str">
        <f>IFERROR(VLOOKUP(Таблицаx_2[[#This Row],[id]],prolongations!A:C,2,)," ")</f>
        <v>ноябрь 2023</v>
      </c>
      <c r="I1323" s="10">
        <f>IF(Таблицаx_2[[#This Row],[Месяц окончания]]=Таблицаx_2[[#This Row],[Месяц]],Таблицаx_2[[#This Row],[Значения числа]],0)</f>
        <v>8780</v>
      </c>
      <c r="J1323" s="8">
        <f>IF(AND(Таблицаx_2[[#This Row],[Месяц окончания]]=Таблицаx_2[[#This Row],[Месяц]],Таблицаx_2[[#This Row],[id]]=A1324,EDATE(Таблицаx_2[[#This Row],[Месяц]],1)=D1324),F1324,0)</f>
        <v>11100</v>
      </c>
      <c r="K1323" s="8">
        <f>IF(AND(Таблицаx_2[[#This Row],[Месяц окончания]]=Таблицаx_2[[#This Row],[Месяц]],Таблицаx_2[[#This Row],[id]]=A1324,EDATE(Таблицаx_2[[#This Row],[Месяц]],2)=D1324),F1324,0)</f>
        <v>0</v>
      </c>
    </row>
    <row r="1324" spans="1:11" ht="12.75" hidden="1" customHeight="1" x14ac:dyDescent="0.2">
      <c r="A1324" s="8">
        <v>817</v>
      </c>
      <c r="B1324" s="8" t="s">
        <v>50</v>
      </c>
      <c r="C1324" s="8" t="s">
        <v>8</v>
      </c>
      <c r="D1324" s="12">
        <v>45261</v>
      </c>
      <c r="E1324" s="8">
        <v>11100</v>
      </c>
      <c r="F1324" s="10">
        <f>IF(ISTEXT(Таблицаx_2[[#This Row],[Значение]]), 0, Таблицаx_2[[#This Row],[Значение]])</f>
        <v>11100</v>
      </c>
      <c r="G1324" s="12">
        <v>45231</v>
      </c>
      <c r="H1324" s="10" t="str">
        <f>IFERROR(VLOOKUP(Таблицаx_2[[#This Row],[id]],prolongations!A:C,2,)," ")</f>
        <v>ноябрь 2023</v>
      </c>
      <c r="I1324" s="10">
        <f>IF(Таблицаx_2[[#This Row],[Месяц окончания]]=Таблицаx_2[[#This Row],[Месяц]],Таблицаx_2[[#This Row],[Значения числа]],0)</f>
        <v>0</v>
      </c>
      <c r="J1324" s="8">
        <f>IF(AND(Таблицаx_2[[#This Row],[Месяц окончания]]=Таблицаx_2[[#This Row],[Месяц]],Таблицаx_2[[#This Row],[id]]=A1325,EDATE(Таблицаx_2[[#This Row],[Месяц]],1)=D1325),F1325,0)</f>
        <v>0</v>
      </c>
      <c r="K1324" s="8">
        <f>IF(AND(Таблицаx_2[[#This Row],[Месяц окончания]]=Таблицаx_2[[#This Row],[Месяц]],Таблицаx_2[[#This Row],[id]]=A1325,EDATE(Таблицаx_2[[#This Row],[Месяц]],2)=D1325),F1325,0)</f>
        <v>0</v>
      </c>
    </row>
    <row r="1325" spans="1:11" ht="12.75" hidden="1" customHeight="1" x14ac:dyDescent="0.2">
      <c r="A1325" s="8">
        <v>817</v>
      </c>
      <c r="B1325" s="8" t="s">
        <v>50</v>
      </c>
      <c r="C1325" s="8" t="s">
        <v>8</v>
      </c>
      <c r="D1325" s="12">
        <v>45292</v>
      </c>
      <c r="E1325" s="8">
        <v>11100</v>
      </c>
      <c r="F1325" s="10">
        <f>IF(ISTEXT(Таблицаx_2[[#This Row],[Значение]]), 0, Таблицаx_2[[#This Row],[Значение]])</f>
        <v>11100</v>
      </c>
      <c r="G1325" s="12">
        <v>45231</v>
      </c>
      <c r="H1325" s="10" t="str">
        <f>IFERROR(VLOOKUP(Таблицаx_2[[#This Row],[id]],prolongations!A:C,2,)," ")</f>
        <v>ноябрь 2023</v>
      </c>
      <c r="I1325" s="10">
        <f>IF(Таблицаx_2[[#This Row],[Месяц окончания]]=Таблицаx_2[[#This Row],[Месяц]],Таблицаx_2[[#This Row],[Значения числа]],0)</f>
        <v>0</v>
      </c>
      <c r="J1325" s="8">
        <f>IF(AND(Таблицаx_2[[#This Row],[Месяц окончания]]=Таблицаx_2[[#This Row],[Месяц]],Таблицаx_2[[#This Row],[id]]=A1326,EDATE(Таблицаx_2[[#This Row],[Месяц]],1)=D1326),F1326,0)</f>
        <v>0</v>
      </c>
      <c r="K1325" s="8">
        <f>IF(AND(Таблицаx_2[[#This Row],[Месяц окончания]]=Таблицаx_2[[#This Row],[Месяц]],Таблицаx_2[[#This Row],[id]]=A1326,EDATE(Таблицаx_2[[#This Row],[Месяц]],2)=D1326),F1326,0)</f>
        <v>0</v>
      </c>
    </row>
    <row r="1326" spans="1:11" ht="12.75" hidden="1" customHeight="1" x14ac:dyDescent="0.2">
      <c r="A1326" s="8">
        <v>817</v>
      </c>
      <c r="B1326" s="8" t="s">
        <v>50</v>
      </c>
      <c r="C1326" s="8" t="s">
        <v>8</v>
      </c>
      <c r="D1326" s="12">
        <v>45323</v>
      </c>
      <c r="E1326" s="8" t="s">
        <v>46</v>
      </c>
      <c r="F1326" s="10">
        <f>IF(ISTEXT(Таблицаx_2[[#This Row],[Значение]]), 0, Таблицаx_2[[#This Row],[Значение]])</f>
        <v>0</v>
      </c>
      <c r="G1326" s="12">
        <v>45231</v>
      </c>
      <c r="H1326" s="10" t="str">
        <f>IFERROR(VLOOKUP(Таблицаx_2[[#This Row],[id]],prolongations!A:C,2,)," ")</f>
        <v>ноябрь 2023</v>
      </c>
      <c r="I1326" s="10">
        <f>IF(Таблицаx_2[[#This Row],[Месяц окончания]]=Таблицаx_2[[#This Row],[Месяц]],Таблицаx_2[[#This Row],[Значения числа]],0)</f>
        <v>0</v>
      </c>
      <c r="J1326" s="8">
        <f>IF(AND(Таблицаx_2[[#This Row],[Месяц окончания]]=Таблицаx_2[[#This Row],[Месяц]],Таблицаx_2[[#This Row],[id]]=A1327,EDATE(Таблицаx_2[[#This Row],[Месяц]],1)=D1327),F1327,0)</f>
        <v>0</v>
      </c>
      <c r="K1326" s="8">
        <f>IF(AND(Таблицаx_2[[#This Row],[Месяц окончания]]=Таблицаx_2[[#This Row],[Месяц]],Таблицаx_2[[#This Row],[id]]=A1327,EDATE(Таблицаx_2[[#This Row],[Месяц]],2)=D1327),F1327,0)</f>
        <v>0</v>
      </c>
    </row>
    <row r="1327" spans="1:11" ht="12.75" hidden="1" customHeight="1" x14ac:dyDescent="0.2">
      <c r="A1327" s="8">
        <v>896</v>
      </c>
      <c r="B1327" s="8"/>
      <c r="C1327" s="8" t="s">
        <v>8</v>
      </c>
      <c r="D1327" s="12">
        <v>45078</v>
      </c>
      <c r="E1327" s="8" t="s">
        <v>48</v>
      </c>
      <c r="F1327" s="10">
        <f>IF(ISTEXT(Таблицаx_2[[#This Row],[Значение]]), 0, Таблицаx_2[[#This Row],[Значение]])</f>
        <v>0</v>
      </c>
      <c r="G1327" s="12">
        <v>45231</v>
      </c>
      <c r="H1327" s="10" t="str">
        <f>IFERROR(VLOOKUP(Таблицаx_2[[#This Row],[id]],prolongations!A:C,2,)," ")</f>
        <v>ноябрь 2023</v>
      </c>
      <c r="I1327" s="10">
        <f>IF(Таблицаx_2[[#This Row],[Месяц окончания]]=Таблицаx_2[[#This Row],[Месяц]],Таблицаx_2[[#This Row],[Значения числа]],0)</f>
        <v>0</v>
      </c>
      <c r="J1327" s="8">
        <f>IF(AND(Таблицаx_2[[#This Row],[Месяц окончания]]=Таблицаx_2[[#This Row],[Месяц]],Таблицаx_2[[#This Row],[id]]=A1328,EDATE(Таблицаx_2[[#This Row],[Месяц]],1)=D1328),F1328,0)</f>
        <v>0</v>
      </c>
      <c r="K1327" s="8">
        <f>IF(AND(Таблицаx_2[[#This Row],[Месяц окончания]]=Таблицаx_2[[#This Row],[Месяц]],Таблицаx_2[[#This Row],[id]]=A1328,EDATE(Таблицаx_2[[#This Row],[Месяц]],2)=D1328),F1328,0)</f>
        <v>0</v>
      </c>
    </row>
    <row r="1328" spans="1:11" ht="12.75" hidden="1" customHeight="1" x14ac:dyDescent="0.2">
      <c r="A1328" s="8">
        <v>896</v>
      </c>
      <c r="B1328" s="8"/>
      <c r="C1328" s="8" t="s">
        <v>8</v>
      </c>
      <c r="D1328" s="12">
        <v>45108</v>
      </c>
      <c r="E1328" s="8" t="s">
        <v>48</v>
      </c>
      <c r="F1328" s="10">
        <f>IF(ISTEXT(Таблицаx_2[[#This Row],[Значение]]), 0, Таблицаx_2[[#This Row],[Значение]])</f>
        <v>0</v>
      </c>
      <c r="G1328" s="12">
        <v>45231</v>
      </c>
      <c r="H1328" s="10" t="str">
        <f>IFERROR(VLOOKUP(Таблицаx_2[[#This Row],[id]],prolongations!A:C,2,)," ")</f>
        <v>ноябрь 2023</v>
      </c>
      <c r="I1328" s="10">
        <f>IF(Таблицаx_2[[#This Row],[Месяц окончания]]=Таблицаx_2[[#This Row],[Месяц]],Таблицаx_2[[#This Row],[Значения числа]],0)</f>
        <v>0</v>
      </c>
      <c r="J1328" s="8">
        <f>IF(AND(Таблицаx_2[[#This Row],[Месяц окончания]]=Таблицаx_2[[#This Row],[Месяц]],Таблицаx_2[[#This Row],[id]]=A1329,EDATE(Таблицаx_2[[#This Row],[Месяц]],1)=D1329),F1329,0)</f>
        <v>0</v>
      </c>
      <c r="K1328" s="8">
        <f>IF(AND(Таблицаx_2[[#This Row],[Месяц окончания]]=Таблицаx_2[[#This Row],[Месяц]],Таблицаx_2[[#This Row],[id]]=A1329,EDATE(Таблицаx_2[[#This Row],[Месяц]],2)=D1329),F1329,0)</f>
        <v>0</v>
      </c>
    </row>
    <row r="1329" spans="1:11" ht="12.75" hidden="1" customHeight="1" x14ac:dyDescent="0.2">
      <c r="A1329" s="8">
        <v>896</v>
      </c>
      <c r="B1329" s="8"/>
      <c r="C1329" s="8" t="s">
        <v>8</v>
      </c>
      <c r="D1329" s="12">
        <v>45139</v>
      </c>
      <c r="E1329" s="8" t="s">
        <v>48</v>
      </c>
      <c r="F1329" s="10">
        <f>IF(ISTEXT(Таблицаx_2[[#This Row],[Значение]]), 0, Таблицаx_2[[#This Row],[Значение]])</f>
        <v>0</v>
      </c>
      <c r="G1329" s="12">
        <v>45231</v>
      </c>
      <c r="H1329" s="10" t="str">
        <f>IFERROR(VLOOKUP(Таблицаx_2[[#This Row],[id]],prolongations!A:C,2,)," ")</f>
        <v>ноябрь 2023</v>
      </c>
      <c r="I1329" s="10">
        <f>IF(Таблицаx_2[[#This Row],[Месяц окончания]]=Таблицаx_2[[#This Row],[Месяц]],Таблицаx_2[[#This Row],[Значения числа]],0)</f>
        <v>0</v>
      </c>
      <c r="J1329" s="8">
        <f>IF(AND(Таблицаx_2[[#This Row],[Месяц окончания]]=Таблицаx_2[[#This Row],[Месяц]],Таблицаx_2[[#This Row],[id]]=A1330,EDATE(Таблицаx_2[[#This Row],[Месяц]],1)=D1330),F1330,0)</f>
        <v>0</v>
      </c>
      <c r="K1329" s="8">
        <f>IF(AND(Таблицаx_2[[#This Row],[Месяц окончания]]=Таблицаx_2[[#This Row],[Месяц]],Таблицаx_2[[#This Row],[id]]=A1330,EDATE(Таблицаx_2[[#This Row],[Месяц]],2)=D1330),F1330,0)</f>
        <v>0</v>
      </c>
    </row>
    <row r="1330" spans="1:11" ht="12.75" hidden="1" customHeight="1" x14ac:dyDescent="0.2">
      <c r="A1330" s="8">
        <v>896</v>
      </c>
      <c r="B1330" s="8"/>
      <c r="C1330" s="8" t="s">
        <v>8</v>
      </c>
      <c r="D1330" s="12">
        <v>45170</v>
      </c>
      <c r="E1330" s="8" t="s">
        <v>48</v>
      </c>
      <c r="F1330" s="10">
        <f>IF(ISTEXT(Таблицаx_2[[#This Row],[Значение]]), 0, Таблицаx_2[[#This Row],[Значение]])</f>
        <v>0</v>
      </c>
      <c r="G1330" s="12">
        <v>45231</v>
      </c>
      <c r="H1330" s="10" t="str">
        <f>IFERROR(VLOOKUP(Таблицаx_2[[#This Row],[id]],prolongations!A:C,2,)," ")</f>
        <v>ноябрь 2023</v>
      </c>
      <c r="I1330" s="10">
        <f>IF(Таблицаx_2[[#This Row],[Месяц окончания]]=Таблицаx_2[[#This Row],[Месяц]],Таблицаx_2[[#This Row],[Значения числа]],0)</f>
        <v>0</v>
      </c>
      <c r="J1330" s="8">
        <f>IF(AND(Таблицаx_2[[#This Row],[Месяц окончания]]=Таблицаx_2[[#This Row],[Месяц]],Таблицаx_2[[#This Row],[id]]=A1331,EDATE(Таблицаx_2[[#This Row],[Месяц]],1)=D1331),F1331,0)</f>
        <v>0</v>
      </c>
      <c r="K1330" s="8">
        <f>IF(AND(Таблицаx_2[[#This Row],[Месяц окончания]]=Таблицаx_2[[#This Row],[Месяц]],Таблицаx_2[[#This Row],[id]]=A1331,EDATE(Таблицаx_2[[#This Row],[Месяц]],2)=D1331),F1331,0)</f>
        <v>0</v>
      </c>
    </row>
    <row r="1331" spans="1:11" ht="12.75" hidden="1" customHeight="1" x14ac:dyDescent="0.2">
      <c r="A1331" s="8">
        <v>896</v>
      </c>
      <c r="B1331" s="8"/>
      <c r="C1331" s="8" t="s">
        <v>8</v>
      </c>
      <c r="D1331" s="12">
        <v>45200</v>
      </c>
      <c r="E1331" s="8" t="s">
        <v>48</v>
      </c>
      <c r="F1331" s="10">
        <f>IF(ISTEXT(Таблицаx_2[[#This Row],[Значение]]), 0, Таблицаx_2[[#This Row],[Значение]])</f>
        <v>0</v>
      </c>
      <c r="G1331" s="12">
        <v>45231</v>
      </c>
      <c r="H1331" s="10" t="str">
        <f>IFERROR(VLOOKUP(Таблицаx_2[[#This Row],[id]],prolongations!A:C,2,)," ")</f>
        <v>ноябрь 2023</v>
      </c>
      <c r="I1331" s="10">
        <f>IF(Таблицаx_2[[#This Row],[Месяц окончания]]=Таблицаx_2[[#This Row],[Месяц]],Таблицаx_2[[#This Row],[Значения числа]],0)</f>
        <v>0</v>
      </c>
      <c r="J1331" s="8">
        <f>IF(AND(Таблицаx_2[[#This Row],[Месяц окончания]]=Таблицаx_2[[#This Row],[Месяц]],Таблицаx_2[[#This Row],[id]]=A1332,EDATE(Таблицаx_2[[#This Row],[Месяц]],1)=D1332),F1332,0)</f>
        <v>0</v>
      </c>
      <c r="K1331" s="8">
        <f>IF(AND(Таблицаx_2[[#This Row],[Месяц окончания]]=Таблицаx_2[[#This Row],[Месяц]],Таблицаx_2[[#This Row],[id]]=A1332,EDATE(Таблицаx_2[[#This Row],[Месяц]],2)=D1332),F1332,0)</f>
        <v>0</v>
      </c>
    </row>
    <row r="1332" spans="1:11" ht="12.75" hidden="1" customHeight="1" x14ac:dyDescent="0.2">
      <c r="A1332" s="8">
        <v>896</v>
      </c>
      <c r="B1332" s="8"/>
      <c r="C1332" s="8" t="s">
        <v>8</v>
      </c>
      <c r="D1332" s="12">
        <v>45231</v>
      </c>
      <c r="E1332" s="8" t="s">
        <v>48</v>
      </c>
      <c r="F1332" s="10">
        <f>IF(ISTEXT(Таблицаx_2[[#This Row],[Значение]]), 0, Таблицаx_2[[#This Row],[Значение]])</f>
        <v>0</v>
      </c>
      <c r="G1332" s="12">
        <v>45231</v>
      </c>
      <c r="H1332" s="10" t="str">
        <f>IFERROR(VLOOKUP(Таблицаx_2[[#This Row],[id]],prolongations!A:C,2,)," ")</f>
        <v>ноябрь 2023</v>
      </c>
      <c r="I1332" s="10">
        <f>IF(Таблицаx_2[[#This Row],[Месяц окончания]]=Таблицаx_2[[#This Row],[Месяц]],Таблицаx_2[[#This Row],[Значения числа]],0)</f>
        <v>0</v>
      </c>
      <c r="J1332" s="8">
        <f>IF(AND(Таблицаx_2[[#This Row],[Месяц окончания]]=Таблицаx_2[[#This Row],[Месяц]],Таблицаx_2[[#This Row],[id]]=A1333,EDATE(Таблицаx_2[[#This Row],[Месяц]],1)=D1333),F1333,0)</f>
        <v>0</v>
      </c>
      <c r="K1332" s="8">
        <f>IF(AND(Таблицаx_2[[#This Row],[Месяц окончания]]=Таблицаx_2[[#This Row],[Месяц]],Таблицаx_2[[#This Row],[id]]=A1333,EDATE(Таблицаx_2[[#This Row],[Месяц]],2)=D1333),F1333,0)</f>
        <v>0</v>
      </c>
    </row>
    <row r="1333" spans="1:11" ht="12.75" hidden="1" customHeight="1" x14ac:dyDescent="0.2">
      <c r="A1333" s="8">
        <v>797</v>
      </c>
      <c r="B1333" s="8" t="s">
        <v>45</v>
      </c>
      <c r="C1333" s="8" t="s">
        <v>6</v>
      </c>
      <c r="D1333" s="12">
        <v>44958</v>
      </c>
      <c r="E1333" s="8">
        <v>93250</v>
      </c>
      <c r="F1333" s="10">
        <f>IF(ISTEXT(Таблицаx_2[[#This Row],[Значение]]), 0, Таблицаx_2[[#This Row],[Значение]])</f>
        <v>93250</v>
      </c>
      <c r="G1333" s="12">
        <v>44986</v>
      </c>
      <c r="H1333" s="10" t="str">
        <f>IFERROR(VLOOKUP(Таблицаx_2[[#This Row],[id]],prolongations!A:C,2,)," ")</f>
        <v>март 2023</v>
      </c>
      <c r="I1333" s="10">
        <f>IF(Таблицаx_2[[#This Row],[Месяц окончания]]=Таблицаx_2[[#This Row],[Месяц]],Таблицаx_2[[#This Row],[Значения числа]],0)</f>
        <v>0</v>
      </c>
      <c r="J1333" s="8">
        <f>IF(AND(Таблицаx_2[[#This Row],[Месяц окончания]]=Таблицаx_2[[#This Row],[Месяц]],Таблицаx_2[[#This Row],[id]]=A1334,EDATE(Таблицаx_2[[#This Row],[Месяц]],1)=D1334),F1334,0)</f>
        <v>0</v>
      </c>
      <c r="K1333" s="8">
        <f>IF(AND(Таблицаx_2[[#This Row],[Месяц окончания]]=Таблицаx_2[[#This Row],[Месяц]],Таблицаx_2[[#This Row],[id]]=A1334,EDATE(Таблицаx_2[[#This Row],[Месяц]],2)=D1334),F1334,0)</f>
        <v>0</v>
      </c>
    </row>
    <row r="1334" spans="1:11" ht="12.75" hidden="1" customHeight="1" x14ac:dyDescent="0.2">
      <c r="A1334" s="8">
        <v>797</v>
      </c>
      <c r="B1334" s="8" t="s">
        <v>45</v>
      </c>
      <c r="C1334" s="8" t="s">
        <v>6</v>
      </c>
      <c r="D1334" s="12">
        <v>44986</v>
      </c>
      <c r="E1334" s="8">
        <v>93250</v>
      </c>
      <c r="F1334" s="10">
        <f>IF(ISTEXT(Таблицаx_2[[#This Row],[Значение]]), 0, Таблицаx_2[[#This Row],[Значение]])</f>
        <v>93250</v>
      </c>
      <c r="G1334" s="12">
        <v>44986</v>
      </c>
      <c r="H1334" s="10" t="str">
        <f>IFERROR(VLOOKUP(Таблицаx_2[[#This Row],[id]],prolongations!A:C,2,)," ")</f>
        <v>март 2023</v>
      </c>
      <c r="I1334" s="10">
        <f>IF(Таблицаx_2[[#This Row],[Месяц окончания]]=Таблицаx_2[[#This Row],[Месяц]],Таблицаx_2[[#This Row],[Значения числа]],0)</f>
        <v>93250</v>
      </c>
      <c r="J1334" s="8">
        <f>IF(AND(Таблицаx_2[[#This Row],[Месяц окончания]]=Таблицаx_2[[#This Row],[Месяц]],Таблицаx_2[[#This Row],[id]]=A1335,EDATE(Таблицаx_2[[#This Row],[Месяц]],1)=D1335),F1335,0)</f>
        <v>93250</v>
      </c>
      <c r="K1334" s="8">
        <f>IF(AND(Таблицаx_2[[#This Row],[Месяц окончания]]=Таблицаx_2[[#This Row],[Месяц]],Таблицаx_2[[#This Row],[id]]=A1335,EDATE(Таблицаx_2[[#This Row],[Месяц]],2)=D1335),F1335,0)</f>
        <v>0</v>
      </c>
    </row>
    <row r="1335" spans="1:11" ht="12.75" hidden="1" customHeight="1" x14ac:dyDescent="0.2">
      <c r="A1335" s="8">
        <v>797</v>
      </c>
      <c r="B1335" s="8" t="s">
        <v>45</v>
      </c>
      <c r="C1335" s="8" t="s">
        <v>6</v>
      </c>
      <c r="D1335" s="12">
        <v>45017</v>
      </c>
      <c r="E1335" s="8">
        <v>93250</v>
      </c>
      <c r="F1335" s="10">
        <f>IF(ISTEXT(Таблицаx_2[[#This Row],[Значение]]), 0, Таблицаx_2[[#This Row],[Значение]])</f>
        <v>93250</v>
      </c>
      <c r="G1335" s="12">
        <v>44986</v>
      </c>
      <c r="H1335" s="10" t="str">
        <f>IFERROR(VLOOKUP(Таблицаx_2[[#This Row],[id]],prolongations!A:C,2,)," ")</f>
        <v>март 2023</v>
      </c>
      <c r="I1335" s="10">
        <f>IF(Таблицаx_2[[#This Row],[Месяц окончания]]=Таблицаx_2[[#This Row],[Месяц]],Таблицаx_2[[#This Row],[Значения числа]],0)</f>
        <v>0</v>
      </c>
      <c r="J1335" s="8">
        <f>IF(AND(Таблицаx_2[[#This Row],[Месяц окончания]]=Таблицаx_2[[#This Row],[Месяц]],Таблицаx_2[[#This Row],[id]]=A1336,EDATE(Таблицаx_2[[#This Row],[Месяц]],1)=D1336),F1336,0)</f>
        <v>0</v>
      </c>
      <c r="K1335" s="8">
        <f>IF(AND(Таблицаx_2[[#This Row],[Месяц окончания]]=Таблицаx_2[[#This Row],[Месяц]],Таблицаx_2[[#This Row],[id]]=A1336,EDATE(Таблицаx_2[[#This Row],[Месяц]],2)=D1336),F1336,0)</f>
        <v>0</v>
      </c>
    </row>
    <row r="1336" spans="1:11" ht="12.75" hidden="1" customHeight="1" x14ac:dyDescent="0.2">
      <c r="A1336" s="8">
        <v>797</v>
      </c>
      <c r="B1336" s="8" t="s">
        <v>45</v>
      </c>
      <c r="C1336" s="8" t="s">
        <v>6</v>
      </c>
      <c r="D1336" s="12">
        <v>45047</v>
      </c>
      <c r="E1336" s="8">
        <v>93250</v>
      </c>
      <c r="F1336" s="10">
        <f>IF(ISTEXT(Таблицаx_2[[#This Row],[Значение]]), 0, Таблицаx_2[[#This Row],[Значение]])</f>
        <v>93250</v>
      </c>
      <c r="G1336" s="12">
        <v>44986</v>
      </c>
      <c r="H1336" s="10" t="str">
        <f>IFERROR(VLOOKUP(Таблицаx_2[[#This Row],[id]],prolongations!A:C,2,)," ")</f>
        <v>март 2023</v>
      </c>
      <c r="I1336" s="10">
        <f>IF(Таблицаx_2[[#This Row],[Месяц окончания]]=Таблицаx_2[[#This Row],[Месяц]],Таблицаx_2[[#This Row],[Значения числа]],0)</f>
        <v>0</v>
      </c>
      <c r="J1336" s="8">
        <f>IF(AND(Таблицаx_2[[#This Row],[Месяц окончания]]=Таблицаx_2[[#This Row],[Месяц]],Таблицаx_2[[#This Row],[id]]=A1337,EDATE(Таблицаx_2[[#This Row],[Месяц]],1)=D1337),F1337,0)</f>
        <v>0</v>
      </c>
      <c r="K1336" s="8">
        <f>IF(AND(Таблицаx_2[[#This Row],[Месяц окончания]]=Таблицаx_2[[#This Row],[Месяц]],Таблицаx_2[[#This Row],[id]]=A1337,EDATE(Таблицаx_2[[#This Row],[Месяц]],2)=D1337),F1337,0)</f>
        <v>0</v>
      </c>
    </row>
    <row r="1337" spans="1:11" ht="12.75" hidden="1" customHeight="1" x14ac:dyDescent="0.2">
      <c r="A1337" s="8">
        <v>797</v>
      </c>
      <c r="B1337" s="8" t="s">
        <v>45</v>
      </c>
      <c r="C1337" s="8" t="s">
        <v>6</v>
      </c>
      <c r="D1337" s="12">
        <v>45078</v>
      </c>
      <c r="E1337" s="8">
        <v>93250</v>
      </c>
      <c r="F1337" s="10">
        <f>IF(ISTEXT(Таблицаx_2[[#This Row],[Значение]]), 0, Таблицаx_2[[#This Row],[Значение]])</f>
        <v>93250</v>
      </c>
      <c r="G1337" s="12">
        <v>44986</v>
      </c>
      <c r="H1337" s="10" t="str">
        <f>IFERROR(VLOOKUP(Таблицаx_2[[#This Row],[id]],prolongations!A:C,2,)," ")</f>
        <v>март 2023</v>
      </c>
      <c r="I1337" s="10">
        <f>IF(Таблицаx_2[[#This Row],[Месяц окончания]]=Таблицаx_2[[#This Row],[Месяц]],Таблицаx_2[[#This Row],[Значения числа]],0)</f>
        <v>0</v>
      </c>
      <c r="J1337" s="8">
        <f>IF(AND(Таблицаx_2[[#This Row],[Месяц окончания]]=Таблицаx_2[[#This Row],[Месяц]],Таблицаx_2[[#This Row],[id]]=A1338,EDATE(Таблицаx_2[[#This Row],[Месяц]],1)=D1338),F1338,0)</f>
        <v>0</v>
      </c>
      <c r="K1337" s="8">
        <f>IF(AND(Таблицаx_2[[#This Row],[Месяц окончания]]=Таблицаx_2[[#This Row],[Месяц]],Таблицаx_2[[#This Row],[id]]=A1338,EDATE(Таблицаx_2[[#This Row],[Месяц]],2)=D1338),F1338,0)</f>
        <v>0</v>
      </c>
    </row>
    <row r="1338" spans="1:11" ht="12.75" hidden="1" customHeight="1" x14ac:dyDescent="0.2">
      <c r="A1338" s="8">
        <v>797</v>
      </c>
      <c r="B1338" s="8" t="s">
        <v>45</v>
      </c>
      <c r="C1338" s="8" t="s">
        <v>6</v>
      </c>
      <c r="D1338" s="12">
        <v>45108</v>
      </c>
      <c r="E1338" s="8">
        <v>115900</v>
      </c>
      <c r="F1338" s="10">
        <f>IF(ISTEXT(Таблицаx_2[[#This Row],[Значение]]), 0, Таблицаx_2[[#This Row],[Значение]])</f>
        <v>115900</v>
      </c>
      <c r="G1338" s="12">
        <v>44986</v>
      </c>
      <c r="H1338" s="10" t="str">
        <f>IFERROR(VLOOKUP(Таблицаx_2[[#This Row],[id]],prolongations!A:C,2,)," ")</f>
        <v>март 2023</v>
      </c>
      <c r="I1338" s="10">
        <f>IF(Таблицаx_2[[#This Row],[Месяц окончания]]=Таблицаx_2[[#This Row],[Месяц]],Таблицаx_2[[#This Row],[Значения числа]],0)</f>
        <v>0</v>
      </c>
      <c r="J1338" s="8">
        <f>IF(AND(Таблицаx_2[[#This Row],[Месяц окончания]]=Таблицаx_2[[#This Row],[Месяц]],Таблицаx_2[[#This Row],[id]]=A1339,EDATE(Таблицаx_2[[#This Row],[Месяц]],1)=D1339),F1339,0)</f>
        <v>0</v>
      </c>
      <c r="K1338" s="8">
        <f>IF(AND(Таблицаx_2[[#This Row],[Месяц окончания]]=Таблицаx_2[[#This Row],[Месяц]],Таблицаx_2[[#This Row],[id]]=A1339,EDATE(Таблицаx_2[[#This Row],[Месяц]],2)=D1339),F1339,0)</f>
        <v>0</v>
      </c>
    </row>
    <row r="1339" spans="1:11" ht="12.75" hidden="1" customHeight="1" x14ac:dyDescent="0.2">
      <c r="A1339" s="8">
        <v>797</v>
      </c>
      <c r="B1339" s="8" t="s">
        <v>45</v>
      </c>
      <c r="C1339" s="8" t="s">
        <v>6</v>
      </c>
      <c r="D1339" s="12">
        <v>45139</v>
      </c>
      <c r="E1339" s="8">
        <v>115900</v>
      </c>
      <c r="F1339" s="10">
        <f>IF(ISTEXT(Таблицаx_2[[#This Row],[Значение]]), 0, Таблицаx_2[[#This Row],[Значение]])</f>
        <v>115900</v>
      </c>
      <c r="G1339" s="12">
        <v>44986</v>
      </c>
      <c r="H1339" s="10" t="str">
        <f>IFERROR(VLOOKUP(Таблицаx_2[[#This Row],[id]],prolongations!A:C,2,)," ")</f>
        <v>март 2023</v>
      </c>
      <c r="I1339" s="10">
        <f>IF(Таблицаx_2[[#This Row],[Месяц окончания]]=Таблицаx_2[[#This Row],[Месяц]],Таблицаx_2[[#This Row],[Значения числа]],0)</f>
        <v>0</v>
      </c>
      <c r="J1339" s="8">
        <f>IF(AND(Таблицаx_2[[#This Row],[Месяц окончания]]=Таблицаx_2[[#This Row],[Месяц]],Таблицаx_2[[#This Row],[id]]=A1340,EDATE(Таблицаx_2[[#This Row],[Месяц]],1)=D1340),F1340,0)</f>
        <v>0</v>
      </c>
      <c r="K1339" s="8">
        <f>IF(AND(Таблицаx_2[[#This Row],[Месяц окончания]]=Таблицаx_2[[#This Row],[Месяц]],Таблицаx_2[[#This Row],[id]]=A1340,EDATE(Таблицаx_2[[#This Row],[Месяц]],2)=D1340),F1340,0)</f>
        <v>0</v>
      </c>
    </row>
    <row r="1340" spans="1:11" ht="12.75" hidden="1" customHeight="1" x14ac:dyDescent="0.2">
      <c r="A1340" s="8">
        <v>797</v>
      </c>
      <c r="B1340" s="8" t="s">
        <v>45</v>
      </c>
      <c r="C1340" s="8" t="s">
        <v>6</v>
      </c>
      <c r="D1340" s="12">
        <v>45170</v>
      </c>
      <c r="E1340" s="8">
        <v>115900</v>
      </c>
      <c r="F1340" s="10">
        <f>IF(ISTEXT(Таблицаx_2[[#This Row],[Значение]]), 0, Таблицаx_2[[#This Row],[Значение]])</f>
        <v>115900</v>
      </c>
      <c r="G1340" s="12">
        <v>44986</v>
      </c>
      <c r="H1340" s="10" t="str">
        <f>IFERROR(VLOOKUP(Таблицаx_2[[#This Row],[id]],prolongations!A:C,2,)," ")</f>
        <v>март 2023</v>
      </c>
      <c r="I1340" s="10">
        <f>IF(Таблицаx_2[[#This Row],[Месяц окончания]]=Таблицаx_2[[#This Row],[Месяц]],Таблицаx_2[[#This Row],[Значения числа]],0)</f>
        <v>0</v>
      </c>
      <c r="J1340" s="8">
        <f>IF(AND(Таблицаx_2[[#This Row],[Месяц окончания]]=Таблицаx_2[[#This Row],[Месяц]],Таблицаx_2[[#This Row],[id]]=A1341,EDATE(Таблицаx_2[[#This Row],[Месяц]],1)=D1341),F1341,0)</f>
        <v>0</v>
      </c>
      <c r="K1340" s="8">
        <f>IF(AND(Таблицаx_2[[#This Row],[Месяц окончания]]=Таблицаx_2[[#This Row],[Месяц]],Таблицаx_2[[#This Row],[id]]=A1341,EDATE(Таблицаx_2[[#This Row],[Месяц]],2)=D1341),F1341,0)</f>
        <v>0</v>
      </c>
    </row>
    <row r="1341" spans="1:11" ht="12.75" hidden="1" customHeight="1" x14ac:dyDescent="0.2">
      <c r="A1341" s="8">
        <v>797</v>
      </c>
      <c r="B1341" s="8" t="s">
        <v>45</v>
      </c>
      <c r="C1341" s="8" t="s">
        <v>6</v>
      </c>
      <c r="D1341" s="12">
        <v>45200</v>
      </c>
      <c r="E1341" s="8">
        <v>142000</v>
      </c>
      <c r="F1341" s="10">
        <f>IF(ISTEXT(Таблицаx_2[[#This Row],[Значение]]), 0, Таблицаx_2[[#This Row],[Значение]])</f>
        <v>142000</v>
      </c>
      <c r="G1341" s="12">
        <v>44986</v>
      </c>
      <c r="H1341" s="10" t="str">
        <f>IFERROR(VLOOKUP(Таблицаx_2[[#This Row],[id]],prolongations!A:C,2,)," ")</f>
        <v>март 2023</v>
      </c>
      <c r="I1341" s="10">
        <f>IF(Таблицаx_2[[#This Row],[Месяц окончания]]=Таблицаx_2[[#This Row],[Месяц]],Таблицаx_2[[#This Row],[Значения числа]],0)</f>
        <v>0</v>
      </c>
      <c r="J1341" s="8">
        <f>IF(AND(Таблицаx_2[[#This Row],[Месяц окончания]]=Таблицаx_2[[#This Row],[Месяц]],Таблицаx_2[[#This Row],[id]]=A1342,EDATE(Таблицаx_2[[#This Row],[Месяц]],1)=D1342),F1342,0)</f>
        <v>0</v>
      </c>
      <c r="K1341" s="8">
        <f>IF(AND(Таблицаx_2[[#This Row],[Месяц окончания]]=Таблицаx_2[[#This Row],[Месяц]],Таблицаx_2[[#This Row],[id]]=A1342,EDATE(Таблицаx_2[[#This Row],[Месяц]],2)=D1342),F1342,0)</f>
        <v>0</v>
      </c>
    </row>
    <row r="1342" spans="1:11" ht="12.75" hidden="1" customHeight="1" x14ac:dyDescent="0.2">
      <c r="A1342" s="8">
        <v>797</v>
      </c>
      <c r="B1342" s="8" t="s">
        <v>45</v>
      </c>
      <c r="C1342" s="8" t="s">
        <v>6</v>
      </c>
      <c r="D1342" s="12">
        <v>45231</v>
      </c>
      <c r="E1342" s="8">
        <v>142000</v>
      </c>
      <c r="F1342" s="10">
        <f>IF(ISTEXT(Таблицаx_2[[#This Row],[Значение]]), 0, Таблицаx_2[[#This Row],[Значение]])</f>
        <v>142000</v>
      </c>
      <c r="G1342" s="12">
        <v>44986</v>
      </c>
      <c r="H1342" s="10" t="str">
        <f>IFERROR(VLOOKUP(Таблицаx_2[[#This Row],[id]],prolongations!A:C,2,)," ")</f>
        <v>март 2023</v>
      </c>
      <c r="I1342" s="10">
        <f>IF(Таблицаx_2[[#This Row],[Месяц окончания]]=Таблицаx_2[[#This Row],[Месяц]],Таблицаx_2[[#This Row],[Значения числа]],0)</f>
        <v>0</v>
      </c>
      <c r="J1342" s="8">
        <f>IF(AND(Таблицаx_2[[#This Row],[Месяц окончания]]=Таблицаx_2[[#This Row],[Месяц]],Таблицаx_2[[#This Row],[id]]=A1343,EDATE(Таблицаx_2[[#This Row],[Месяц]],1)=D1343),F1343,0)</f>
        <v>0</v>
      </c>
      <c r="K1342" s="8">
        <f>IF(AND(Таблицаx_2[[#This Row],[Месяц окончания]]=Таблицаx_2[[#This Row],[Месяц]],Таблицаx_2[[#This Row],[id]]=A1343,EDATE(Таблицаx_2[[#This Row],[Месяц]],2)=D1343),F1343,0)</f>
        <v>0</v>
      </c>
    </row>
    <row r="1343" spans="1:11" ht="12.75" hidden="1" customHeight="1" x14ac:dyDescent="0.2">
      <c r="A1343" s="8">
        <v>797</v>
      </c>
      <c r="B1343" s="8" t="s">
        <v>45</v>
      </c>
      <c r="C1343" s="8" t="s">
        <v>6</v>
      </c>
      <c r="D1343" s="12">
        <v>45261</v>
      </c>
      <c r="E1343" s="8">
        <v>142000</v>
      </c>
      <c r="F1343" s="10">
        <f>IF(ISTEXT(Таблицаx_2[[#This Row],[Значение]]), 0, Таблицаx_2[[#This Row],[Значение]])</f>
        <v>142000</v>
      </c>
      <c r="G1343" s="12">
        <v>44986</v>
      </c>
      <c r="H1343" s="10" t="str">
        <f>IFERROR(VLOOKUP(Таблицаx_2[[#This Row],[id]],prolongations!A:C,2,)," ")</f>
        <v>март 2023</v>
      </c>
      <c r="I1343" s="10">
        <f>IF(Таблицаx_2[[#This Row],[Месяц окончания]]=Таблицаx_2[[#This Row],[Месяц]],Таблицаx_2[[#This Row],[Значения числа]],0)</f>
        <v>0</v>
      </c>
      <c r="J1343" s="8">
        <f>IF(AND(Таблицаx_2[[#This Row],[Месяц окончания]]=Таблицаx_2[[#This Row],[Месяц]],Таблицаx_2[[#This Row],[id]]=A1344,EDATE(Таблицаx_2[[#This Row],[Месяц]],1)=D1344),F1344,0)</f>
        <v>0</v>
      </c>
      <c r="K1343" s="8">
        <f>IF(AND(Таблицаx_2[[#This Row],[Месяц окончания]]=Таблицаx_2[[#This Row],[Месяц]],Таблицаx_2[[#This Row],[id]]=A1344,EDATE(Таблицаx_2[[#This Row],[Месяц]],2)=D1344),F1344,0)</f>
        <v>0</v>
      </c>
    </row>
    <row r="1344" spans="1:11" ht="12.75" hidden="1" customHeight="1" x14ac:dyDescent="0.2">
      <c r="A1344" s="8">
        <v>797</v>
      </c>
      <c r="B1344" s="8" t="s">
        <v>45</v>
      </c>
      <c r="C1344" s="8" t="s">
        <v>6</v>
      </c>
      <c r="D1344" s="12">
        <v>45292</v>
      </c>
      <c r="E1344" s="8">
        <v>142000</v>
      </c>
      <c r="F1344" s="10">
        <f>IF(ISTEXT(Таблицаx_2[[#This Row],[Значение]]), 0, Таблицаx_2[[#This Row],[Значение]])</f>
        <v>142000</v>
      </c>
      <c r="G1344" s="12">
        <v>44986</v>
      </c>
      <c r="H1344" s="10" t="str">
        <f>IFERROR(VLOOKUP(Таблицаx_2[[#This Row],[id]],prolongations!A:C,2,)," ")</f>
        <v>март 2023</v>
      </c>
      <c r="I1344" s="10">
        <f>IF(Таблицаx_2[[#This Row],[Месяц окончания]]=Таблицаx_2[[#This Row],[Месяц]],Таблицаx_2[[#This Row],[Значения числа]],0)</f>
        <v>0</v>
      </c>
      <c r="J1344" s="8">
        <f>IF(AND(Таблицаx_2[[#This Row],[Месяц окончания]]=Таблицаx_2[[#This Row],[Месяц]],Таблицаx_2[[#This Row],[id]]=A1345,EDATE(Таблицаx_2[[#This Row],[Месяц]],1)=D1345),F1345,0)</f>
        <v>0</v>
      </c>
      <c r="K1344" s="8">
        <f>IF(AND(Таблицаx_2[[#This Row],[Месяц окончания]]=Таблицаx_2[[#This Row],[Месяц]],Таблицаx_2[[#This Row],[id]]=A1345,EDATE(Таблицаx_2[[#This Row],[Месяц]],2)=D1345),F1345,0)</f>
        <v>0</v>
      </c>
    </row>
    <row r="1345" spans="1:11" ht="12.75" hidden="1" customHeight="1" x14ac:dyDescent="0.2">
      <c r="A1345" s="8">
        <v>797</v>
      </c>
      <c r="B1345" s="8" t="s">
        <v>45</v>
      </c>
      <c r="C1345" s="8" t="s">
        <v>6</v>
      </c>
      <c r="D1345" s="12">
        <v>45323</v>
      </c>
      <c r="E1345" s="8">
        <v>142000</v>
      </c>
      <c r="F1345" s="10">
        <f>IF(ISTEXT(Таблицаx_2[[#This Row],[Значение]]), 0, Таблицаx_2[[#This Row],[Значение]])</f>
        <v>142000</v>
      </c>
      <c r="G1345" s="12">
        <v>44986</v>
      </c>
      <c r="H1345" s="10" t="str">
        <f>IFERROR(VLOOKUP(Таблицаx_2[[#This Row],[id]],prolongations!A:C,2,)," ")</f>
        <v>март 2023</v>
      </c>
      <c r="I1345" s="10">
        <f>IF(Таблицаx_2[[#This Row],[Месяц окончания]]=Таблицаx_2[[#This Row],[Месяц]],Таблицаx_2[[#This Row],[Значения числа]],0)</f>
        <v>0</v>
      </c>
      <c r="J1345" s="8">
        <f>IF(AND(Таблицаx_2[[#This Row],[Месяц окончания]]=Таблицаx_2[[#This Row],[Месяц]],Таблицаx_2[[#This Row],[id]]=A1346,EDATE(Таблицаx_2[[#This Row],[Месяц]],1)=D1346),F1346,0)</f>
        <v>0</v>
      </c>
      <c r="K1345" s="8">
        <f>IF(AND(Таблицаx_2[[#This Row],[Месяц окончания]]=Таблицаx_2[[#This Row],[Месяц]],Таблицаx_2[[#This Row],[id]]=A1346,EDATE(Таблицаx_2[[#This Row],[Месяц]],2)=D1346),F1346,0)</f>
        <v>0</v>
      </c>
    </row>
    <row r="1346" spans="1:11" ht="12.75" hidden="1" customHeight="1" x14ac:dyDescent="0.2">
      <c r="A1346" s="8">
        <v>797</v>
      </c>
      <c r="B1346" s="8" t="s">
        <v>47</v>
      </c>
      <c r="C1346" s="8" t="s">
        <v>6</v>
      </c>
      <c r="D1346" s="12">
        <v>44958</v>
      </c>
      <c r="E1346" s="8">
        <v>28495</v>
      </c>
      <c r="F1346" s="10">
        <f>IF(ISTEXT(Таблицаx_2[[#This Row],[Значение]]), 0, Таблицаx_2[[#This Row],[Значение]])</f>
        <v>28495</v>
      </c>
      <c r="G1346" s="12">
        <v>44986</v>
      </c>
      <c r="H1346" s="10" t="str">
        <f>IFERROR(VLOOKUP(Таблицаx_2[[#This Row],[id]],prolongations!A:C,2,)," ")</f>
        <v>март 2023</v>
      </c>
      <c r="I1346" s="10">
        <f>IF(Таблицаx_2[[#This Row],[Месяц окончания]]=Таблицаx_2[[#This Row],[Месяц]],Таблицаx_2[[#This Row],[Значения числа]],0)</f>
        <v>0</v>
      </c>
      <c r="J1346" s="8">
        <f>IF(AND(Таблицаx_2[[#This Row],[Месяц окончания]]=Таблицаx_2[[#This Row],[Месяц]],Таблицаx_2[[#This Row],[id]]=A1347,EDATE(Таблицаx_2[[#This Row],[Месяц]],1)=D1347),F1347,0)</f>
        <v>0</v>
      </c>
      <c r="K1346" s="8">
        <f>IF(AND(Таблицаx_2[[#This Row],[Месяц окончания]]=Таблицаx_2[[#This Row],[Месяц]],Таблицаx_2[[#This Row],[id]]=A1347,EDATE(Таблицаx_2[[#This Row],[Месяц]],2)=D1347),F1347,0)</f>
        <v>0</v>
      </c>
    </row>
    <row r="1347" spans="1:11" ht="12.75" hidden="1" customHeight="1" x14ac:dyDescent="0.2">
      <c r="A1347" s="8">
        <v>797</v>
      </c>
      <c r="B1347" s="8" t="s">
        <v>47</v>
      </c>
      <c r="C1347" s="8" t="s">
        <v>6</v>
      </c>
      <c r="D1347" s="12">
        <v>44986</v>
      </c>
      <c r="E1347" s="8">
        <v>17645</v>
      </c>
      <c r="F1347" s="10">
        <f>IF(ISTEXT(Таблицаx_2[[#This Row],[Значение]]), 0, Таблицаx_2[[#This Row],[Значение]])</f>
        <v>17645</v>
      </c>
      <c r="G1347" s="12">
        <v>44986</v>
      </c>
      <c r="H1347" s="10" t="str">
        <f>IFERROR(VLOOKUP(Таблицаx_2[[#This Row],[id]],prolongations!A:C,2,)," ")</f>
        <v>март 2023</v>
      </c>
      <c r="I1347" s="10">
        <f>IF(Таблицаx_2[[#This Row],[Месяц окончания]]=Таблицаx_2[[#This Row],[Месяц]],Таблицаx_2[[#This Row],[Значения числа]],0)</f>
        <v>17645</v>
      </c>
      <c r="J1347" s="8">
        <f>IF(AND(Таблицаx_2[[#This Row],[Месяц окончания]]=Таблицаx_2[[#This Row],[Месяц]],Таблицаx_2[[#This Row],[id]]=A1348,EDATE(Таблицаx_2[[#This Row],[Месяц]],1)=D1348),F1348,0)</f>
        <v>26285</v>
      </c>
      <c r="K1347" s="8">
        <f>IF(AND(Таблицаx_2[[#This Row],[Месяц окончания]]=Таблицаx_2[[#This Row],[Месяц]],Таблицаx_2[[#This Row],[id]]=A1348,EDATE(Таблицаx_2[[#This Row],[Месяц]],2)=D1348),F1348,0)</f>
        <v>0</v>
      </c>
    </row>
    <row r="1348" spans="1:11" ht="12.75" hidden="1" customHeight="1" x14ac:dyDescent="0.2">
      <c r="A1348" s="8">
        <v>797</v>
      </c>
      <c r="B1348" s="8" t="s">
        <v>47</v>
      </c>
      <c r="C1348" s="8" t="s">
        <v>6</v>
      </c>
      <c r="D1348" s="12">
        <v>45017</v>
      </c>
      <c r="E1348" s="8">
        <v>26285</v>
      </c>
      <c r="F1348" s="10">
        <f>IF(ISTEXT(Таблицаx_2[[#This Row],[Значение]]), 0, Таблицаx_2[[#This Row],[Значение]])</f>
        <v>26285</v>
      </c>
      <c r="G1348" s="12">
        <v>44986</v>
      </c>
      <c r="H1348" s="10" t="str">
        <f>IFERROR(VLOOKUP(Таблицаx_2[[#This Row],[id]],prolongations!A:C,2,)," ")</f>
        <v>март 2023</v>
      </c>
      <c r="I1348" s="10">
        <f>IF(Таблицаx_2[[#This Row],[Месяц окончания]]=Таблицаx_2[[#This Row],[Месяц]],Таблицаx_2[[#This Row],[Значения числа]],0)</f>
        <v>0</v>
      </c>
      <c r="J1348" s="8">
        <f>IF(AND(Таблицаx_2[[#This Row],[Месяц окончания]]=Таблицаx_2[[#This Row],[Месяц]],Таблицаx_2[[#This Row],[id]]=A1349,EDATE(Таблицаx_2[[#This Row],[Месяц]],1)=D1349),F1349,0)</f>
        <v>0</v>
      </c>
      <c r="K1348" s="8">
        <f>IF(AND(Таблицаx_2[[#This Row],[Месяц окончания]]=Таблицаx_2[[#This Row],[Месяц]],Таблицаx_2[[#This Row],[id]]=A1349,EDATE(Таблицаx_2[[#This Row],[Месяц]],2)=D1349),F1349,0)</f>
        <v>0</v>
      </c>
    </row>
    <row r="1349" spans="1:11" ht="12.75" hidden="1" customHeight="1" x14ac:dyDescent="0.2">
      <c r="A1349" s="8">
        <v>797</v>
      </c>
      <c r="B1349" s="8" t="s">
        <v>47</v>
      </c>
      <c r="C1349" s="8" t="s">
        <v>6</v>
      </c>
      <c r="D1349" s="12">
        <v>45047</v>
      </c>
      <c r="E1349" s="8">
        <v>21280</v>
      </c>
      <c r="F1349" s="10">
        <f>IF(ISTEXT(Таблицаx_2[[#This Row],[Значение]]), 0, Таблицаx_2[[#This Row],[Значение]])</f>
        <v>21280</v>
      </c>
      <c r="G1349" s="12">
        <v>44986</v>
      </c>
      <c r="H1349" s="10" t="str">
        <f>IFERROR(VLOOKUP(Таблицаx_2[[#This Row],[id]],prolongations!A:C,2,)," ")</f>
        <v>март 2023</v>
      </c>
      <c r="I1349" s="10">
        <f>IF(Таблицаx_2[[#This Row],[Месяц окончания]]=Таблицаx_2[[#This Row],[Месяц]],Таблицаx_2[[#This Row],[Значения числа]],0)</f>
        <v>0</v>
      </c>
      <c r="J1349" s="8">
        <f>IF(AND(Таблицаx_2[[#This Row],[Месяц окончания]]=Таблицаx_2[[#This Row],[Месяц]],Таблицаx_2[[#This Row],[id]]=A1350,EDATE(Таблицаx_2[[#This Row],[Месяц]],1)=D1350),F1350,0)</f>
        <v>0</v>
      </c>
      <c r="K1349" s="8">
        <f>IF(AND(Таблицаx_2[[#This Row],[Месяц окончания]]=Таблицаx_2[[#This Row],[Месяц]],Таблицаx_2[[#This Row],[id]]=A1350,EDATE(Таблицаx_2[[#This Row],[Месяц]],2)=D1350),F1350,0)</f>
        <v>0</v>
      </c>
    </row>
    <row r="1350" spans="1:11" ht="12.75" hidden="1" customHeight="1" x14ac:dyDescent="0.2">
      <c r="A1350" s="8">
        <v>797</v>
      </c>
      <c r="B1350" s="8" t="s">
        <v>47</v>
      </c>
      <c r="C1350" s="8" t="s">
        <v>6</v>
      </c>
      <c r="D1350" s="12">
        <v>45078</v>
      </c>
      <c r="E1350" s="8">
        <v>18540</v>
      </c>
      <c r="F1350" s="10">
        <f>IF(ISTEXT(Таблицаx_2[[#This Row],[Значение]]), 0, Таблицаx_2[[#This Row],[Значение]])</f>
        <v>18540</v>
      </c>
      <c r="G1350" s="12">
        <v>44986</v>
      </c>
      <c r="H1350" s="10" t="str">
        <f>IFERROR(VLOOKUP(Таблицаx_2[[#This Row],[id]],prolongations!A:C,2,)," ")</f>
        <v>март 2023</v>
      </c>
      <c r="I1350" s="10">
        <f>IF(Таблицаx_2[[#This Row],[Месяц окончания]]=Таблицаx_2[[#This Row],[Месяц]],Таблицаx_2[[#This Row],[Значения числа]],0)</f>
        <v>0</v>
      </c>
      <c r="J1350" s="8">
        <f>IF(AND(Таблицаx_2[[#This Row],[Месяц окончания]]=Таблицаx_2[[#This Row],[Месяц]],Таблицаx_2[[#This Row],[id]]=A1351,EDATE(Таблицаx_2[[#This Row],[Месяц]],1)=D1351),F1351,0)</f>
        <v>0</v>
      </c>
      <c r="K1350" s="8">
        <f>IF(AND(Таблицаx_2[[#This Row],[Месяц окончания]]=Таблицаx_2[[#This Row],[Месяц]],Таблицаx_2[[#This Row],[id]]=A1351,EDATE(Таблицаx_2[[#This Row],[Месяц]],2)=D1351),F1351,0)</f>
        <v>0</v>
      </c>
    </row>
    <row r="1351" spans="1:11" ht="12.75" hidden="1" customHeight="1" x14ac:dyDescent="0.2">
      <c r="A1351" s="8">
        <v>797</v>
      </c>
      <c r="B1351" s="8" t="s">
        <v>50</v>
      </c>
      <c r="C1351" s="8" t="s">
        <v>6</v>
      </c>
      <c r="D1351" s="12">
        <v>45200</v>
      </c>
      <c r="E1351" s="8">
        <v>43000</v>
      </c>
      <c r="F1351" s="10">
        <f>IF(ISTEXT(Таблицаx_2[[#This Row],[Значение]]), 0, Таблицаx_2[[#This Row],[Значение]])</f>
        <v>43000</v>
      </c>
      <c r="G1351" s="12">
        <v>44986</v>
      </c>
      <c r="H1351" s="10" t="str">
        <f>IFERROR(VLOOKUP(Таблицаx_2[[#This Row],[id]],prolongations!A:C,2,)," ")</f>
        <v>март 2023</v>
      </c>
      <c r="I1351" s="10">
        <f>IF(Таблицаx_2[[#This Row],[Месяц окончания]]=Таблицаx_2[[#This Row],[Месяц]],Таблицаx_2[[#This Row],[Значения числа]],0)</f>
        <v>0</v>
      </c>
      <c r="J1351" s="8">
        <f>IF(AND(Таблицаx_2[[#This Row],[Месяц окончания]]=Таблицаx_2[[#This Row],[Месяц]],Таблицаx_2[[#This Row],[id]]=A1352,EDATE(Таблицаx_2[[#This Row],[Месяц]],1)=D1352),F1352,0)</f>
        <v>0</v>
      </c>
      <c r="K1351" s="8">
        <f>IF(AND(Таблицаx_2[[#This Row],[Месяц окончания]]=Таблицаx_2[[#This Row],[Месяц]],Таблицаx_2[[#This Row],[id]]=A1352,EDATE(Таблицаx_2[[#This Row],[Месяц]],2)=D1352),F1352,0)</f>
        <v>0</v>
      </c>
    </row>
    <row r="1352" spans="1:11" ht="12.75" hidden="1" customHeight="1" x14ac:dyDescent="0.2">
      <c r="A1352" s="8">
        <v>797</v>
      </c>
      <c r="B1352" s="8" t="s">
        <v>50</v>
      </c>
      <c r="C1352" s="8" t="s">
        <v>6</v>
      </c>
      <c r="D1352" s="12">
        <v>45231</v>
      </c>
      <c r="E1352" s="8">
        <v>43000</v>
      </c>
      <c r="F1352" s="10">
        <f>IF(ISTEXT(Таблицаx_2[[#This Row],[Значение]]), 0, Таблицаx_2[[#This Row],[Значение]])</f>
        <v>43000</v>
      </c>
      <c r="G1352" s="12">
        <v>44986</v>
      </c>
      <c r="H1352" s="10" t="str">
        <f>IFERROR(VLOOKUP(Таблицаx_2[[#This Row],[id]],prolongations!A:C,2,)," ")</f>
        <v>март 2023</v>
      </c>
      <c r="I1352" s="10">
        <f>IF(Таблицаx_2[[#This Row],[Месяц окончания]]=Таблицаx_2[[#This Row],[Месяц]],Таблицаx_2[[#This Row],[Значения числа]],0)</f>
        <v>0</v>
      </c>
      <c r="J1352" s="8">
        <f>IF(AND(Таблицаx_2[[#This Row],[Месяц окончания]]=Таблицаx_2[[#This Row],[Месяц]],Таблицаx_2[[#This Row],[id]]=A1353,EDATE(Таблицаx_2[[#This Row],[Месяц]],1)=D1353),F1353,0)</f>
        <v>0</v>
      </c>
      <c r="K1352" s="8">
        <f>IF(AND(Таблицаx_2[[#This Row],[Месяц окончания]]=Таблицаx_2[[#This Row],[Месяц]],Таблицаx_2[[#This Row],[id]]=A1353,EDATE(Таблицаx_2[[#This Row],[Месяц]],2)=D1353),F1353,0)</f>
        <v>0</v>
      </c>
    </row>
    <row r="1353" spans="1:11" ht="12.75" hidden="1" customHeight="1" x14ac:dyDescent="0.2">
      <c r="A1353" s="8">
        <v>797</v>
      </c>
      <c r="B1353" s="8" t="s">
        <v>50</v>
      </c>
      <c r="C1353" s="8" t="s">
        <v>6</v>
      </c>
      <c r="D1353" s="12">
        <v>45261</v>
      </c>
      <c r="E1353" s="8">
        <v>50000</v>
      </c>
      <c r="F1353" s="10">
        <f>IF(ISTEXT(Таблицаx_2[[#This Row],[Значение]]), 0, Таблицаx_2[[#This Row],[Значение]])</f>
        <v>50000</v>
      </c>
      <c r="G1353" s="12">
        <v>44986</v>
      </c>
      <c r="H1353" s="10" t="str">
        <f>IFERROR(VLOOKUP(Таблицаx_2[[#This Row],[id]],prolongations!A:C,2,)," ")</f>
        <v>март 2023</v>
      </c>
      <c r="I1353" s="10">
        <f>IF(Таблицаx_2[[#This Row],[Месяц окончания]]=Таблицаx_2[[#This Row],[Месяц]],Таблицаx_2[[#This Row],[Значения числа]],0)</f>
        <v>0</v>
      </c>
      <c r="J1353" s="8">
        <f>IF(AND(Таблицаx_2[[#This Row],[Месяц окончания]]=Таблицаx_2[[#This Row],[Месяц]],Таблицаx_2[[#This Row],[id]]=A1354,EDATE(Таблицаx_2[[#This Row],[Месяц]],1)=D1354),F1354,0)</f>
        <v>0</v>
      </c>
      <c r="K1353" s="8">
        <f>IF(AND(Таблицаx_2[[#This Row],[Месяц окончания]]=Таблицаx_2[[#This Row],[Месяц]],Таблицаx_2[[#This Row],[id]]=A1354,EDATE(Таблицаx_2[[#This Row],[Месяц]],2)=D1354),F1354,0)</f>
        <v>0</v>
      </c>
    </row>
    <row r="1354" spans="1:11" ht="12.75" hidden="1" customHeight="1" x14ac:dyDescent="0.2">
      <c r="A1354" s="8">
        <v>797</v>
      </c>
      <c r="B1354" s="8" t="s">
        <v>50</v>
      </c>
      <c r="C1354" s="8" t="s">
        <v>6</v>
      </c>
      <c r="D1354" s="12">
        <v>45292</v>
      </c>
      <c r="E1354" s="8">
        <v>50000</v>
      </c>
      <c r="F1354" s="10">
        <f>IF(ISTEXT(Таблицаx_2[[#This Row],[Значение]]), 0, Таблицаx_2[[#This Row],[Значение]])</f>
        <v>50000</v>
      </c>
      <c r="G1354" s="12">
        <v>44986</v>
      </c>
      <c r="H1354" s="10" t="str">
        <f>IFERROR(VLOOKUP(Таблицаx_2[[#This Row],[id]],prolongations!A:C,2,)," ")</f>
        <v>март 2023</v>
      </c>
      <c r="I1354" s="10">
        <f>IF(Таблицаx_2[[#This Row],[Месяц окончания]]=Таблицаx_2[[#This Row],[Месяц]],Таблицаx_2[[#This Row],[Значения числа]],0)</f>
        <v>0</v>
      </c>
      <c r="J1354" s="8">
        <f>IF(AND(Таблицаx_2[[#This Row],[Месяц окончания]]=Таблицаx_2[[#This Row],[Месяц]],Таблицаx_2[[#This Row],[id]]=A1355,EDATE(Таблицаx_2[[#This Row],[Месяц]],1)=D1355),F1355,0)</f>
        <v>0</v>
      </c>
      <c r="K1354" s="8">
        <f>IF(AND(Таблицаx_2[[#This Row],[Месяц окончания]]=Таблицаx_2[[#This Row],[Месяц]],Таблицаx_2[[#This Row],[id]]=A1355,EDATE(Таблицаx_2[[#This Row],[Месяц]],2)=D1355),F1355,0)</f>
        <v>0</v>
      </c>
    </row>
    <row r="1355" spans="1:11" ht="12.75" hidden="1" customHeight="1" x14ac:dyDescent="0.2">
      <c r="A1355" s="8">
        <v>797</v>
      </c>
      <c r="B1355" s="8" t="s">
        <v>50</v>
      </c>
      <c r="C1355" s="8" t="s">
        <v>6</v>
      </c>
      <c r="D1355" s="12">
        <v>45323</v>
      </c>
      <c r="E1355" s="8">
        <v>50000</v>
      </c>
      <c r="F1355" s="10">
        <f>IF(ISTEXT(Таблицаx_2[[#This Row],[Значение]]), 0, Таблицаx_2[[#This Row],[Значение]])</f>
        <v>50000</v>
      </c>
      <c r="G1355" s="12">
        <v>44986</v>
      </c>
      <c r="H1355" s="10" t="str">
        <f>IFERROR(VLOOKUP(Таблицаx_2[[#This Row],[id]],prolongations!A:C,2,)," ")</f>
        <v>март 2023</v>
      </c>
      <c r="I1355" s="10">
        <f>IF(Таблицаx_2[[#This Row],[Месяц окончания]]=Таблицаx_2[[#This Row],[Месяц]],Таблицаx_2[[#This Row],[Значения числа]],0)</f>
        <v>0</v>
      </c>
      <c r="J1355" s="8">
        <f>IF(AND(Таблицаx_2[[#This Row],[Месяц окончания]]=Таблицаx_2[[#This Row],[Месяц]],Таблицаx_2[[#This Row],[id]]=A1356,EDATE(Таблицаx_2[[#This Row],[Месяц]],1)=D1356),F1356,0)</f>
        <v>0</v>
      </c>
      <c r="K1355" s="8">
        <f>IF(AND(Таблицаx_2[[#This Row],[Месяц окончания]]=Таблицаx_2[[#This Row],[Месяц]],Таблицаx_2[[#This Row],[id]]=A1356,EDATE(Таблицаx_2[[#This Row],[Месяц]],2)=D1356),F1356,0)</f>
        <v>0</v>
      </c>
    </row>
    <row r="1356" spans="1:11" ht="12.75" hidden="1" customHeight="1" x14ac:dyDescent="0.2">
      <c r="A1356" s="8">
        <v>798</v>
      </c>
      <c r="B1356" s="8" t="s">
        <v>50</v>
      </c>
      <c r="C1356" s="8" t="s">
        <v>6</v>
      </c>
      <c r="D1356" s="12">
        <v>45017</v>
      </c>
      <c r="E1356" s="8">
        <v>45000</v>
      </c>
      <c r="F1356" s="10">
        <f>IF(ISTEXT(Таблицаx_2[[#This Row],[Значение]]), 0, Таблицаx_2[[#This Row],[Значение]])</f>
        <v>45000</v>
      </c>
      <c r="G1356" s="12">
        <v>44986</v>
      </c>
      <c r="H1356" s="10" t="str">
        <f>IFERROR(VLOOKUP(Таблицаx_2[[#This Row],[id]],prolongations!A:C,2,)," ")</f>
        <v>март 2023</v>
      </c>
      <c r="I1356" s="10">
        <f>IF(Таблицаx_2[[#This Row],[Месяц окончания]]=Таблицаx_2[[#This Row],[Месяц]],Таблицаx_2[[#This Row],[Значения числа]],0)</f>
        <v>0</v>
      </c>
      <c r="J1356" s="8">
        <f>IF(AND(Таблицаx_2[[#This Row],[Месяц окончания]]=Таблицаx_2[[#This Row],[Месяц]],Таблицаx_2[[#This Row],[id]]=A1357,EDATE(Таблицаx_2[[#This Row],[Месяц]],1)=D1357),F1357,0)</f>
        <v>0</v>
      </c>
      <c r="K1356" s="8">
        <f>IF(AND(Таблицаx_2[[#This Row],[Месяц окончания]]=Таблицаx_2[[#This Row],[Месяц]],Таблицаx_2[[#This Row],[id]]=A1357,EDATE(Таблицаx_2[[#This Row],[Месяц]],2)=D1357),F1357,0)</f>
        <v>0</v>
      </c>
    </row>
    <row r="1357" spans="1:11" ht="12.75" hidden="1" customHeight="1" x14ac:dyDescent="0.2">
      <c r="A1357" s="8">
        <v>798</v>
      </c>
      <c r="B1357" s="8" t="s">
        <v>45</v>
      </c>
      <c r="C1357" s="8" t="s">
        <v>6</v>
      </c>
      <c r="D1357" s="12">
        <v>44958</v>
      </c>
      <c r="E1357" s="8">
        <v>37000</v>
      </c>
      <c r="F1357" s="10">
        <f>IF(ISTEXT(Таблицаx_2[[#This Row],[Значение]]), 0, Таблицаx_2[[#This Row],[Значение]])</f>
        <v>37000</v>
      </c>
      <c r="G1357" s="12">
        <v>44986</v>
      </c>
      <c r="H1357" s="10" t="str">
        <f>IFERROR(VLOOKUP(Таблицаx_2[[#This Row],[id]],prolongations!A:C,2,)," ")</f>
        <v>март 2023</v>
      </c>
      <c r="I1357" s="10">
        <f>IF(Таблицаx_2[[#This Row],[Месяц окончания]]=Таблицаx_2[[#This Row],[Месяц]],Таблицаx_2[[#This Row],[Значения числа]],0)</f>
        <v>0</v>
      </c>
      <c r="J1357" s="8">
        <f>IF(AND(Таблицаx_2[[#This Row],[Месяц окончания]]=Таблицаx_2[[#This Row],[Месяц]],Таблицаx_2[[#This Row],[id]]=A1358,EDATE(Таблицаx_2[[#This Row],[Месяц]],1)=D1358),F1358,0)</f>
        <v>0</v>
      </c>
      <c r="K1357" s="8">
        <f>IF(AND(Таблицаx_2[[#This Row],[Месяц окончания]]=Таблицаx_2[[#This Row],[Месяц]],Таблицаx_2[[#This Row],[id]]=A1358,EDATE(Таблицаx_2[[#This Row],[Месяц]],2)=D1358),F1358,0)</f>
        <v>0</v>
      </c>
    </row>
    <row r="1358" spans="1:11" ht="12.75" hidden="1" customHeight="1" x14ac:dyDescent="0.2">
      <c r="A1358" s="8">
        <v>798</v>
      </c>
      <c r="B1358" s="8" t="s">
        <v>45</v>
      </c>
      <c r="C1358" s="8" t="s">
        <v>6</v>
      </c>
      <c r="D1358" s="12">
        <v>44986</v>
      </c>
      <c r="E1358" s="8">
        <v>37000</v>
      </c>
      <c r="F1358" s="10">
        <f>IF(ISTEXT(Таблицаx_2[[#This Row],[Значение]]), 0, Таблицаx_2[[#This Row],[Значение]])</f>
        <v>37000</v>
      </c>
      <c r="G1358" s="12">
        <v>44986</v>
      </c>
      <c r="H1358" s="10" t="str">
        <f>IFERROR(VLOOKUP(Таблицаx_2[[#This Row],[id]],prolongations!A:C,2,)," ")</f>
        <v>март 2023</v>
      </c>
      <c r="I1358" s="10">
        <f>IF(Таблицаx_2[[#This Row],[Месяц окончания]]=Таблицаx_2[[#This Row],[Месяц]],Таблицаx_2[[#This Row],[Значения числа]],0)</f>
        <v>37000</v>
      </c>
      <c r="J1358" s="8">
        <f>IF(AND(Таблицаx_2[[#This Row],[Месяц окончания]]=Таблицаx_2[[#This Row],[Месяц]],Таблицаx_2[[#This Row],[id]]=A1359,EDATE(Таблицаx_2[[#This Row],[Месяц]],1)=D1359),F1359,0)</f>
        <v>37000</v>
      </c>
      <c r="K1358" s="8">
        <f>IF(AND(Таблицаx_2[[#This Row],[Месяц окончания]]=Таблицаx_2[[#This Row],[Месяц]],Таблицаx_2[[#This Row],[id]]=A1359,EDATE(Таблицаx_2[[#This Row],[Месяц]],2)=D1359),F1359,0)</f>
        <v>0</v>
      </c>
    </row>
    <row r="1359" spans="1:11" ht="12.75" hidden="1" customHeight="1" x14ac:dyDescent="0.2">
      <c r="A1359" s="8">
        <v>798</v>
      </c>
      <c r="B1359" s="8" t="s">
        <v>45</v>
      </c>
      <c r="C1359" s="8" t="s">
        <v>6</v>
      </c>
      <c r="D1359" s="12">
        <v>45017</v>
      </c>
      <c r="E1359" s="8">
        <v>37000</v>
      </c>
      <c r="F1359" s="10">
        <f>IF(ISTEXT(Таблицаx_2[[#This Row],[Значение]]), 0, Таблицаx_2[[#This Row],[Значение]])</f>
        <v>37000</v>
      </c>
      <c r="G1359" s="12">
        <v>44986</v>
      </c>
      <c r="H1359" s="10" t="str">
        <f>IFERROR(VLOOKUP(Таблицаx_2[[#This Row],[id]],prolongations!A:C,2,)," ")</f>
        <v>март 2023</v>
      </c>
      <c r="I1359" s="10">
        <f>IF(Таблицаx_2[[#This Row],[Месяц окончания]]=Таблицаx_2[[#This Row],[Месяц]],Таблицаx_2[[#This Row],[Значения числа]],0)</f>
        <v>0</v>
      </c>
      <c r="J1359" s="8">
        <f>IF(AND(Таблицаx_2[[#This Row],[Месяц окончания]]=Таблицаx_2[[#This Row],[Месяц]],Таблицаx_2[[#This Row],[id]]=A1360,EDATE(Таблицаx_2[[#This Row],[Месяц]],1)=D1360),F1360,0)</f>
        <v>0</v>
      </c>
      <c r="K1359" s="8">
        <f>IF(AND(Таблицаx_2[[#This Row],[Месяц окончания]]=Таблицаx_2[[#This Row],[Месяц]],Таблицаx_2[[#This Row],[id]]=A1360,EDATE(Таблицаx_2[[#This Row],[Месяц]],2)=D1360),F1360,0)</f>
        <v>0</v>
      </c>
    </row>
    <row r="1360" spans="1:11" ht="12.75" hidden="1" customHeight="1" x14ac:dyDescent="0.2">
      <c r="A1360" s="8">
        <v>798</v>
      </c>
      <c r="B1360" s="8" t="s">
        <v>45</v>
      </c>
      <c r="C1360" s="8" t="s">
        <v>6</v>
      </c>
      <c r="D1360" s="12">
        <v>45047</v>
      </c>
      <c r="E1360" s="8">
        <v>37000</v>
      </c>
      <c r="F1360" s="10">
        <f>IF(ISTEXT(Таблицаx_2[[#This Row],[Значение]]), 0, Таблицаx_2[[#This Row],[Значение]])</f>
        <v>37000</v>
      </c>
      <c r="G1360" s="12">
        <v>44986</v>
      </c>
      <c r="H1360" s="10" t="str">
        <f>IFERROR(VLOOKUP(Таблицаx_2[[#This Row],[id]],prolongations!A:C,2,)," ")</f>
        <v>март 2023</v>
      </c>
      <c r="I1360" s="10">
        <f>IF(Таблицаx_2[[#This Row],[Месяц окончания]]=Таблицаx_2[[#This Row],[Месяц]],Таблицаx_2[[#This Row],[Значения числа]],0)</f>
        <v>0</v>
      </c>
      <c r="J1360" s="8">
        <f>IF(AND(Таблицаx_2[[#This Row],[Месяц окончания]]=Таблицаx_2[[#This Row],[Месяц]],Таблицаx_2[[#This Row],[id]]=A1361,EDATE(Таблицаx_2[[#This Row],[Месяц]],1)=D1361),F1361,0)</f>
        <v>0</v>
      </c>
      <c r="K1360" s="8">
        <f>IF(AND(Таблицаx_2[[#This Row],[Месяц окончания]]=Таблицаx_2[[#This Row],[Месяц]],Таблицаx_2[[#This Row],[id]]=A1361,EDATE(Таблицаx_2[[#This Row],[Месяц]],2)=D1361),F1361,0)</f>
        <v>0</v>
      </c>
    </row>
    <row r="1361" spans="1:11" ht="12.75" hidden="1" customHeight="1" x14ac:dyDescent="0.2">
      <c r="A1361" s="8">
        <v>798</v>
      </c>
      <c r="B1361" s="8" t="s">
        <v>45</v>
      </c>
      <c r="C1361" s="8" t="s">
        <v>6</v>
      </c>
      <c r="D1361" s="12">
        <v>45078</v>
      </c>
      <c r="E1361" s="8">
        <v>37000</v>
      </c>
      <c r="F1361" s="10">
        <f>IF(ISTEXT(Таблицаx_2[[#This Row],[Значение]]), 0, Таблицаx_2[[#This Row],[Значение]])</f>
        <v>37000</v>
      </c>
      <c r="G1361" s="12">
        <v>44986</v>
      </c>
      <c r="H1361" s="10" t="str">
        <f>IFERROR(VLOOKUP(Таблицаx_2[[#This Row],[id]],prolongations!A:C,2,)," ")</f>
        <v>март 2023</v>
      </c>
      <c r="I1361" s="10">
        <f>IF(Таблицаx_2[[#This Row],[Месяц окончания]]=Таблицаx_2[[#This Row],[Месяц]],Таблицаx_2[[#This Row],[Значения числа]],0)</f>
        <v>0</v>
      </c>
      <c r="J1361" s="8">
        <f>IF(AND(Таблицаx_2[[#This Row],[Месяц окончания]]=Таблицаx_2[[#This Row],[Месяц]],Таблицаx_2[[#This Row],[id]]=A1362,EDATE(Таблицаx_2[[#This Row],[Месяц]],1)=D1362),F1362,0)</f>
        <v>0</v>
      </c>
      <c r="K1361" s="8">
        <f>IF(AND(Таблицаx_2[[#This Row],[Месяц окончания]]=Таблицаx_2[[#This Row],[Месяц]],Таблицаx_2[[#This Row],[id]]=A1362,EDATE(Таблицаx_2[[#This Row],[Месяц]],2)=D1362),F1362,0)</f>
        <v>0</v>
      </c>
    </row>
    <row r="1362" spans="1:11" ht="12.75" hidden="1" customHeight="1" x14ac:dyDescent="0.2">
      <c r="A1362" s="8">
        <v>798</v>
      </c>
      <c r="B1362" s="8" t="s">
        <v>45</v>
      </c>
      <c r="C1362" s="8" t="s">
        <v>6</v>
      </c>
      <c r="D1362" s="12">
        <v>45108</v>
      </c>
      <c r="E1362" s="8">
        <v>37000</v>
      </c>
      <c r="F1362" s="10">
        <f>IF(ISTEXT(Таблицаx_2[[#This Row],[Значение]]), 0, Таблицаx_2[[#This Row],[Значение]])</f>
        <v>37000</v>
      </c>
      <c r="G1362" s="12">
        <v>44986</v>
      </c>
      <c r="H1362" s="10" t="str">
        <f>IFERROR(VLOOKUP(Таблицаx_2[[#This Row],[id]],prolongations!A:C,2,)," ")</f>
        <v>март 2023</v>
      </c>
      <c r="I1362" s="10">
        <f>IF(Таблицаx_2[[#This Row],[Месяц окончания]]=Таблицаx_2[[#This Row],[Месяц]],Таблицаx_2[[#This Row],[Значения числа]],0)</f>
        <v>0</v>
      </c>
      <c r="J1362" s="8">
        <f>IF(AND(Таблицаx_2[[#This Row],[Месяц окончания]]=Таблицаx_2[[#This Row],[Месяц]],Таблицаx_2[[#This Row],[id]]=A1363,EDATE(Таблицаx_2[[#This Row],[Месяц]],1)=D1363),F1363,0)</f>
        <v>0</v>
      </c>
      <c r="K1362" s="8">
        <f>IF(AND(Таблицаx_2[[#This Row],[Месяц окончания]]=Таблицаx_2[[#This Row],[Месяц]],Таблицаx_2[[#This Row],[id]]=A1363,EDATE(Таблицаx_2[[#This Row],[Месяц]],2)=D1363),F1363,0)</f>
        <v>0</v>
      </c>
    </row>
    <row r="1363" spans="1:11" ht="12.75" hidden="1" customHeight="1" x14ac:dyDescent="0.2">
      <c r="A1363" s="8">
        <v>798</v>
      </c>
      <c r="B1363" s="8" t="s">
        <v>45</v>
      </c>
      <c r="C1363" s="8" t="s">
        <v>6</v>
      </c>
      <c r="D1363" s="12">
        <v>45139</v>
      </c>
      <c r="E1363" s="8">
        <v>37000</v>
      </c>
      <c r="F1363" s="10">
        <f>IF(ISTEXT(Таблицаx_2[[#This Row],[Значение]]), 0, Таблицаx_2[[#This Row],[Значение]])</f>
        <v>37000</v>
      </c>
      <c r="G1363" s="12">
        <v>44986</v>
      </c>
      <c r="H1363" s="10" t="str">
        <f>IFERROR(VLOOKUP(Таблицаx_2[[#This Row],[id]],prolongations!A:C,2,)," ")</f>
        <v>март 2023</v>
      </c>
      <c r="I1363" s="10">
        <f>IF(Таблицаx_2[[#This Row],[Месяц окончания]]=Таблицаx_2[[#This Row],[Месяц]],Таблицаx_2[[#This Row],[Значения числа]],0)</f>
        <v>0</v>
      </c>
      <c r="J1363" s="8">
        <f>IF(AND(Таблицаx_2[[#This Row],[Месяц окончания]]=Таблицаx_2[[#This Row],[Месяц]],Таблицаx_2[[#This Row],[id]]=A1364,EDATE(Таблицаx_2[[#This Row],[Месяц]],1)=D1364),F1364,0)</f>
        <v>0</v>
      </c>
      <c r="K1363" s="8">
        <f>IF(AND(Таблицаx_2[[#This Row],[Месяц окончания]]=Таблицаx_2[[#This Row],[Месяц]],Таблицаx_2[[#This Row],[id]]=A1364,EDATE(Таблицаx_2[[#This Row],[Месяц]],2)=D1364),F1364,0)</f>
        <v>0</v>
      </c>
    </row>
    <row r="1364" spans="1:11" ht="12.75" hidden="1" customHeight="1" x14ac:dyDescent="0.2">
      <c r="A1364" s="8">
        <v>798</v>
      </c>
      <c r="B1364" s="8" t="s">
        <v>45</v>
      </c>
      <c r="C1364" s="8" t="s">
        <v>6</v>
      </c>
      <c r="D1364" s="12">
        <v>45170</v>
      </c>
      <c r="E1364" s="8">
        <v>37000</v>
      </c>
      <c r="F1364" s="10">
        <f>IF(ISTEXT(Таблицаx_2[[#This Row],[Значение]]), 0, Таблицаx_2[[#This Row],[Значение]])</f>
        <v>37000</v>
      </c>
      <c r="G1364" s="12">
        <v>44986</v>
      </c>
      <c r="H1364" s="10" t="str">
        <f>IFERROR(VLOOKUP(Таблицаx_2[[#This Row],[id]],prolongations!A:C,2,)," ")</f>
        <v>март 2023</v>
      </c>
      <c r="I1364" s="10">
        <f>IF(Таблицаx_2[[#This Row],[Месяц окончания]]=Таблицаx_2[[#This Row],[Месяц]],Таблицаx_2[[#This Row],[Значения числа]],0)</f>
        <v>0</v>
      </c>
      <c r="J1364" s="8">
        <f>IF(AND(Таблицаx_2[[#This Row],[Месяц окончания]]=Таблицаx_2[[#This Row],[Месяц]],Таблицаx_2[[#This Row],[id]]=A1365,EDATE(Таблицаx_2[[#This Row],[Месяц]],1)=D1365),F1365,0)</f>
        <v>0</v>
      </c>
      <c r="K1364" s="8">
        <f>IF(AND(Таблицаx_2[[#This Row],[Месяц окончания]]=Таблицаx_2[[#This Row],[Месяц]],Таблицаx_2[[#This Row],[id]]=A1365,EDATE(Таблицаx_2[[#This Row],[Месяц]],2)=D1365),F1365,0)</f>
        <v>0</v>
      </c>
    </row>
    <row r="1365" spans="1:11" ht="12.75" hidden="1" customHeight="1" x14ac:dyDescent="0.2">
      <c r="A1365" s="8">
        <v>798</v>
      </c>
      <c r="B1365" s="8" t="s">
        <v>45</v>
      </c>
      <c r="C1365" s="8" t="s">
        <v>6</v>
      </c>
      <c r="D1365" s="12">
        <v>45200</v>
      </c>
      <c r="E1365" s="8">
        <v>89400</v>
      </c>
      <c r="F1365" s="10">
        <f>IF(ISTEXT(Таблицаx_2[[#This Row],[Значение]]), 0, Таблицаx_2[[#This Row],[Значение]])</f>
        <v>89400</v>
      </c>
      <c r="G1365" s="12">
        <v>44986</v>
      </c>
      <c r="H1365" s="10" t="str">
        <f>IFERROR(VLOOKUP(Таблицаx_2[[#This Row],[id]],prolongations!A:C,2,)," ")</f>
        <v>март 2023</v>
      </c>
      <c r="I1365" s="10">
        <f>IF(Таблицаx_2[[#This Row],[Месяц окончания]]=Таблицаx_2[[#This Row],[Месяц]],Таблицаx_2[[#This Row],[Значения числа]],0)</f>
        <v>0</v>
      </c>
      <c r="J1365" s="8">
        <f>IF(AND(Таблицаx_2[[#This Row],[Месяц окончания]]=Таблицаx_2[[#This Row],[Месяц]],Таблицаx_2[[#This Row],[id]]=A1366,EDATE(Таблицаx_2[[#This Row],[Месяц]],1)=D1366),F1366,0)</f>
        <v>0</v>
      </c>
      <c r="K1365" s="8">
        <f>IF(AND(Таблицаx_2[[#This Row],[Месяц окончания]]=Таблицаx_2[[#This Row],[Месяц]],Таблицаx_2[[#This Row],[id]]=A1366,EDATE(Таблицаx_2[[#This Row],[Месяц]],2)=D1366),F1366,0)</f>
        <v>0</v>
      </c>
    </row>
    <row r="1366" spans="1:11" ht="12.75" hidden="1" customHeight="1" x14ac:dyDescent="0.2">
      <c r="A1366" s="8">
        <v>798</v>
      </c>
      <c r="B1366" s="8" t="s">
        <v>45</v>
      </c>
      <c r="C1366" s="8" t="s">
        <v>6</v>
      </c>
      <c r="D1366" s="12">
        <v>45231</v>
      </c>
      <c r="E1366" s="8">
        <v>89400</v>
      </c>
      <c r="F1366" s="10">
        <f>IF(ISTEXT(Таблицаx_2[[#This Row],[Значение]]), 0, Таблицаx_2[[#This Row],[Значение]])</f>
        <v>89400</v>
      </c>
      <c r="G1366" s="12">
        <v>44986</v>
      </c>
      <c r="H1366" s="10" t="str">
        <f>IFERROR(VLOOKUP(Таблицаx_2[[#This Row],[id]],prolongations!A:C,2,)," ")</f>
        <v>март 2023</v>
      </c>
      <c r="I1366" s="10">
        <f>IF(Таблицаx_2[[#This Row],[Месяц окончания]]=Таблицаx_2[[#This Row],[Месяц]],Таблицаx_2[[#This Row],[Значения числа]],0)</f>
        <v>0</v>
      </c>
      <c r="J1366" s="8">
        <f>IF(AND(Таблицаx_2[[#This Row],[Месяц окончания]]=Таблицаx_2[[#This Row],[Месяц]],Таблицаx_2[[#This Row],[id]]=A1367,EDATE(Таблицаx_2[[#This Row],[Месяц]],1)=D1367),F1367,0)</f>
        <v>0</v>
      </c>
      <c r="K1366" s="8">
        <f>IF(AND(Таблицаx_2[[#This Row],[Месяц окончания]]=Таблицаx_2[[#This Row],[Месяц]],Таблицаx_2[[#This Row],[id]]=A1367,EDATE(Таблицаx_2[[#This Row],[Месяц]],2)=D1367),F1367,0)</f>
        <v>0</v>
      </c>
    </row>
    <row r="1367" spans="1:11" ht="12.75" hidden="1" customHeight="1" x14ac:dyDescent="0.2">
      <c r="A1367" s="8">
        <v>798</v>
      </c>
      <c r="B1367" s="8" t="s">
        <v>45</v>
      </c>
      <c r="C1367" s="8" t="s">
        <v>6</v>
      </c>
      <c r="D1367" s="12">
        <v>45261</v>
      </c>
      <c r="E1367" s="8">
        <v>89400</v>
      </c>
      <c r="F1367" s="10">
        <f>IF(ISTEXT(Таблицаx_2[[#This Row],[Значение]]), 0, Таблицаx_2[[#This Row],[Значение]])</f>
        <v>89400</v>
      </c>
      <c r="G1367" s="12">
        <v>44986</v>
      </c>
      <c r="H1367" s="10" t="str">
        <f>IFERROR(VLOOKUP(Таблицаx_2[[#This Row],[id]],prolongations!A:C,2,)," ")</f>
        <v>март 2023</v>
      </c>
      <c r="I1367" s="10">
        <f>IF(Таблицаx_2[[#This Row],[Месяц окончания]]=Таблицаx_2[[#This Row],[Месяц]],Таблицаx_2[[#This Row],[Значения числа]],0)</f>
        <v>0</v>
      </c>
      <c r="J1367" s="8">
        <f>IF(AND(Таблицаx_2[[#This Row],[Месяц окончания]]=Таблицаx_2[[#This Row],[Месяц]],Таблицаx_2[[#This Row],[id]]=A1368,EDATE(Таблицаx_2[[#This Row],[Месяц]],1)=D1368),F1368,0)</f>
        <v>0</v>
      </c>
      <c r="K1367" s="8">
        <f>IF(AND(Таблицаx_2[[#This Row],[Месяц окончания]]=Таблицаx_2[[#This Row],[Месяц]],Таблицаx_2[[#This Row],[id]]=A1368,EDATE(Таблицаx_2[[#This Row],[Месяц]],2)=D1368),F1368,0)</f>
        <v>0</v>
      </c>
    </row>
    <row r="1368" spans="1:11" ht="12.75" hidden="1" customHeight="1" x14ac:dyDescent="0.2">
      <c r="A1368" s="8">
        <v>798</v>
      </c>
      <c r="B1368" s="8" t="s">
        <v>45</v>
      </c>
      <c r="C1368" s="8" t="s">
        <v>6</v>
      </c>
      <c r="D1368" s="12">
        <v>45292</v>
      </c>
      <c r="E1368" s="8">
        <v>89400</v>
      </c>
      <c r="F1368" s="10">
        <f>IF(ISTEXT(Таблицаx_2[[#This Row],[Значение]]), 0, Таблицаx_2[[#This Row],[Значение]])</f>
        <v>89400</v>
      </c>
      <c r="G1368" s="12">
        <v>44986</v>
      </c>
      <c r="H1368" s="10" t="str">
        <f>IFERROR(VLOOKUP(Таблицаx_2[[#This Row],[id]],prolongations!A:C,2,)," ")</f>
        <v>март 2023</v>
      </c>
      <c r="I1368" s="10">
        <f>IF(Таблицаx_2[[#This Row],[Месяц окончания]]=Таблицаx_2[[#This Row],[Месяц]],Таблицаx_2[[#This Row],[Значения числа]],0)</f>
        <v>0</v>
      </c>
      <c r="J1368" s="8">
        <f>IF(AND(Таблицаx_2[[#This Row],[Месяц окончания]]=Таблицаx_2[[#This Row],[Месяц]],Таблицаx_2[[#This Row],[id]]=A1369,EDATE(Таблицаx_2[[#This Row],[Месяц]],1)=D1369),F1369,0)</f>
        <v>0</v>
      </c>
      <c r="K1368" s="8">
        <f>IF(AND(Таблицаx_2[[#This Row],[Месяц окончания]]=Таблицаx_2[[#This Row],[Месяц]],Таблицаx_2[[#This Row],[id]]=A1369,EDATE(Таблицаx_2[[#This Row],[Месяц]],2)=D1369),F1369,0)</f>
        <v>0</v>
      </c>
    </row>
    <row r="1369" spans="1:11" ht="12.75" hidden="1" customHeight="1" x14ac:dyDescent="0.2">
      <c r="A1369" s="8">
        <v>798</v>
      </c>
      <c r="B1369" s="8" t="s">
        <v>45</v>
      </c>
      <c r="C1369" s="8" t="s">
        <v>6</v>
      </c>
      <c r="D1369" s="12">
        <v>45323</v>
      </c>
      <c r="E1369" s="8">
        <v>89400</v>
      </c>
      <c r="F1369" s="10">
        <f>IF(ISTEXT(Таблицаx_2[[#This Row],[Значение]]), 0, Таблицаx_2[[#This Row],[Значение]])</f>
        <v>89400</v>
      </c>
      <c r="G1369" s="12">
        <v>44986</v>
      </c>
      <c r="H1369" s="10" t="str">
        <f>IFERROR(VLOOKUP(Таблицаx_2[[#This Row],[id]],prolongations!A:C,2,)," ")</f>
        <v>март 2023</v>
      </c>
      <c r="I1369" s="10">
        <f>IF(Таблицаx_2[[#This Row],[Месяц окончания]]=Таблицаx_2[[#This Row],[Месяц]],Таблицаx_2[[#This Row],[Значения числа]],0)</f>
        <v>0</v>
      </c>
      <c r="J1369" s="8">
        <f>IF(AND(Таблицаx_2[[#This Row],[Месяц окончания]]=Таблицаx_2[[#This Row],[Месяц]],Таблицаx_2[[#This Row],[id]]=A1370,EDATE(Таблицаx_2[[#This Row],[Месяц]],1)=D1370),F1370,0)</f>
        <v>0</v>
      </c>
      <c r="K1369" s="8">
        <f>IF(AND(Таблицаx_2[[#This Row],[Месяц окончания]]=Таблицаx_2[[#This Row],[Месяц]],Таблицаx_2[[#This Row],[id]]=A1370,EDATE(Таблицаx_2[[#This Row],[Месяц]],2)=D1370),F1370,0)</f>
        <v>0</v>
      </c>
    </row>
    <row r="1370" spans="1:11" ht="12.75" hidden="1" customHeight="1" x14ac:dyDescent="0.2">
      <c r="A1370" s="8">
        <v>798</v>
      </c>
      <c r="B1370" s="8" t="s">
        <v>47</v>
      </c>
      <c r="C1370" s="8" t="s">
        <v>6</v>
      </c>
      <c r="D1370" s="12">
        <v>44958</v>
      </c>
      <c r="E1370" s="8">
        <v>35830</v>
      </c>
      <c r="F1370" s="10">
        <f>IF(ISTEXT(Таблицаx_2[[#This Row],[Значение]]), 0, Таблицаx_2[[#This Row],[Значение]])</f>
        <v>35830</v>
      </c>
      <c r="G1370" s="12">
        <v>44986</v>
      </c>
      <c r="H1370" s="10" t="str">
        <f>IFERROR(VLOOKUP(Таблицаx_2[[#This Row],[id]],prolongations!A:C,2,)," ")</f>
        <v>март 2023</v>
      </c>
      <c r="I1370" s="10">
        <f>IF(Таблицаx_2[[#This Row],[Месяц окончания]]=Таблицаx_2[[#This Row],[Месяц]],Таблицаx_2[[#This Row],[Значения числа]],0)</f>
        <v>0</v>
      </c>
      <c r="J1370" s="8">
        <f>IF(AND(Таблицаx_2[[#This Row],[Месяц окончания]]=Таблицаx_2[[#This Row],[Месяц]],Таблицаx_2[[#This Row],[id]]=A1371,EDATE(Таблицаx_2[[#This Row],[Месяц]],1)=D1371),F1371,0)</f>
        <v>0</v>
      </c>
      <c r="K1370" s="8">
        <f>IF(AND(Таблицаx_2[[#This Row],[Месяц окончания]]=Таблицаx_2[[#This Row],[Месяц]],Таблицаx_2[[#This Row],[id]]=A1371,EDATE(Таблицаx_2[[#This Row],[Месяц]],2)=D1371),F1371,0)</f>
        <v>0</v>
      </c>
    </row>
    <row r="1371" spans="1:11" ht="12.75" hidden="1" customHeight="1" x14ac:dyDescent="0.2">
      <c r="A1371" s="8">
        <v>798</v>
      </c>
      <c r="B1371" s="8" t="s">
        <v>47</v>
      </c>
      <c r="C1371" s="8" t="s">
        <v>6</v>
      </c>
      <c r="D1371" s="12">
        <v>44986</v>
      </c>
      <c r="E1371" s="8">
        <v>30495</v>
      </c>
      <c r="F1371" s="10">
        <f>IF(ISTEXT(Таблицаx_2[[#This Row],[Значение]]), 0, Таблицаx_2[[#This Row],[Значение]])</f>
        <v>30495</v>
      </c>
      <c r="G1371" s="12">
        <v>44986</v>
      </c>
      <c r="H1371" s="10" t="str">
        <f>IFERROR(VLOOKUP(Таблицаx_2[[#This Row],[id]],prolongations!A:C,2,)," ")</f>
        <v>март 2023</v>
      </c>
      <c r="I1371" s="10">
        <f>IF(Таблицаx_2[[#This Row],[Месяц окончания]]=Таблицаx_2[[#This Row],[Месяц]],Таблицаx_2[[#This Row],[Значения числа]],0)</f>
        <v>30495</v>
      </c>
      <c r="J1371" s="8">
        <f>IF(AND(Таблицаx_2[[#This Row],[Месяц окончания]]=Таблицаx_2[[#This Row],[Месяц]],Таблицаx_2[[#This Row],[id]]=A1372,EDATE(Таблицаx_2[[#This Row],[Месяц]],1)=D1372),F1372,0)</f>
        <v>21280</v>
      </c>
      <c r="K1371" s="8">
        <f>IF(AND(Таблицаx_2[[#This Row],[Месяц окончания]]=Таблицаx_2[[#This Row],[Месяц]],Таблицаx_2[[#This Row],[id]]=A1372,EDATE(Таблицаx_2[[#This Row],[Месяц]],2)=D1372),F1372,0)</f>
        <v>0</v>
      </c>
    </row>
    <row r="1372" spans="1:11" ht="12.75" hidden="1" customHeight="1" x14ac:dyDescent="0.2">
      <c r="A1372" s="8">
        <v>798</v>
      </c>
      <c r="B1372" s="8" t="s">
        <v>47</v>
      </c>
      <c r="C1372" s="8" t="s">
        <v>6</v>
      </c>
      <c r="D1372" s="12">
        <v>45017</v>
      </c>
      <c r="E1372" s="8">
        <v>21280</v>
      </c>
      <c r="F1372" s="10">
        <f>IF(ISTEXT(Таблицаx_2[[#This Row],[Значение]]), 0, Таблицаx_2[[#This Row],[Значение]])</f>
        <v>21280</v>
      </c>
      <c r="G1372" s="12">
        <v>44986</v>
      </c>
      <c r="H1372" s="10" t="str">
        <f>IFERROR(VLOOKUP(Таблицаx_2[[#This Row],[id]],prolongations!A:C,2,)," ")</f>
        <v>март 2023</v>
      </c>
      <c r="I1372" s="10">
        <f>IF(Таблицаx_2[[#This Row],[Месяц окончания]]=Таблицаx_2[[#This Row],[Месяц]],Таблицаx_2[[#This Row],[Значения числа]],0)</f>
        <v>0</v>
      </c>
      <c r="J1372" s="8">
        <f>IF(AND(Таблицаx_2[[#This Row],[Месяц окончания]]=Таблицаx_2[[#This Row],[Месяц]],Таблицаx_2[[#This Row],[id]]=A1373,EDATE(Таблицаx_2[[#This Row],[Месяц]],1)=D1373),F1373,0)</f>
        <v>0</v>
      </c>
      <c r="K1372" s="8">
        <f>IF(AND(Таблицаx_2[[#This Row],[Месяц окончания]]=Таблицаx_2[[#This Row],[Месяц]],Таблицаx_2[[#This Row],[id]]=A1373,EDATE(Таблицаx_2[[#This Row],[Месяц]],2)=D1373),F1373,0)</f>
        <v>0</v>
      </c>
    </row>
    <row r="1373" spans="1:11" ht="12.75" hidden="1" customHeight="1" x14ac:dyDescent="0.2">
      <c r="A1373" s="8">
        <v>798</v>
      </c>
      <c r="B1373" s="8" t="s">
        <v>47</v>
      </c>
      <c r="C1373" s="8" t="s">
        <v>6</v>
      </c>
      <c r="D1373" s="12">
        <v>45047</v>
      </c>
      <c r="E1373" s="8">
        <v>23220</v>
      </c>
      <c r="F1373" s="10">
        <f>IF(ISTEXT(Таблицаx_2[[#This Row],[Значение]]), 0, Таблицаx_2[[#This Row],[Значение]])</f>
        <v>23220</v>
      </c>
      <c r="G1373" s="12">
        <v>44986</v>
      </c>
      <c r="H1373" s="10" t="str">
        <f>IFERROR(VLOOKUP(Таблицаx_2[[#This Row],[id]],prolongations!A:C,2,)," ")</f>
        <v>март 2023</v>
      </c>
      <c r="I1373" s="10">
        <f>IF(Таблицаx_2[[#This Row],[Месяц окончания]]=Таблицаx_2[[#This Row],[Месяц]],Таблицаx_2[[#This Row],[Значения числа]],0)</f>
        <v>0</v>
      </c>
      <c r="J1373" s="8">
        <f>IF(AND(Таблицаx_2[[#This Row],[Месяц окончания]]=Таблицаx_2[[#This Row],[Месяц]],Таблицаx_2[[#This Row],[id]]=A1374,EDATE(Таблицаx_2[[#This Row],[Месяц]],1)=D1374),F1374,0)</f>
        <v>0</v>
      </c>
      <c r="K1373" s="8">
        <f>IF(AND(Таблицаx_2[[#This Row],[Месяц окончания]]=Таблицаx_2[[#This Row],[Месяц]],Таблицаx_2[[#This Row],[id]]=A1374,EDATE(Таблицаx_2[[#This Row],[Месяц]],2)=D1374),F1374,0)</f>
        <v>0</v>
      </c>
    </row>
    <row r="1374" spans="1:11" ht="12.75" hidden="1" customHeight="1" x14ac:dyDescent="0.2">
      <c r="A1374" s="8">
        <v>798</v>
      </c>
      <c r="B1374" s="8" t="s">
        <v>47</v>
      </c>
      <c r="C1374" s="8" t="s">
        <v>6</v>
      </c>
      <c r="D1374" s="12">
        <v>45078</v>
      </c>
      <c r="E1374" s="8">
        <v>39710</v>
      </c>
      <c r="F1374" s="10">
        <f>IF(ISTEXT(Таблицаx_2[[#This Row],[Значение]]), 0, Таблицаx_2[[#This Row],[Значение]])</f>
        <v>39710</v>
      </c>
      <c r="G1374" s="12">
        <v>44986</v>
      </c>
      <c r="H1374" s="10" t="str">
        <f>IFERROR(VLOOKUP(Таблицаx_2[[#This Row],[id]],prolongations!A:C,2,)," ")</f>
        <v>март 2023</v>
      </c>
      <c r="I1374" s="10">
        <f>IF(Таблицаx_2[[#This Row],[Месяц окончания]]=Таблицаx_2[[#This Row],[Месяц]],Таблицаx_2[[#This Row],[Значения числа]],0)</f>
        <v>0</v>
      </c>
      <c r="J1374" s="8">
        <f>IF(AND(Таблицаx_2[[#This Row],[Месяц окончания]]=Таблицаx_2[[#This Row],[Месяц]],Таблицаx_2[[#This Row],[id]]=A1375,EDATE(Таблицаx_2[[#This Row],[Месяц]],1)=D1375),F1375,0)</f>
        <v>0</v>
      </c>
      <c r="K1374" s="8">
        <f>IF(AND(Таблицаx_2[[#This Row],[Месяц окончания]]=Таблицаx_2[[#This Row],[Месяц]],Таблицаx_2[[#This Row],[id]]=A1375,EDATE(Таблицаx_2[[#This Row],[Месяц]],2)=D1375),F1375,0)</f>
        <v>0</v>
      </c>
    </row>
    <row r="1375" spans="1:11" ht="12.75" hidden="1" customHeight="1" x14ac:dyDescent="0.2">
      <c r="A1375" s="8">
        <v>798</v>
      </c>
      <c r="B1375" s="8" t="s">
        <v>47</v>
      </c>
      <c r="C1375" s="8" t="s">
        <v>6</v>
      </c>
      <c r="D1375" s="12">
        <v>45108</v>
      </c>
      <c r="E1375" s="8">
        <v>35345</v>
      </c>
      <c r="F1375" s="10">
        <f>IF(ISTEXT(Таблицаx_2[[#This Row],[Значение]]), 0, Таблицаx_2[[#This Row],[Значение]])</f>
        <v>35345</v>
      </c>
      <c r="G1375" s="12">
        <v>44986</v>
      </c>
      <c r="H1375" s="10" t="str">
        <f>IFERROR(VLOOKUP(Таблицаx_2[[#This Row],[id]],prolongations!A:C,2,)," ")</f>
        <v>март 2023</v>
      </c>
      <c r="I1375" s="10">
        <f>IF(Таблицаx_2[[#This Row],[Месяц окончания]]=Таблицаx_2[[#This Row],[Месяц]],Таблицаx_2[[#This Row],[Значения числа]],0)</f>
        <v>0</v>
      </c>
      <c r="J1375" s="8">
        <f>IF(AND(Таблицаx_2[[#This Row],[Месяц окончания]]=Таблицаx_2[[#This Row],[Месяц]],Таблицаx_2[[#This Row],[id]]=A1376,EDATE(Таблицаx_2[[#This Row],[Месяц]],1)=D1376),F1376,0)</f>
        <v>0</v>
      </c>
      <c r="K1375" s="8">
        <f>IF(AND(Таблицаx_2[[#This Row],[Месяц окончания]]=Таблицаx_2[[#This Row],[Месяц]],Таблицаx_2[[#This Row],[id]]=A1376,EDATE(Таблицаx_2[[#This Row],[Месяц]],2)=D1376),F1376,0)</f>
        <v>0</v>
      </c>
    </row>
    <row r="1376" spans="1:11" ht="12.75" hidden="1" customHeight="1" x14ac:dyDescent="0.2">
      <c r="A1376" s="8">
        <v>798</v>
      </c>
      <c r="B1376" s="8" t="s">
        <v>47</v>
      </c>
      <c r="C1376" s="8" t="s">
        <v>6</v>
      </c>
      <c r="D1376" s="12">
        <v>45139</v>
      </c>
      <c r="E1376" s="8">
        <v>54255</v>
      </c>
      <c r="F1376" s="10">
        <f>IF(ISTEXT(Таблицаx_2[[#This Row],[Значение]]), 0, Таблицаx_2[[#This Row],[Значение]])</f>
        <v>54255</v>
      </c>
      <c r="G1376" s="12">
        <v>44986</v>
      </c>
      <c r="H1376" s="10" t="str">
        <f>IFERROR(VLOOKUP(Таблицаx_2[[#This Row],[id]],prolongations!A:C,2,)," ")</f>
        <v>март 2023</v>
      </c>
      <c r="I1376" s="10">
        <f>IF(Таблицаx_2[[#This Row],[Месяц окончания]]=Таблицаx_2[[#This Row],[Месяц]],Таблицаx_2[[#This Row],[Значения числа]],0)</f>
        <v>0</v>
      </c>
      <c r="J1376" s="8">
        <f>IF(AND(Таблицаx_2[[#This Row],[Месяц окончания]]=Таблицаx_2[[#This Row],[Месяц]],Таблицаx_2[[#This Row],[id]]=A1377,EDATE(Таблицаx_2[[#This Row],[Месяц]],1)=D1377),F1377,0)</f>
        <v>0</v>
      </c>
      <c r="K1376" s="8">
        <f>IF(AND(Таблицаx_2[[#This Row],[Месяц окончания]]=Таблицаx_2[[#This Row],[Месяц]],Таблицаx_2[[#This Row],[id]]=A1377,EDATE(Таблицаx_2[[#This Row],[Месяц]],2)=D1377),F1377,0)</f>
        <v>0</v>
      </c>
    </row>
    <row r="1377" spans="1:11" ht="12.75" hidden="1" customHeight="1" x14ac:dyDescent="0.2">
      <c r="A1377" s="8">
        <v>798</v>
      </c>
      <c r="B1377" s="8" t="s">
        <v>47</v>
      </c>
      <c r="C1377" s="8" t="s">
        <v>6</v>
      </c>
      <c r="D1377" s="12">
        <v>45170</v>
      </c>
      <c r="E1377" s="8">
        <v>75215</v>
      </c>
      <c r="F1377" s="10">
        <f>IF(ISTEXT(Таблицаx_2[[#This Row],[Значение]]), 0, Таблицаx_2[[#This Row],[Значение]])</f>
        <v>75215</v>
      </c>
      <c r="G1377" s="12">
        <v>44986</v>
      </c>
      <c r="H1377" s="10" t="str">
        <f>IFERROR(VLOOKUP(Таблицаx_2[[#This Row],[id]],prolongations!A:C,2,)," ")</f>
        <v>март 2023</v>
      </c>
      <c r="I1377" s="10">
        <f>IF(Таблицаx_2[[#This Row],[Месяц окончания]]=Таблицаx_2[[#This Row],[Месяц]],Таблицаx_2[[#This Row],[Значения числа]],0)</f>
        <v>0</v>
      </c>
      <c r="J1377" s="8">
        <f>IF(AND(Таблицаx_2[[#This Row],[Месяц окончания]]=Таблицаx_2[[#This Row],[Месяц]],Таблицаx_2[[#This Row],[id]]=A1378,EDATE(Таблицаx_2[[#This Row],[Месяц]],1)=D1378),F1378,0)</f>
        <v>0</v>
      </c>
      <c r="K1377" s="8">
        <f>IF(AND(Таблицаx_2[[#This Row],[Месяц окончания]]=Таблицаx_2[[#This Row],[Месяц]],Таблицаx_2[[#This Row],[id]]=A1378,EDATE(Таблицаx_2[[#This Row],[Месяц]],2)=D1378),F1378,0)</f>
        <v>0</v>
      </c>
    </row>
    <row r="1378" spans="1:11" ht="12.75" hidden="1" customHeight="1" x14ac:dyDescent="0.2">
      <c r="A1378" s="8">
        <v>798</v>
      </c>
      <c r="B1378" s="8" t="s">
        <v>47</v>
      </c>
      <c r="C1378" s="8" t="s">
        <v>6</v>
      </c>
      <c r="D1378" s="12">
        <v>45200</v>
      </c>
      <c r="E1378" s="8">
        <v>23600</v>
      </c>
      <c r="F1378" s="10">
        <f>IF(ISTEXT(Таблицаx_2[[#This Row],[Значение]]), 0, Таблицаx_2[[#This Row],[Значение]])</f>
        <v>23600</v>
      </c>
      <c r="G1378" s="12">
        <v>44986</v>
      </c>
      <c r="H1378" s="10" t="str">
        <f>IFERROR(VLOOKUP(Таблицаx_2[[#This Row],[id]],prolongations!A:C,2,)," ")</f>
        <v>март 2023</v>
      </c>
      <c r="I1378" s="10">
        <f>IF(Таблицаx_2[[#This Row],[Месяц окончания]]=Таблицаx_2[[#This Row],[Месяц]],Таблицаx_2[[#This Row],[Значения числа]],0)</f>
        <v>0</v>
      </c>
      <c r="J1378" s="8">
        <f>IF(AND(Таблицаx_2[[#This Row],[Месяц окончания]]=Таблицаx_2[[#This Row],[Месяц]],Таблицаx_2[[#This Row],[id]]=A1379,EDATE(Таблицаx_2[[#This Row],[Месяц]],1)=D1379),F1379,0)</f>
        <v>0</v>
      </c>
      <c r="K1378" s="8">
        <f>IF(AND(Таблицаx_2[[#This Row],[Месяц окончания]]=Таблицаx_2[[#This Row],[Месяц]],Таблицаx_2[[#This Row],[id]]=A1379,EDATE(Таблицаx_2[[#This Row],[Месяц]],2)=D1379),F1379,0)</f>
        <v>0</v>
      </c>
    </row>
    <row r="1379" spans="1:11" ht="12.75" hidden="1" customHeight="1" x14ac:dyDescent="0.2">
      <c r="A1379" s="8">
        <v>798</v>
      </c>
      <c r="B1379" s="8" t="s">
        <v>47</v>
      </c>
      <c r="C1379" s="8" t="s">
        <v>6</v>
      </c>
      <c r="D1379" s="12">
        <v>45231</v>
      </c>
      <c r="E1379" s="8">
        <v>40400</v>
      </c>
      <c r="F1379" s="10">
        <f>IF(ISTEXT(Таблицаx_2[[#This Row],[Значение]]), 0, Таблицаx_2[[#This Row],[Значение]])</f>
        <v>40400</v>
      </c>
      <c r="G1379" s="12">
        <v>44986</v>
      </c>
      <c r="H1379" s="10" t="str">
        <f>IFERROR(VLOOKUP(Таблицаx_2[[#This Row],[id]],prolongations!A:C,2,)," ")</f>
        <v>март 2023</v>
      </c>
      <c r="I1379" s="10">
        <f>IF(Таблицаx_2[[#This Row],[Месяц окончания]]=Таблицаx_2[[#This Row],[Месяц]],Таблицаx_2[[#This Row],[Значения числа]],0)</f>
        <v>0</v>
      </c>
      <c r="J1379" s="8">
        <f>IF(AND(Таблицаx_2[[#This Row],[Месяц окончания]]=Таблицаx_2[[#This Row],[Месяц]],Таблицаx_2[[#This Row],[id]]=A1380,EDATE(Таблицаx_2[[#This Row],[Месяц]],1)=D1380),F1380,0)</f>
        <v>0</v>
      </c>
      <c r="K1379" s="8">
        <f>IF(AND(Таблицаx_2[[#This Row],[Месяц окончания]]=Таблицаx_2[[#This Row],[Месяц]],Таблицаx_2[[#This Row],[id]]=A1380,EDATE(Таблицаx_2[[#This Row],[Месяц]],2)=D1380),F1380,0)</f>
        <v>0</v>
      </c>
    </row>
    <row r="1380" spans="1:11" ht="12.75" hidden="1" customHeight="1" x14ac:dyDescent="0.2">
      <c r="A1380" s="8">
        <v>798</v>
      </c>
      <c r="B1380" s="8" t="s">
        <v>47</v>
      </c>
      <c r="C1380" s="8" t="s">
        <v>6</v>
      </c>
      <c r="D1380" s="12">
        <v>45261</v>
      </c>
      <c r="E1380" s="8">
        <v>38000</v>
      </c>
      <c r="F1380" s="10">
        <f>IF(ISTEXT(Таблицаx_2[[#This Row],[Значение]]), 0, Таблицаx_2[[#This Row],[Значение]])</f>
        <v>38000</v>
      </c>
      <c r="G1380" s="12">
        <v>44986</v>
      </c>
      <c r="H1380" s="10" t="str">
        <f>IFERROR(VLOOKUP(Таблицаx_2[[#This Row],[id]],prolongations!A:C,2,)," ")</f>
        <v>март 2023</v>
      </c>
      <c r="I1380" s="10">
        <f>IF(Таблицаx_2[[#This Row],[Месяц окончания]]=Таблицаx_2[[#This Row],[Месяц]],Таблицаx_2[[#This Row],[Значения числа]],0)</f>
        <v>0</v>
      </c>
      <c r="J1380" s="8">
        <f>IF(AND(Таблицаx_2[[#This Row],[Месяц окончания]]=Таблицаx_2[[#This Row],[Месяц]],Таблицаx_2[[#This Row],[id]]=A1381,EDATE(Таблицаx_2[[#This Row],[Месяц]],1)=D1381),F1381,0)</f>
        <v>0</v>
      </c>
      <c r="K1380" s="8">
        <f>IF(AND(Таблицаx_2[[#This Row],[Месяц окончания]]=Таблицаx_2[[#This Row],[Месяц]],Таблицаx_2[[#This Row],[id]]=A1381,EDATE(Таблицаx_2[[#This Row],[Месяц]],2)=D1381),F1381,0)</f>
        <v>0</v>
      </c>
    </row>
    <row r="1381" spans="1:11" ht="12.75" hidden="1" customHeight="1" x14ac:dyDescent="0.2">
      <c r="A1381" s="8">
        <v>798</v>
      </c>
      <c r="B1381" s="8" t="s">
        <v>47</v>
      </c>
      <c r="C1381" s="8" t="s">
        <v>6</v>
      </c>
      <c r="D1381" s="12">
        <v>45292</v>
      </c>
      <c r="E1381" s="8">
        <v>27200</v>
      </c>
      <c r="F1381" s="10">
        <f>IF(ISTEXT(Таблицаx_2[[#This Row],[Значение]]), 0, Таблицаx_2[[#This Row],[Значение]])</f>
        <v>27200</v>
      </c>
      <c r="G1381" s="12">
        <v>44986</v>
      </c>
      <c r="H1381" s="10" t="str">
        <f>IFERROR(VLOOKUP(Таблицаx_2[[#This Row],[id]],prolongations!A:C,2,)," ")</f>
        <v>март 2023</v>
      </c>
      <c r="I1381" s="10">
        <f>IF(Таблицаx_2[[#This Row],[Месяц окончания]]=Таблицаx_2[[#This Row],[Месяц]],Таблицаx_2[[#This Row],[Значения числа]],0)</f>
        <v>0</v>
      </c>
      <c r="J1381" s="8">
        <f>IF(AND(Таблицаx_2[[#This Row],[Месяц окончания]]=Таблицаx_2[[#This Row],[Месяц]],Таблицаx_2[[#This Row],[id]]=A1382,EDATE(Таблицаx_2[[#This Row],[Месяц]],1)=D1382),F1382,0)</f>
        <v>0</v>
      </c>
      <c r="K1381" s="8">
        <f>IF(AND(Таблицаx_2[[#This Row],[Месяц окончания]]=Таблицаx_2[[#This Row],[Месяц]],Таблицаx_2[[#This Row],[id]]=A1382,EDATE(Таблицаx_2[[#This Row],[Месяц]],2)=D1382),F1382,0)</f>
        <v>0</v>
      </c>
    </row>
    <row r="1382" spans="1:11" ht="12.75" hidden="1" customHeight="1" x14ac:dyDescent="0.2">
      <c r="A1382" s="8">
        <v>798</v>
      </c>
      <c r="B1382" s="8" t="s">
        <v>47</v>
      </c>
      <c r="C1382" s="8" t="s">
        <v>6</v>
      </c>
      <c r="D1382" s="12">
        <v>45323</v>
      </c>
      <c r="E1382" s="8">
        <v>14000</v>
      </c>
      <c r="F1382" s="10">
        <f>IF(ISTEXT(Таблицаx_2[[#This Row],[Значение]]), 0, Таблицаx_2[[#This Row],[Значение]])</f>
        <v>14000</v>
      </c>
      <c r="G1382" s="12">
        <v>44986</v>
      </c>
      <c r="H1382" s="10" t="str">
        <f>IFERROR(VLOOKUP(Таблицаx_2[[#This Row],[id]],prolongations!A:C,2,)," ")</f>
        <v>март 2023</v>
      </c>
      <c r="I1382" s="10">
        <f>IF(Таблицаx_2[[#This Row],[Месяц окончания]]=Таблицаx_2[[#This Row],[Месяц]],Таблицаx_2[[#This Row],[Значения числа]],0)</f>
        <v>0</v>
      </c>
      <c r="J1382" s="8">
        <f>IF(AND(Таблицаx_2[[#This Row],[Месяц окончания]]=Таблицаx_2[[#This Row],[Месяц]],Таблицаx_2[[#This Row],[id]]=A1383,EDATE(Таблицаx_2[[#This Row],[Месяц]],1)=D1383),F1383,0)</f>
        <v>0</v>
      </c>
      <c r="K1382" s="8">
        <f>IF(AND(Таблицаx_2[[#This Row],[Месяц окончания]]=Таблицаx_2[[#This Row],[Месяц]],Таблицаx_2[[#This Row],[id]]=A1383,EDATE(Таблицаx_2[[#This Row],[Месяц]],2)=D1383),F1383,0)</f>
        <v>0</v>
      </c>
    </row>
    <row r="1383" spans="1:11" ht="12.75" hidden="1" customHeight="1" x14ac:dyDescent="0.2">
      <c r="A1383" s="8">
        <v>888</v>
      </c>
      <c r="B1383" s="8" t="s">
        <v>45</v>
      </c>
      <c r="C1383" s="8" t="s">
        <v>6</v>
      </c>
      <c r="D1383" s="12">
        <v>45078</v>
      </c>
      <c r="E1383" s="8">
        <v>18650</v>
      </c>
      <c r="F1383" s="10">
        <f>IF(ISTEXT(Таблицаx_2[[#This Row],[Значение]]), 0, Таблицаx_2[[#This Row],[Значение]])</f>
        <v>18650</v>
      </c>
      <c r="G1383" s="12">
        <v>45170</v>
      </c>
      <c r="H1383" s="10" t="str">
        <f>IFERROR(VLOOKUP(Таблицаx_2[[#This Row],[id]],prolongations!A:C,2,)," ")</f>
        <v>сентябрь 2023</v>
      </c>
      <c r="I1383" s="10">
        <f>IF(Таблицаx_2[[#This Row],[Месяц окончания]]=Таблицаx_2[[#This Row],[Месяц]],Таблицаx_2[[#This Row],[Значения числа]],0)</f>
        <v>0</v>
      </c>
      <c r="J1383" s="8">
        <f>IF(AND(Таблицаx_2[[#This Row],[Месяц окончания]]=Таблицаx_2[[#This Row],[Месяц]],Таблицаx_2[[#This Row],[id]]=A1384,EDATE(Таблицаx_2[[#This Row],[Месяц]],1)=D1384),F1384,0)</f>
        <v>0</v>
      </c>
      <c r="K1383" s="8">
        <f>IF(AND(Таблицаx_2[[#This Row],[Месяц окончания]]=Таблицаx_2[[#This Row],[Месяц]],Таблицаx_2[[#This Row],[id]]=A1384,EDATE(Таблицаx_2[[#This Row],[Месяц]],2)=D1384),F1384,0)</f>
        <v>0</v>
      </c>
    </row>
    <row r="1384" spans="1:11" ht="12.75" hidden="1" customHeight="1" x14ac:dyDescent="0.2">
      <c r="A1384" s="8">
        <v>888</v>
      </c>
      <c r="B1384" s="8" t="s">
        <v>45</v>
      </c>
      <c r="C1384" s="8" t="s">
        <v>6</v>
      </c>
      <c r="D1384" s="12">
        <v>45139</v>
      </c>
      <c r="E1384" s="8">
        <v>170425</v>
      </c>
      <c r="F1384" s="10">
        <f>IF(ISTEXT(Таблицаx_2[[#This Row],[Значение]]), 0, Таблицаx_2[[#This Row],[Значение]])</f>
        <v>170425</v>
      </c>
      <c r="G1384" s="12">
        <v>45170</v>
      </c>
      <c r="H1384" s="10" t="str">
        <f>IFERROR(VLOOKUP(Таблицаx_2[[#This Row],[id]],prolongations!A:C,2,)," ")</f>
        <v>сентябрь 2023</v>
      </c>
      <c r="I1384" s="10">
        <f>IF(Таблицаx_2[[#This Row],[Месяц окончания]]=Таблицаx_2[[#This Row],[Месяц]],Таблицаx_2[[#This Row],[Значения числа]],0)</f>
        <v>0</v>
      </c>
      <c r="J1384" s="8">
        <f>IF(AND(Таблицаx_2[[#This Row],[Месяц окончания]]=Таблицаx_2[[#This Row],[Месяц]],Таблицаx_2[[#This Row],[id]]=A1385,EDATE(Таблицаx_2[[#This Row],[Месяц]],1)=D1385),F1385,0)</f>
        <v>0</v>
      </c>
      <c r="K1384" s="8">
        <f>IF(AND(Таблицаx_2[[#This Row],[Месяц окончания]]=Таблицаx_2[[#This Row],[Месяц]],Таблицаx_2[[#This Row],[id]]=A1385,EDATE(Таблицаx_2[[#This Row],[Месяц]],2)=D1385),F1385,0)</f>
        <v>0</v>
      </c>
    </row>
    <row r="1385" spans="1:11" ht="12.75" hidden="1" customHeight="1" x14ac:dyDescent="0.2">
      <c r="A1385" s="8">
        <v>888</v>
      </c>
      <c r="B1385" s="8" t="s">
        <v>45</v>
      </c>
      <c r="C1385" s="8" t="s">
        <v>6</v>
      </c>
      <c r="D1385" s="12">
        <v>45170</v>
      </c>
      <c r="E1385" s="8">
        <v>114800</v>
      </c>
      <c r="F1385" s="10">
        <f>IF(ISTEXT(Таблицаx_2[[#This Row],[Значение]]), 0, Таблицаx_2[[#This Row],[Значение]])</f>
        <v>114800</v>
      </c>
      <c r="G1385" s="12">
        <v>45170</v>
      </c>
      <c r="H1385" s="10" t="str">
        <f>IFERROR(VLOOKUP(Таблицаx_2[[#This Row],[id]],prolongations!A:C,2,)," ")</f>
        <v>сентябрь 2023</v>
      </c>
      <c r="I1385" s="10">
        <f>IF(Таблицаx_2[[#This Row],[Месяц окончания]]=Таблицаx_2[[#This Row],[Месяц]],Таблицаx_2[[#This Row],[Значения числа]],0)</f>
        <v>114800</v>
      </c>
      <c r="J1385" s="8">
        <f>IF(AND(Таблицаx_2[[#This Row],[Месяц окончания]]=Таблицаx_2[[#This Row],[Месяц]],Таблицаx_2[[#This Row],[id]]=A1386,EDATE(Таблицаx_2[[#This Row],[Месяц]],1)=D1386),F1386,0)</f>
        <v>167400</v>
      </c>
      <c r="K1385" s="8">
        <f>IF(AND(Таблицаx_2[[#This Row],[Месяц окончания]]=Таблицаx_2[[#This Row],[Месяц]],Таблицаx_2[[#This Row],[id]]=A1386,EDATE(Таблицаx_2[[#This Row],[Месяц]],2)=D1386),F1386,0)</f>
        <v>0</v>
      </c>
    </row>
    <row r="1386" spans="1:11" ht="12.75" hidden="1" customHeight="1" x14ac:dyDescent="0.2">
      <c r="A1386" s="8">
        <v>888</v>
      </c>
      <c r="B1386" s="8" t="s">
        <v>45</v>
      </c>
      <c r="C1386" s="8" t="s">
        <v>6</v>
      </c>
      <c r="D1386" s="12">
        <v>45200</v>
      </c>
      <c r="E1386" s="8">
        <v>167400</v>
      </c>
      <c r="F1386" s="10">
        <f>IF(ISTEXT(Таблицаx_2[[#This Row],[Значение]]), 0, Таблицаx_2[[#This Row],[Значение]])</f>
        <v>167400</v>
      </c>
      <c r="G1386" s="12">
        <v>45170</v>
      </c>
      <c r="H1386" s="10" t="str">
        <f>IFERROR(VLOOKUP(Таблицаx_2[[#This Row],[id]],prolongations!A:C,2,)," ")</f>
        <v>сентябрь 2023</v>
      </c>
      <c r="I1386" s="10">
        <f>IF(Таблицаx_2[[#This Row],[Месяц окончания]]=Таблицаx_2[[#This Row],[Месяц]],Таблицаx_2[[#This Row],[Значения числа]],0)</f>
        <v>0</v>
      </c>
      <c r="J1386" s="8">
        <f>IF(AND(Таблицаx_2[[#This Row],[Месяц окончания]]=Таблицаx_2[[#This Row],[Месяц]],Таблицаx_2[[#This Row],[id]]=A1387,EDATE(Таблицаx_2[[#This Row],[Месяц]],1)=D1387),F1387,0)</f>
        <v>0</v>
      </c>
      <c r="K1386" s="8">
        <f>IF(AND(Таблицаx_2[[#This Row],[Месяц окончания]]=Таблицаx_2[[#This Row],[Месяц]],Таблицаx_2[[#This Row],[id]]=A1387,EDATE(Таблицаx_2[[#This Row],[Месяц]],2)=D1387),F1387,0)</f>
        <v>0</v>
      </c>
    </row>
    <row r="1387" spans="1:11" ht="12.75" hidden="1" customHeight="1" x14ac:dyDescent="0.2">
      <c r="A1387" s="8">
        <v>888</v>
      </c>
      <c r="B1387" s="8" t="s">
        <v>45</v>
      </c>
      <c r="C1387" s="8" t="s">
        <v>6</v>
      </c>
      <c r="D1387" s="12">
        <v>45231</v>
      </c>
      <c r="E1387" s="8">
        <v>202150</v>
      </c>
      <c r="F1387" s="10">
        <f>IF(ISTEXT(Таблицаx_2[[#This Row],[Значение]]), 0, Таблицаx_2[[#This Row],[Значение]])</f>
        <v>202150</v>
      </c>
      <c r="G1387" s="12">
        <v>45170</v>
      </c>
      <c r="H1387" s="10" t="str">
        <f>IFERROR(VLOOKUP(Таблицаx_2[[#This Row],[id]],prolongations!A:C,2,)," ")</f>
        <v>сентябрь 2023</v>
      </c>
      <c r="I1387" s="10">
        <f>IF(Таблицаx_2[[#This Row],[Месяц окончания]]=Таблицаx_2[[#This Row],[Месяц]],Таблицаx_2[[#This Row],[Значения числа]],0)</f>
        <v>0</v>
      </c>
      <c r="J1387" s="8">
        <f>IF(AND(Таблицаx_2[[#This Row],[Месяц окончания]]=Таблицаx_2[[#This Row],[Месяц]],Таблицаx_2[[#This Row],[id]]=A1388,EDATE(Таблицаx_2[[#This Row],[Месяц]],1)=D1388),F1388,0)</f>
        <v>0</v>
      </c>
      <c r="K1387" s="8">
        <f>IF(AND(Таблицаx_2[[#This Row],[Месяц окончания]]=Таблицаx_2[[#This Row],[Месяц]],Таблицаx_2[[#This Row],[id]]=A1388,EDATE(Таблицаx_2[[#This Row],[Месяц]],2)=D1388),F1388,0)</f>
        <v>0</v>
      </c>
    </row>
    <row r="1388" spans="1:11" ht="12.75" hidden="1" customHeight="1" x14ac:dyDescent="0.2">
      <c r="A1388" s="8">
        <v>888</v>
      </c>
      <c r="B1388" s="8" t="s">
        <v>45</v>
      </c>
      <c r="C1388" s="8" t="s">
        <v>6</v>
      </c>
      <c r="D1388" s="12">
        <v>45261</v>
      </c>
      <c r="E1388" s="8">
        <v>202150</v>
      </c>
      <c r="F1388" s="10">
        <f>IF(ISTEXT(Таблицаx_2[[#This Row],[Значение]]), 0, Таблицаx_2[[#This Row],[Значение]])</f>
        <v>202150</v>
      </c>
      <c r="G1388" s="12">
        <v>45170</v>
      </c>
      <c r="H1388" s="10" t="str">
        <f>IFERROR(VLOOKUP(Таблицаx_2[[#This Row],[id]],prolongations!A:C,2,)," ")</f>
        <v>сентябрь 2023</v>
      </c>
      <c r="I1388" s="10">
        <f>IF(Таблицаx_2[[#This Row],[Месяц окончания]]=Таблицаx_2[[#This Row],[Месяц]],Таблицаx_2[[#This Row],[Значения числа]],0)</f>
        <v>0</v>
      </c>
      <c r="J1388" s="8">
        <f>IF(AND(Таблицаx_2[[#This Row],[Месяц окончания]]=Таблицаx_2[[#This Row],[Месяц]],Таблицаx_2[[#This Row],[id]]=A1389,EDATE(Таблицаx_2[[#This Row],[Месяц]],1)=D1389),F1389,0)</f>
        <v>0</v>
      </c>
      <c r="K1388" s="8">
        <f>IF(AND(Таблицаx_2[[#This Row],[Месяц окончания]]=Таблицаx_2[[#This Row],[Месяц]],Таблицаx_2[[#This Row],[id]]=A1389,EDATE(Таблицаx_2[[#This Row],[Месяц]],2)=D1389),F1389,0)</f>
        <v>0</v>
      </c>
    </row>
    <row r="1389" spans="1:11" ht="12.75" hidden="1" customHeight="1" x14ac:dyDescent="0.2">
      <c r="A1389" s="8">
        <v>888</v>
      </c>
      <c r="B1389" s="8" t="s">
        <v>45</v>
      </c>
      <c r="C1389" s="8" t="s">
        <v>6</v>
      </c>
      <c r="D1389" s="12">
        <v>45292</v>
      </c>
      <c r="E1389" s="8">
        <v>202150</v>
      </c>
      <c r="F1389" s="10">
        <f>IF(ISTEXT(Таблицаx_2[[#This Row],[Значение]]), 0, Таблицаx_2[[#This Row],[Значение]])</f>
        <v>202150</v>
      </c>
      <c r="G1389" s="12">
        <v>45170</v>
      </c>
      <c r="H1389" s="10" t="str">
        <f>IFERROR(VLOOKUP(Таблицаx_2[[#This Row],[id]],prolongations!A:C,2,)," ")</f>
        <v>сентябрь 2023</v>
      </c>
      <c r="I1389" s="10">
        <f>IF(Таблицаx_2[[#This Row],[Месяц окончания]]=Таблицаx_2[[#This Row],[Месяц]],Таблицаx_2[[#This Row],[Значения числа]],0)</f>
        <v>0</v>
      </c>
      <c r="J1389" s="8">
        <f>IF(AND(Таблицаx_2[[#This Row],[Месяц окончания]]=Таблицаx_2[[#This Row],[Месяц]],Таблицаx_2[[#This Row],[id]]=A1390,EDATE(Таблицаx_2[[#This Row],[Месяц]],1)=D1390),F1390,0)</f>
        <v>0</v>
      </c>
      <c r="K1389" s="8">
        <f>IF(AND(Таблицаx_2[[#This Row],[Месяц окончания]]=Таблицаx_2[[#This Row],[Месяц]],Таблицаx_2[[#This Row],[id]]=A1390,EDATE(Таблицаx_2[[#This Row],[Месяц]],2)=D1390),F1390,0)</f>
        <v>0</v>
      </c>
    </row>
    <row r="1390" spans="1:11" ht="12.75" hidden="1" customHeight="1" x14ac:dyDescent="0.2">
      <c r="A1390" s="8">
        <v>888</v>
      </c>
      <c r="B1390" s="8" t="s">
        <v>45</v>
      </c>
      <c r="C1390" s="8" t="s">
        <v>6</v>
      </c>
      <c r="D1390" s="12">
        <v>45323</v>
      </c>
      <c r="E1390" s="8">
        <v>149500</v>
      </c>
      <c r="F1390" s="10">
        <f>IF(ISTEXT(Таблицаx_2[[#This Row],[Значение]]), 0, Таблицаx_2[[#This Row],[Значение]])</f>
        <v>149500</v>
      </c>
      <c r="G1390" s="12">
        <v>45170</v>
      </c>
      <c r="H1390" s="10" t="str">
        <f>IFERROR(VLOOKUP(Таблицаx_2[[#This Row],[id]],prolongations!A:C,2,)," ")</f>
        <v>сентябрь 2023</v>
      </c>
      <c r="I1390" s="10">
        <f>IF(Таблицаx_2[[#This Row],[Месяц окончания]]=Таблицаx_2[[#This Row],[Месяц]],Таблицаx_2[[#This Row],[Значения числа]],0)</f>
        <v>0</v>
      </c>
      <c r="J1390" s="8">
        <f>IF(AND(Таблицаx_2[[#This Row],[Месяц окончания]]=Таблицаx_2[[#This Row],[Месяц]],Таблицаx_2[[#This Row],[id]]=A1391,EDATE(Таблицаx_2[[#This Row],[Месяц]],1)=D1391),F1391,0)</f>
        <v>0</v>
      </c>
      <c r="K1390" s="8">
        <f>IF(AND(Таблицаx_2[[#This Row],[Месяц окончания]]=Таблицаx_2[[#This Row],[Месяц]],Таблицаx_2[[#This Row],[id]]=A1391,EDATE(Таблицаx_2[[#This Row],[Месяц]],2)=D1391),F1391,0)</f>
        <v>0</v>
      </c>
    </row>
    <row r="1391" spans="1:11" ht="12.75" hidden="1" customHeight="1" x14ac:dyDescent="0.2">
      <c r="A1391" s="8">
        <v>888</v>
      </c>
      <c r="B1391" s="8" t="s">
        <v>47</v>
      </c>
      <c r="C1391" s="8" t="s">
        <v>6</v>
      </c>
      <c r="D1391" s="12">
        <v>45139</v>
      </c>
      <c r="E1391" s="8">
        <v>1890</v>
      </c>
      <c r="F1391" s="10">
        <f>IF(ISTEXT(Таблицаx_2[[#This Row],[Значение]]), 0, Таблицаx_2[[#This Row],[Значение]])</f>
        <v>1890</v>
      </c>
      <c r="G1391" s="12">
        <v>45170</v>
      </c>
      <c r="H1391" s="10" t="str">
        <f>IFERROR(VLOOKUP(Таблицаx_2[[#This Row],[id]],prolongations!A:C,2,)," ")</f>
        <v>сентябрь 2023</v>
      </c>
      <c r="I1391" s="10">
        <f>IF(Таблицаx_2[[#This Row],[Месяц окончания]]=Таблицаx_2[[#This Row],[Месяц]],Таблицаx_2[[#This Row],[Значения числа]],0)</f>
        <v>0</v>
      </c>
      <c r="J1391" s="8">
        <f>IF(AND(Таблицаx_2[[#This Row],[Месяц окончания]]=Таблицаx_2[[#This Row],[Месяц]],Таблицаx_2[[#This Row],[id]]=A1392,EDATE(Таблицаx_2[[#This Row],[Месяц]],1)=D1392),F1392,0)</f>
        <v>0</v>
      </c>
      <c r="K1391" s="8">
        <f>IF(AND(Таблицаx_2[[#This Row],[Месяц окончания]]=Таблицаx_2[[#This Row],[Месяц]],Таблицаx_2[[#This Row],[id]]=A1392,EDATE(Таблицаx_2[[#This Row],[Месяц]],2)=D1392),F1392,0)</f>
        <v>0</v>
      </c>
    </row>
    <row r="1392" spans="1:11" ht="12.75" hidden="1" customHeight="1" x14ac:dyDescent="0.2">
      <c r="A1392" s="8">
        <v>888</v>
      </c>
      <c r="B1392" s="8" t="s">
        <v>47</v>
      </c>
      <c r="C1392" s="8" t="s">
        <v>6</v>
      </c>
      <c r="D1392" s="12">
        <v>45170</v>
      </c>
      <c r="E1392" s="8">
        <v>39690</v>
      </c>
      <c r="F1392" s="10">
        <f>IF(ISTEXT(Таблицаx_2[[#This Row],[Значение]]), 0, Таблицаx_2[[#This Row],[Значение]])</f>
        <v>39690</v>
      </c>
      <c r="G1392" s="12">
        <v>45170</v>
      </c>
      <c r="H1392" s="10" t="str">
        <f>IFERROR(VLOOKUP(Таблицаx_2[[#This Row],[id]],prolongations!A:C,2,)," ")</f>
        <v>сентябрь 2023</v>
      </c>
      <c r="I1392" s="10">
        <f>IF(Таблицаx_2[[#This Row],[Месяц окончания]]=Таблицаx_2[[#This Row],[Месяц]],Таблицаx_2[[#This Row],[Значения числа]],0)</f>
        <v>39690</v>
      </c>
      <c r="J1392" s="8">
        <f>IF(AND(Таблицаx_2[[#This Row],[Месяц окончания]]=Таблицаx_2[[#This Row],[Месяц]],Таблицаx_2[[#This Row],[id]]=A1393,EDATE(Таблицаx_2[[#This Row],[Месяц]],1)=D1393),F1393,0)</f>
        <v>42210</v>
      </c>
      <c r="K1392" s="8">
        <f>IF(AND(Таблицаx_2[[#This Row],[Месяц окончания]]=Таблицаx_2[[#This Row],[Месяц]],Таблицаx_2[[#This Row],[id]]=A1393,EDATE(Таблицаx_2[[#This Row],[Месяц]],2)=D1393),F1393,0)</f>
        <v>0</v>
      </c>
    </row>
    <row r="1393" spans="1:11" ht="12.75" hidden="1" customHeight="1" x14ac:dyDescent="0.2">
      <c r="A1393" s="8">
        <v>888</v>
      </c>
      <c r="B1393" s="8" t="s">
        <v>47</v>
      </c>
      <c r="C1393" s="8" t="s">
        <v>6</v>
      </c>
      <c r="D1393" s="12">
        <v>45200</v>
      </c>
      <c r="E1393" s="8">
        <v>42210</v>
      </c>
      <c r="F1393" s="10">
        <f>IF(ISTEXT(Таблицаx_2[[#This Row],[Значение]]), 0, Таблицаx_2[[#This Row],[Значение]])</f>
        <v>42210</v>
      </c>
      <c r="G1393" s="12">
        <v>45170</v>
      </c>
      <c r="H1393" s="10" t="str">
        <f>IFERROR(VLOOKUP(Таблицаx_2[[#This Row],[id]],prolongations!A:C,2,)," ")</f>
        <v>сентябрь 2023</v>
      </c>
      <c r="I1393" s="10">
        <f>IF(Таблицаx_2[[#This Row],[Месяц окончания]]=Таблицаx_2[[#This Row],[Месяц]],Таблицаx_2[[#This Row],[Значения числа]],0)</f>
        <v>0</v>
      </c>
      <c r="J1393" s="8">
        <f>IF(AND(Таблицаx_2[[#This Row],[Месяц окончания]]=Таблицаx_2[[#This Row],[Месяц]],Таблицаx_2[[#This Row],[id]]=A1394,EDATE(Таблицаx_2[[#This Row],[Месяц]],1)=D1394),F1394,0)</f>
        <v>0</v>
      </c>
      <c r="K1393" s="8">
        <f>IF(AND(Таблицаx_2[[#This Row],[Месяц окончания]]=Таблицаx_2[[#This Row],[Месяц]],Таблицаx_2[[#This Row],[id]]=A1394,EDATE(Таблицаx_2[[#This Row],[Месяц]],2)=D1394),F1394,0)</f>
        <v>0</v>
      </c>
    </row>
    <row r="1394" spans="1:11" ht="12.75" hidden="1" customHeight="1" x14ac:dyDescent="0.2">
      <c r="A1394" s="8">
        <v>888</v>
      </c>
      <c r="B1394" s="8" t="s">
        <v>47</v>
      </c>
      <c r="C1394" s="8" t="s">
        <v>6</v>
      </c>
      <c r="D1394" s="12">
        <v>45231</v>
      </c>
      <c r="E1394" s="8">
        <v>74025</v>
      </c>
      <c r="F1394" s="10">
        <f>IF(ISTEXT(Таблицаx_2[[#This Row],[Значение]]), 0, Таблицаx_2[[#This Row],[Значение]])</f>
        <v>74025</v>
      </c>
      <c r="G1394" s="12">
        <v>45170</v>
      </c>
      <c r="H1394" s="10" t="str">
        <f>IFERROR(VLOOKUP(Таблицаx_2[[#This Row],[id]],prolongations!A:C,2,)," ")</f>
        <v>сентябрь 2023</v>
      </c>
      <c r="I1394" s="10">
        <f>IF(Таблицаx_2[[#This Row],[Месяц окончания]]=Таблицаx_2[[#This Row],[Месяц]],Таблицаx_2[[#This Row],[Значения числа]],0)</f>
        <v>0</v>
      </c>
      <c r="J1394" s="8">
        <f>IF(AND(Таблицаx_2[[#This Row],[Месяц окончания]]=Таблицаx_2[[#This Row],[Месяц]],Таблицаx_2[[#This Row],[id]]=A1395,EDATE(Таблицаx_2[[#This Row],[Месяц]],1)=D1395),F1395,0)</f>
        <v>0</v>
      </c>
      <c r="K1394" s="8">
        <f>IF(AND(Таблицаx_2[[#This Row],[Месяц окончания]]=Таблицаx_2[[#This Row],[Месяц]],Таблицаx_2[[#This Row],[id]]=A1395,EDATE(Таблицаx_2[[#This Row],[Месяц]],2)=D1395),F1395,0)</f>
        <v>0</v>
      </c>
    </row>
    <row r="1395" spans="1:11" ht="12.75" hidden="1" customHeight="1" x14ac:dyDescent="0.2">
      <c r="A1395" s="8">
        <v>888</v>
      </c>
      <c r="B1395" s="8" t="s">
        <v>47</v>
      </c>
      <c r="C1395" s="8" t="s">
        <v>6</v>
      </c>
      <c r="D1395" s="12">
        <v>45261</v>
      </c>
      <c r="E1395" s="8">
        <v>71820</v>
      </c>
      <c r="F1395" s="10">
        <f>IF(ISTEXT(Таблицаx_2[[#This Row],[Значение]]), 0, Таблицаx_2[[#This Row],[Значение]])</f>
        <v>71820</v>
      </c>
      <c r="G1395" s="12">
        <v>45170</v>
      </c>
      <c r="H1395" s="10" t="str">
        <f>IFERROR(VLOOKUP(Таблицаx_2[[#This Row],[id]],prolongations!A:C,2,)," ")</f>
        <v>сентябрь 2023</v>
      </c>
      <c r="I1395" s="10">
        <f>IF(Таблицаx_2[[#This Row],[Месяц окончания]]=Таблицаx_2[[#This Row],[Месяц]],Таблицаx_2[[#This Row],[Значения числа]],0)</f>
        <v>0</v>
      </c>
      <c r="J1395" s="8">
        <f>IF(AND(Таблицаx_2[[#This Row],[Месяц окончания]]=Таблицаx_2[[#This Row],[Месяц]],Таблицаx_2[[#This Row],[id]]=A1396,EDATE(Таблицаx_2[[#This Row],[Месяц]],1)=D1396),F1396,0)</f>
        <v>0</v>
      </c>
      <c r="K1395" s="8">
        <f>IF(AND(Таблицаx_2[[#This Row],[Месяц окончания]]=Таблицаx_2[[#This Row],[Месяц]],Таблицаx_2[[#This Row],[id]]=A1396,EDATE(Таблицаx_2[[#This Row],[Месяц]],2)=D1396),F1396,0)</f>
        <v>0</v>
      </c>
    </row>
    <row r="1396" spans="1:11" ht="12.75" hidden="1" customHeight="1" x14ac:dyDescent="0.2">
      <c r="A1396" s="8">
        <v>888</v>
      </c>
      <c r="B1396" s="8" t="s">
        <v>47</v>
      </c>
      <c r="C1396" s="8" t="s">
        <v>6</v>
      </c>
      <c r="D1396" s="12">
        <v>45292</v>
      </c>
      <c r="E1396" s="8">
        <v>65835</v>
      </c>
      <c r="F1396" s="10">
        <f>IF(ISTEXT(Таблицаx_2[[#This Row],[Значение]]), 0, Таблицаx_2[[#This Row],[Значение]])</f>
        <v>65835</v>
      </c>
      <c r="G1396" s="12">
        <v>45170</v>
      </c>
      <c r="H1396" s="10" t="str">
        <f>IFERROR(VLOOKUP(Таблицаx_2[[#This Row],[id]],prolongations!A:C,2,)," ")</f>
        <v>сентябрь 2023</v>
      </c>
      <c r="I1396" s="10">
        <f>IF(Таблицаx_2[[#This Row],[Месяц окончания]]=Таблицаx_2[[#This Row],[Месяц]],Таблицаx_2[[#This Row],[Значения числа]],0)</f>
        <v>0</v>
      </c>
      <c r="J1396" s="8">
        <f>IF(AND(Таблицаx_2[[#This Row],[Месяц окончания]]=Таблицаx_2[[#This Row],[Месяц]],Таблицаx_2[[#This Row],[id]]=A1397,EDATE(Таблицаx_2[[#This Row],[Месяц]],1)=D1397),F1397,0)</f>
        <v>0</v>
      </c>
      <c r="K1396" s="8">
        <f>IF(AND(Таблицаx_2[[#This Row],[Месяц окончания]]=Таблицаx_2[[#This Row],[Месяц]],Таблицаx_2[[#This Row],[id]]=A1397,EDATE(Таблицаx_2[[#This Row],[Месяц]],2)=D1397),F1397,0)</f>
        <v>0</v>
      </c>
    </row>
    <row r="1397" spans="1:11" ht="12.75" hidden="1" customHeight="1" x14ac:dyDescent="0.2">
      <c r="A1397" s="8">
        <v>888</v>
      </c>
      <c r="B1397" s="8" t="s">
        <v>47</v>
      </c>
      <c r="C1397" s="8" t="s">
        <v>6</v>
      </c>
      <c r="D1397" s="12">
        <v>45323</v>
      </c>
      <c r="E1397" s="8">
        <v>46620</v>
      </c>
      <c r="F1397" s="10">
        <f>IF(ISTEXT(Таблицаx_2[[#This Row],[Значение]]), 0, Таблицаx_2[[#This Row],[Значение]])</f>
        <v>46620</v>
      </c>
      <c r="G1397" s="12">
        <v>45170</v>
      </c>
      <c r="H1397" s="10" t="str">
        <f>IFERROR(VLOOKUP(Таблицаx_2[[#This Row],[id]],prolongations!A:C,2,)," ")</f>
        <v>сентябрь 2023</v>
      </c>
      <c r="I1397" s="10">
        <f>IF(Таблицаx_2[[#This Row],[Месяц окончания]]=Таблицаx_2[[#This Row],[Месяц]],Таблицаx_2[[#This Row],[Значения числа]],0)</f>
        <v>0</v>
      </c>
      <c r="J1397" s="8">
        <f>IF(AND(Таблицаx_2[[#This Row],[Месяц окончания]]=Таблицаx_2[[#This Row],[Месяц]],Таблицаx_2[[#This Row],[id]]=A1398,EDATE(Таблицаx_2[[#This Row],[Месяц]],1)=D1398),F1398,0)</f>
        <v>0</v>
      </c>
      <c r="K1397" s="8">
        <f>IF(AND(Таблицаx_2[[#This Row],[Месяц окончания]]=Таблицаx_2[[#This Row],[Месяц]],Таблицаx_2[[#This Row],[id]]=A1398,EDATE(Таблицаx_2[[#This Row],[Месяц]],2)=D1398),F1398,0)</f>
        <v>0</v>
      </c>
    </row>
    <row r="1398" spans="1:11" ht="12.75" hidden="1" customHeight="1" x14ac:dyDescent="0.2">
      <c r="A1398" s="8">
        <v>998</v>
      </c>
      <c r="B1398" s="8" t="s">
        <v>45</v>
      </c>
      <c r="C1398" s="8" t="s">
        <v>8</v>
      </c>
      <c r="D1398" s="12">
        <v>45231</v>
      </c>
      <c r="E1398" s="8">
        <v>45205</v>
      </c>
      <c r="F1398" s="10">
        <f>IF(ISTEXT(Таблицаx_2[[#This Row],[Значение]]), 0, Таблицаx_2[[#This Row],[Значение]])</f>
        <v>45205</v>
      </c>
      <c r="G1398" s="12">
        <v>45231</v>
      </c>
      <c r="H1398" s="10" t="str">
        <f>IFERROR(VLOOKUP(Таблицаx_2[[#This Row],[id]],prolongations!A:C,2,)," ")</f>
        <v>ноябрь 2023</v>
      </c>
      <c r="I1398" s="10">
        <f>IF(Таблицаx_2[[#This Row],[Месяц окончания]]=Таблицаx_2[[#This Row],[Месяц]],Таблицаx_2[[#This Row],[Значения числа]],0)</f>
        <v>45205</v>
      </c>
      <c r="J1398" s="8">
        <f>IF(AND(Таблицаx_2[[#This Row],[Месяц окончания]]=Таблицаx_2[[#This Row],[Месяц]],Таблицаx_2[[#This Row],[id]]=A1399,EDATE(Таблицаx_2[[#This Row],[Месяц]],1)=D1399),F1399,0)</f>
        <v>0</v>
      </c>
      <c r="K1398" s="8">
        <f>IF(AND(Таблицаx_2[[#This Row],[Месяц окончания]]=Таблицаx_2[[#This Row],[Месяц]],Таблицаx_2[[#This Row],[id]]=A1399,EDATE(Таблицаx_2[[#This Row],[Месяц]],2)=D1399),F1399,0)</f>
        <v>41050</v>
      </c>
    </row>
    <row r="1399" spans="1:11" ht="12.75" hidden="1" customHeight="1" x14ac:dyDescent="0.2">
      <c r="A1399" s="8">
        <v>998</v>
      </c>
      <c r="B1399" s="8" t="s">
        <v>45</v>
      </c>
      <c r="C1399" s="8" t="s">
        <v>8</v>
      </c>
      <c r="D1399" s="12">
        <v>45292</v>
      </c>
      <c r="E1399" s="8">
        <v>41050</v>
      </c>
      <c r="F1399" s="10">
        <f>IF(ISTEXT(Таблицаx_2[[#This Row],[Значение]]), 0, Таблицаx_2[[#This Row],[Значение]])</f>
        <v>41050</v>
      </c>
      <c r="G1399" s="12">
        <v>45231</v>
      </c>
      <c r="H1399" s="10" t="str">
        <f>IFERROR(VLOOKUP(Таблицаx_2[[#This Row],[id]],prolongations!A:C,2,)," ")</f>
        <v>ноябрь 2023</v>
      </c>
      <c r="I1399" s="10">
        <f>IF(Таблицаx_2[[#This Row],[Месяц окончания]]=Таблицаx_2[[#This Row],[Месяц]],Таблицаx_2[[#This Row],[Значения числа]],0)</f>
        <v>0</v>
      </c>
      <c r="J1399" s="8">
        <f>IF(AND(Таблицаx_2[[#This Row],[Месяц окончания]]=Таблицаx_2[[#This Row],[Месяц]],Таблицаx_2[[#This Row],[id]]=A1400,EDATE(Таблицаx_2[[#This Row],[Месяц]],1)=D1400),F1400,0)</f>
        <v>0</v>
      </c>
      <c r="K1399" s="8">
        <f>IF(AND(Таблицаx_2[[#This Row],[Месяц окончания]]=Таблицаx_2[[#This Row],[Месяц]],Таблицаx_2[[#This Row],[id]]=A1400,EDATE(Таблицаx_2[[#This Row],[Месяц]],2)=D1400),F1400,0)</f>
        <v>0</v>
      </c>
    </row>
    <row r="1400" spans="1:11" ht="12.75" hidden="1" customHeight="1" x14ac:dyDescent="0.2">
      <c r="A1400" s="8">
        <v>998</v>
      </c>
      <c r="B1400" s="8" t="s">
        <v>45</v>
      </c>
      <c r="C1400" s="8" t="s">
        <v>8</v>
      </c>
      <c r="D1400" s="12">
        <v>45323</v>
      </c>
      <c r="E1400" s="8">
        <v>46120</v>
      </c>
      <c r="F1400" s="10">
        <f>IF(ISTEXT(Таблицаx_2[[#This Row],[Значение]]), 0, Таблицаx_2[[#This Row],[Значение]])</f>
        <v>46120</v>
      </c>
      <c r="G1400" s="12">
        <v>45231</v>
      </c>
      <c r="H1400" s="10" t="str">
        <f>IFERROR(VLOOKUP(Таблицаx_2[[#This Row],[id]],prolongations!A:C,2,)," ")</f>
        <v>ноябрь 2023</v>
      </c>
      <c r="I1400" s="10">
        <f>IF(Таблицаx_2[[#This Row],[Месяц окончания]]=Таблицаx_2[[#This Row],[Месяц]],Таблицаx_2[[#This Row],[Значения числа]],0)</f>
        <v>0</v>
      </c>
      <c r="J1400" s="8">
        <f>IF(AND(Таблицаx_2[[#This Row],[Месяц окончания]]=Таблицаx_2[[#This Row],[Месяц]],Таблицаx_2[[#This Row],[id]]=A1401,EDATE(Таблицаx_2[[#This Row],[Месяц]],1)=D1401),F1401,0)</f>
        <v>0</v>
      </c>
      <c r="K1400" s="8">
        <f>IF(AND(Таблицаx_2[[#This Row],[Месяц окончания]]=Таблицаx_2[[#This Row],[Месяц]],Таблицаx_2[[#This Row],[id]]=A1401,EDATE(Таблицаx_2[[#This Row],[Месяц]],2)=D1401),F1401,0)</f>
        <v>0</v>
      </c>
    </row>
    <row r="1401" spans="1:11" ht="12.75" hidden="1" customHeight="1" x14ac:dyDescent="0.2">
      <c r="A1401" s="8">
        <v>998</v>
      </c>
      <c r="B1401" s="8" t="s">
        <v>47</v>
      </c>
      <c r="C1401" s="8" t="s">
        <v>8</v>
      </c>
      <c r="D1401" s="12">
        <v>45292</v>
      </c>
      <c r="E1401" s="8" t="s">
        <v>48</v>
      </c>
      <c r="F1401" s="10">
        <f>IF(ISTEXT(Таблицаx_2[[#This Row],[Значение]]), 0, Таблицаx_2[[#This Row],[Значение]])</f>
        <v>0</v>
      </c>
      <c r="G1401" s="12">
        <v>45231</v>
      </c>
      <c r="H1401" s="10" t="str">
        <f>IFERROR(VLOOKUP(Таблицаx_2[[#This Row],[id]],prolongations!A:C,2,)," ")</f>
        <v>ноябрь 2023</v>
      </c>
      <c r="I1401" s="10">
        <f>IF(Таблицаx_2[[#This Row],[Месяц окончания]]=Таблицаx_2[[#This Row],[Месяц]],Таблицаx_2[[#This Row],[Значения числа]],0)</f>
        <v>0</v>
      </c>
      <c r="J1401" s="8">
        <f>IF(AND(Таблицаx_2[[#This Row],[Месяц окончания]]=Таблицаx_2[[#This Row],[Месяц]],Таблицаx_2[[#This Row],[id]]=A1402,EDATE(Таблицаx_2[[#This Row],[Месяц]],1)=D1402),F1402,0)</f>
        <v>0</v>
      </c>
      <c r="K1401" s="8">
        <f>IF(AND(Таблицаx_2[[#This Row],[Месяц окончания]]=Таблицаx_2[[#This Row],[Месяц]],Таблицаx_2[[#This Row],[id]]=A1402,EDATE(Таблицаx_2[[#This Row],[Месяц]],2)=D1402),F1402,0)</f>
        <v>0</v>
      </c>
    </row>
    <row r="1402" spans="1:11" ht="12.75" hidden="1" customHeight="1" x14ac:dyDescent="0.2">
      <c r="A1402" s="8">
        <v>998</v>
      </c>
      <c r="B1402" s="8" t="s">
        <v>47</v>
      </c>
      <c r="C1402" s="8" t="s">
        <v>8</v>
      </c>
      <c r="D1402" s="12">
        <v>45323</v>
      </c>
      <c r="E1402" s="8">
        <v>425</v>
      </c>
      <c r="F1402" s="10">
        <f>IF(ISTEXT(Таблицаx_2[[#This Row],[Значение]]), 0, Таблицаx_2[[#This Row],[Значение]])</f>
        <v>425</v>
      </c>
      <c r="G1402" s="12">
        <v>45231</v>
      </c>
      <c r="H1402" s="10" t="str">
        <f>IFERROR(VLOOKUP(Таблицаx_2[[#This Row],[id]],prolongations!A:C,2,)," ")</f>
        <v>ноябрь 2023</v>
      </c>
      <c r="I1402" s="10">
        <f>IF(Таблицаx_2[[#This Row],[Месяц окончания]]=Таблицаx_2[[#This Row],[Месяц]],Таблицаx_2[[#This Row],[Значения числа]],0)</f>
        <v>0</v>
      </c>
      <c r="J1402" s="8">
        <f>IF(AND(Таблицаx_2[[#This Row],[Месяц окончания]]=Таблицаx_2[[#This Row],[Месяц]],Таблицаx_2[[#This Row],[id]]=A1403,EDATE(Таблицаx_2[[#This Row],[Месяц]],1)=D1403),F1403,0)</f>
        <v>0</v>
      </c>
      <c r="K1402" s="8">
        <f>IF(AND(Таблицаx_2[[#This Row],[Месяц окончания]]=Таблицаx_2[[#This Row],[Месяц]],Таблицаx_2[[#This Row],[id]]=A1403,EDATE(Таблицаx_2[[#This Row],[Месяц]],2)=D1403),F1403,0)</f>
        <v>0</v>
      </c>
    </row>
    <row r="1403" spans="1:11" ht="12.75" customHeight="1" x14ac:dyDescent="0.2">
      <c r="A1403" s="8">
        <v>932</v>
      </c>
      <c r="B1403" s="8" t="s">
        <v>45</v>
      </c>
      <c r="C1403" s="8" t="s">
        <v>10</v>
      </c>
      <c r="D1403" s="12">
        <v>45139</v>
      </c>
      <c r="E1403" s="8">
        <v>55300</v>
      </c>
      <c r="F1403" s="10">
        <f>IF(ISTEXT(Таблицаx_2[[#This Row],[Значение]]), 0, Таблицаx_2[[#This Row],[Значение]])</f>
        <v>55300</v>
      </c>
      <c r="G1403" s="12">
        <v>45200</v>
      </c>
      <c r="H1403" s="10" t="str">
        <f>IFERROR(VLOOKUP(Таблицаx_2[[#This Row],[id]],prolongations!A:C,2,)," ")</f>
        <v>октябрь 2023</v>
      </c>
      <c r="I1403" s="10">
        <f>IF(Таблицаx_2[[#This Row],[Месяц окончания]]=Таблицаx_2[[#This Row],[Месяц]],Таблицаx_2[[#This Row],[Значения числа]],0)</f>
        <v>0</v>
      </c>
      <c r="J1403" s="8">
        <f>IF(AND(Таблицаx_2[[#This Row],[Месяц окончания]]=Таблицаx_2[[#This Row],[Месяц]],Таблицаx_2[[#This Row],[id]]=A1404,EDATE(Таблицаx_2[[#This Row],[Месяц]],1)=D1404),F1404,0)</f>
        <v>0</v>
      </c>
      <c r="K1403" s="8">
        <f>IF(AND(Таблицаx_2[[#This Row],[Месяц окончания]]=Таблицаx_2[[#This Row],[Месяц]],Таблицаx_2[[#This Row],[id]]=A1404,EDATE(Таблицаx_2[[#This Row],[Месяц]],2)=D1404),F1404,0)</f>
        <v>0</v>
      </c>
    </row>
    <row r="1404" spans="1:11" ht="12.75" customHeight="1" x14ac:dyDescent="0.2">
      <c r="A1404" s="8">
        <v>932</v>
      </c>
      <c r="B1404" s="8" t="s">
        <v>45</v>
      </c>
      <c r="C1404" s="8" t="s">
        <v>10</v>
      </c>
      <c r="D1404" s="12">
        <v>45170</v>
      </c>
      <c r="E1404" s="8">
        <v>53400</v>
      </c>
      <c r="F1404" s="10">
        <f>IF(ISTEXT(Таблицаx_2[[#This Row],[Значение]]), 0, Таблицаx_2[[#This Row],[Значение]])</f>
        <v>53400</v>
      </c>
      <c r="G1404" s="12">
        <v>45200</v>
      </c>
      <c r="H1404" s="10" t="str">
        <f>IFERROR(VLOOKUP(Таблицаx_2[[#This Row],[id]],prolongations!A:C,2,)," ")</f>
        <v>октябрь 2023</v>
      </c>
      <c r="I1404" s="10">
        <f>IF(Таблицаx_2[[#This Row],[Месяц окончания]]=Таблицаx_2[[#This Row],[Месяц]],Таблицаx_2[[#This Row],[Значения числа]],0)</f>
        <v>0</v>
      </c>
      <c r="J1404" s="8">
        <f>IF(AND(Таблицаx_2[[#This Row],[Месяц окончания]]=Таблицаx_2[[#This Row],[Месяц]],Таблицаx_2[[#This Row],[id]]=A1405,EDATE(Таблицаx_2[[#This Row],[Месяц]],1)=D1405),F1405,0)</f>
        <v>0</v>
      </c>
      <c r="K1404" s="8">
        <f>IF(AND(Таблицаx_2[[#This Row],[Месяц окончания]]=Таблицаx_2[[#This Row],[Месяц]],Таблицаx_2[[#This Row],[id]]=A1405,EDATE(Таблицаx_2[[#This Row],[Месяц]],2)=D1405),F1405,0)</f>
        <v>0</v>
      </c>
    </row>
    <row r="1405" spans="1:11" ht="12.75" customHeight="1" x14ac:dyDescent="0.2">
      <c r="A1405" s="8">
        <v>932</v>
      </c>
      <c r="B1405" s="8" t="s">
        <v>45</v>
      </c>
      <c r="C1405" s="8" t="s">
        <v>10</v>
      </c>
      <c r="D1405" s="12">
        <v>45200</v>
      </c>
      <c r="E1405" s="8">
        <v>52400</v>
      </c>
      <c r="F1405" s="10">
        <f>IF(ISTEXT(Таблицаx_2[[#This Row],[Значение]]), 0, Таблицаx_2[[#This Row],[Значение]])</f>
        <v>52400</v>
      </c>
      <c r="G1405" s="12">
        <v>45200</v>
      </c>
      <c r="H1405" s="10" t="str">
        <f>IFERROR(VLOOKUP(Таблицаx_2[[#This Row],[id]],prolongations!A:C,2,)," ")</f>
        <v>октябрь 2023</v>
      </c>
      <c r="I1405" s="10">
        <f>IF(Таблицаx_2[[#This Row],[Месяц окончания]]=Таблицаx_2[[#This Row],[Месяц]],Таблицаx_2[[#This Row],[Значения числа]],0)</f>
        <v>52400</v>
      </c>
      <c r="J1405" s="8">
        <f>IF(AND(Таблицаx_2[[#This Row],[Месяц окончания]]=Таблицаx_2[[#This Row],[Месяц]],Таблицаx_2[[#This Row],[id]]=A1406,EDATE(Таблицаx_2[[#This Row],[Месяц]],1)=D1406),F1406,0)</f>
        <v>53800</v>
      </c>
      <c r="K1405" s="8">
        <f>IF(AND(Таблицаx_2[[#This Row],[Месяц окончания]]=Таблицаx_2[[#This Row],[Месяц]],Таблицаx_2[[#This Row],[id]]=A1406,EDATE(Таблицаx_2[[#This Row],[Месяц]],2)=D1406),F1406,0)</f>
        <v>0</v>
      </c>
    </row>
    <row r="1406" spans="1:11" ht="12.75" customHeight="1" x14ac:dyDescent="0.2">
      <c r="A1406" s="8">
        <v>932</v>
      </c>
      <c r="B1406" s="8" t="s">
        <v>45</v>
      </c>
      <c r="C1406" s="8" t="s">
        <v>10</v>
      </c>
      <c r="D1406" s="12">
        <v>45231</v>
      </c>
      <c r="E1406" s="8">
        <v>53800</v>
      </c>
      <c r="F1406" s="10">
        <f>IF(ISTEXT(Таблицаx_2[[#This Row],[Значение]]), 0, Таблицаx_2[[#This Row],[Значение]])</f>
        <v>53800</v>
      </c>
      <c r="G1406" s="12">
        <v>45200</v>
      </c>
      <c r="H1406" s="10" t="str">
        <f>IFERROR(VLOOKUP(Таблицаx_2[[#This Row],[id]],prolongations!A:C,2,)," ")</f>
        <v>октябрь 2023</v>
      </c>
      <c r="I1406" s="10">
        <f>IF(Таблицаx_2[[#This Row],[Месяц окончания]]=Таблицаx_2[[#This Row],[Месяц]],Таблицаx_2[[#This Row],[Значения числа]],0)</f>
        <v>0</v>
      </c>
      <c r="J1406" s="8">
        <f>IF(AND(Таблицаx_2[[#This Row],[Месяц окончания]]=Таблицаx_2[[#This Row],[Месяц]],Таблицаx_2[[#This Row],[id]]=A1407,EDATE(Таблицаx_2[[#This Row],[Месяц]],1)=D1407),F1407,0)</f>
        <v>0</v>
      </c>
      <c r="K1406" s="8">
        <f>IF(AND(Таблицаx_2[[#This Row],[Месяц окончания]]=Таблицаx_2[[#This Row],[Месяц]],Таблицаx_2[[#This Row],[id]]=A1407,EDATE(Таблицаx_2[[#This Row],[Месяц]],2)=D1407),F1407,0)</f>
        <v>0</v>
      </c>
    </row>
    <row r="1407" spans="1:11" ht="12.75" customHeight="1" x14ac:dyDescent="0.2">
      <c r="A1407" s="8">
        <v>932</v>
      </c>
      <c r="B1407" s="8" t="s">
        <v>47</v>
      </c>
      <c r="C1407" s="8" t="s">
        <v>10</v>
      </c>
      <c r="D1407" s="12">
        <v>45200</v>
      </c>
      <c r="E1407" s="8">
        <v>1900</v>
      </c>
      <c r="F1407" s="10">
        <f>IF(ISTEXT(Таблицаx_2[[#This Row],[Значение]]), 0, Таблицаx_2[[#This Row],[Значение]])</f>
        <v>1900</v>
      </c>
      <c r="G1407" s="12">
        <v>45200</v>
      </c>
      <c r="H1407" s="10" t="str">
        <f>IFERROR(VLOOKUP(Таблицаx_2[[#This Row],[id]],prolongations!A:C,2,)," ")</f>
        <v>октябрь 2023</v>
      </c>
      <c r="I1407" s="10">
        <f>IF(Таблицаx_2[[#This Row],[Месяц окончания]]=Таблицаx_2[[#This Row],[Месяц]],Таблицаx_2[[#This Row],[Значения числа]],0)</f>
        <v>1900</v>
      </c>
      <c r="J1407" s="8">
        <f>IF(AND(Таблицаx_2[[#This Row],[Месяц окончания]]=Таблицаx_2[[#This Row],[Месяц]],Таблицаx_2[[#This Row],[id]]=A1408,EDATE(Таблицаx_2[[#This Row],[Месяц]],1)=D1408),F1408,0)</f>
        <v>1000</v>
      </c>
      <c r="K1407" s="8">
        <f>IF(AND(Таблицаx_2[[#This Row],[Месяц окончания]]=Таблицаx_2[[#This Row],[Месяц]],Таблицаx_2[[#This Row],[id]]=A1408,EDATE(Таблицаx_2[[#This Row],[Месяц]],2)=D1408),F1408,0)</f>
        <v>0</v>
      </c>
    </row>
    <row r="1408" spans="1:11" ht="12.75" customHeight="1" x14ac:dyDescent="0.2">
      <c r="A1408" s="8">
        <v>932</v>
      </c>
      <c r="B1408" s="8" t="s">
        <v>47</v>
      </c>
      <c r="C1408" s="8" t="s">
        <v>10</v>
      </c>
      <c r="D1408" s="12">
        <v>45231</v>
      </c>
      <c r="E1408" s="8">
        <v>1000</v>
      </c>
      <c r="F1408" s="10">
        <f>IF(ISTEXT(Таблицаx_2[[#This Row],[Значение]]), 0, Таблицаx_2[[#This Row],[Значение]])</f>
        <v>1000</v>
      </c>
      <c r="G1408" s="12">
        <v>45200</v>
      </c>
      <c r="H1408" s="10" t="str">
        <f>IFERROR(VLOOKUP(Таблицаx_2[[#This Row],[id]],prolongations!A:C,2,)," ")</f>
        <v>октябрь 2023</v>
      </c>
      <c r="I1408" s="10">
        <f>IF(Таблицаx_2[[#This Row],[Месяц окончания]]=Таблицаx_2[[#This Row],[Месяц]],Таблицаx_2[[#This Row],[Значения числа]],0)</f>
        <v>0</v>
      </c>
      <c r="J1408" s="8">
        <f>IF(AND(Таблицаx_2[[#This Row],[Месяц окончания]]=Таблицаx_2[[#This Row],[Месяц]],Таблицаx_2[[#This Row],[id]]=A1409,EDATE(Таблицаx_2[[#This Row],[Месяц]],1)=D1409),F1409,0)</f>
        <v>0</v>
      </c>
      <c r="K1408" s="8">
        <f>IF(AND(Таблицаx_2[[#This Row],[Месяц окончания]]=Таблицаx_2[[#This Row],[Месяц]],Таблицаx_2[[#This Row],[id]]=A1409,EDATE(Таблицаx_2[[#This Row],[Месяц]],2)=D1409),F1409,0)</f>
        <v>0</v>
      </c>
    </row>
    <row r="1409" spans="1:11" ht="12.75" hidden="1" customHeight="1" x14ac:dyDescent="0.2">
      <c r="A1409" s="8">
        <v>369</v>
      </c>
      <c r="B1409" s="8" t="s">
        <v>52</v>
      </c>
      <c r="C1409" s="8" t="s">
        <v>4</v>
      </c>
      <c r="D1409" s="12">
        <v>44866</v>
      </c>
      <c r="E1409" s="8">
        <v>42600</v>
      </c>
      <c r="F1409" s="10">
        <f>IF(ISTEXT(Таблицаx_2[[#This Row],[Значение]]), 0, Таблицаx_2[[#This Row],[Значение]])</f>
        <v>42600</v>
      </c>
      <c r="G1409" s="12">
        <v>44866</v>
      </c>
      <c r="H1409" s="10" t="str">
        <f>IFERROR(VLOOKUP(Таблицаx_2[[#This Row],[id]],prolongations!A:C,2,)," ")</f>
        <v>ноябрь 2022</v>
      </c>
      <c r="I1409" s="10">
        <f>IF(Таблицаx_2[[#This Row],[Месяц окончания]]=Таблицаx_2[[#This Row],[Месяц]],Таблицаx_2[[#This Row],[Значения числа]],0)</f>
        <v>42600</v>
      </c>
      <c r="J1409" s="8">
        <f>IF(AND(Таблицаx_2[[#This Row],[Месяц окончания]]=Таблицаx_2[[#This Row],[Месяц]],Таблицаx_2[[#This Row],[id]]=A1410,EDATE(Таблицаx_2[[#This Row],[Месяц]],1)=D1410),F1410,0)</f>
        <v>7450</v>
      </c>
      <c r="K1409" s="8">
        <f>IF(AND(Таблицаx_2[[#This Row],[Месяц окончания]]=Таблицаx_2[[#This Row],[Месяц]],Таблицаx_2[[#This Row],[id]]=A1410,EDATE(Таблицаx_2[[#This Row],[Месяц]],2)=D1410),F1410,0)</f>
        <v>0</v>
      </c>
    </row>
    <row r="1410" spans="1:11" ht="12.75" hidden="1" customHeight="1" x14ac:dyDescent="0.2">
      <c r="A1410" s="8">
        <v>369</v>
      </c>
      <c r="B1410" s="8" t="s">
        <v>52</v>
      </c>
      <c r="C1410" s="8" t="s">
        <v>4</v>
      </c>
      <c r="D1410" s="12">
        <v>44896</v>
      </c>
      <c r="E1410" s="8">
        <v>7450</v>
      </c>
      <c r="F1410" s="10">
        <f>IF(ISTEXT(Таблицаx_2[[#This Row],[Значение]]), 0, Таблицаx_2[[#This Row],[Значение]])</f>
        <v>7450</v>
      </c>
      <c r="G1410" s="12">
        <v>44866</v>
      </c>
      <c r="H1410" s="10" t="str">
        <f>IFERROR(VLOOKUP(Таблицаx_2[[#This Row],[id]],prolongations!A:C,2,)," ")</f>
        <v>ноябрь 2022</v>
      </c>
      <c r="I1410" s="10">
        <f>IF(Таблицаx_2[[#This Row],[Месяц окончания]]=Таблицаx_2[[#This Row],[Месяц]],Таблицаx_2[[#This Row],[Значения числа]],0)</f>
        <v>0</v>
      </c>
      <c r="J1410" s="8">
        <f>IF(AND(Таблицаx_2[[#This Row],[Месяц окончания]]=Таблицаx_2[[#This Row],[Месяц]],Таблицаx_2[[#This Row],[id]]=A1411,EDATE(Таблицаx_2[[#This Row],[Месяц]],1)=D1411),F1411,0)</f>
        <v>0</v>
      </c>
      <c r="K1410" s="8">
        <f>IF(AND(Таблицаx_2[[#This Row],[Месяц окончания]]=Таблицаx_2[[#This Row],[Месяц]],Таблицаx_2[[#This Row],[id]]=A1411,EDATE(Таблицаx_2[[#This Row],[Месяц]],2)=D1411),F1411,0)</f>
        <v>0</v>
      </c>
    </row>
    <row r="1411" spans="1:11" ht="12.75" hidden="1" customHeight="1" x14ac:dyDescent="0.2">
      <c r="A1411" s="8">
        <v>369</v>
      </c>
      <c r="B1411" s="8" t="s">
        <v>52</v>
      </c>
      <c r="C1411" s="8" t="s">
        <v>4</v>
      </c>
      <c r="D1411" s="12">
        <v>45108</v>
      </c>
      <c r="E1411" s="8">
        <v>120190</v>
      </c>
      <c r="F1411" s="10">
        <f>IF(ISTEXT(Таблицаx_2[[#This Row],[Значение]]), 0, Таблицаx_2[[#This Row],[Значение]])</f>
        <v>120190</v>
      </c>
      <c r="G1411" s="12">
        <v>44866</v>
      </c>
      <c r="H1411" s="10" t="str">
        <f>IFERROR(VLOOKUP(Таблицаx_2[[#This Row],[id]],prolongations!A:C,2,)," ")</f>
        <v>ноябрь 2022</v>
      </c>
      <c r="I1411" s="10">
        <f>IF(Таблицаx_2[[#This Row],[Месяц окончания]]=Таблицаx_2[[#This Row],[Месяц]],Таблицаx_2[[#This Row],[Значения числа]],0)</f>
        <v>0</v>
      </c>
      <c r="J1411" s="8">
        <f>IF(AND(Таблицаx_2[[#This Row],[Месяц окончания]]=Таблицаx_2[[#This Row],[Месяц]],Таблицаx_2[[#This Row],[id]]=A1412,EDATE(Таблицаx_2[[#This Row],[Месяц]],1)=D1412),F1412,0)</f>
        <v>0</v>
      </c>
      <c r="K1411" s="8">
        <f>IF(AND(Таблицаx_2[[#This Row],[Месяц окончания]]=Таблицаx_2[[#This Row],[Месяц]],Таблицаx_2[[#This Row],[id]]=A1412,EDATE(Таблицаx_2[[#This Row],[Месяц]],2)=D1412),F1412,0)</f>
        <v>0</v>
      </c>
    </row>
    <row r="1412" spans="1:11" ht="12.75" hidden="1" customHeight="1" x14ac:dyDescent="0.2">
      <c r="A1412" s="8">
        <v>369</v>
      </c>
      <c r="B1412" s="8" t="s">
        <v>52</v>
      </c>
      <c r="C1412" s="8" t="s">
        <v>4</v>
      </c>
      <c r="D1412" s="12">
        <v>45139</v>
      </c>
      <c r="E1412" s="8">
        <v>9460</v>
      </c>
      <c r="F1412" s="10">
        <f>IF(ISTEXT(Таблицаx_2[[#This Row],[Значение]]), 0, Таблицаx_2[[#This Row],[Значение]])</f>
        <v>9460</v>
      </c>
      <c r="G1412" s="12">
        <v>44866</v>
      </c>
      <c r="H1412" s="10" t="str">
        <f>IFERROR(VLOOKUP(Таблицаx_2[[#This Row],[id]],prolongations!A:C,2,)," ")</f>
        <v>ноябрь 2022</v>
      </c>
      <c r="I1412" s="10">
        <f>IF(Таблицаx_2[[#This Row],[Месяц окончания]]=Таблицаx_2[[#This Row],[Месяц]],Таблицаx_2[[#This Row],[Значения числа]],0)</f>
        <v>0</v>
      </c>
      <c r="J1412" s="8">
        <f>IF(AND(Таблицаx_2[[#This Row],[Месяц окончания]]=Таблицаx_2[[#This Row],[Месяц]],Таблицаx_2[[#This Row],[id]]=A1413,EDATE(Таблицаx_2[[#This Row],[Месяц]],1)=D1413),F1413,0)</f>
        <v>0</v>
      </c>
      <c r="K1412" s="8">
        <f>IF(AND(Таблицаx_2[[#This Row],[Месяц окончания]]=Таблицаx_2[[#This Row],[Месяц]],Таблицаx_2[[#This Row],[id]]=A1413,EDATE(Таблицаx_2[[#This Row],[Месяц]],2)=D1413),F1413,0)</f>
        <v>0</v>
      </c>
    </row>
    <row r="1413" spans="1:11" ht="12.75" hidden="1" customHeight="1" x14ac:dyDescent="0.2">
      <c r="A1413" s="8">
        <v>369</v>
      </c>
      <c r="B1413" s="8" t="s">
        <v>52</v>
      </c>
      <c r="C1413" s="8" t="s">
        <v>4</v>
      </c>
      <c r="D1413" s="12">
        <v>45170</v>
      </c>
      <c r="E1413" s="8">
        <v>14190</v>
      </c>
      <c r="F1413" s="10">
        <f>IF(ISTEXT(Таблицаx_2[[#This Row],[Значение]]), 0, Таблицаx_2[[#This Row],[Значение]])</f>
        <v>14190</v>
      </c>
      <c r="G1413" s="12">
        <v>44866</v>
      </c>
      <c r="H1413" s="10" t="str">
        <f>IFERROR(VLOOKUP(Таблицаx_2[[#This Row],[id]],prolongations!A:C,2,)," ")</f>
        <v>ноябрь 2022</v>
      </c>
      <c r="I1413" s="10">
        <f>IF(Таблицаx_2[[#This Row],[Месяц окончания]]=Таблицаx_2[[#This Row],[Месяц]],Таблицаx_2[[#This Row],[Значения числа]],0)</f>
        <v>0</v>
      </c>
      <c r="J1413" s="8">
        <f>IF(AND(Таблицаx_2[[#This Row],[Месяц окончания]]=Таблицаx_2[[#This Row],[Месяц]],Таблицаx_2[[#This Row],[id]]=A1414,EDATE(Таблицаx_2[[#This Row],[Месяц]],1)=D1414),F1414,0)</f>
        <v>0</v>
      </c>
      <c r="K1413" s="8">
        <f>IF(AND(Таблицаx_2[[#This Row],[Месяц окончания]]=Таблицаx_2[[#This Row],[Месяц]],Таблицаx_2[[#This Row],[id]]=A1414,EDATE(Таблицаx_2[[#This Row],[Месяц]],2)=D1414),F1414,0)</f>
        <v>0</v>
      </c>
    </row>
    <row r="1414" spans="1:11" ht="12.75" hidden="1" customHeight="1" x14ac:dyDescent="0.2">
      <c r="A1414" s="8">
        <v>369</v>
      </c>
      <c r="B1414" s="8" t="s">
        <v>52</v>
      </c>
      <c r="C1414" s="8" t="s">
        <v>4</v>
      </c>
      <c r="D1414" s="12">
        <v>45200</v>
      </c>
      <c r="E1414" s="8">
        <v>124920</v>
      </c>
      <c r="F1414" s="10">
        <f>IF(ISTEXT(Таблицаx_2[[#This Row],[Значение]]), 0, Таблицаx_2[[#This Row],[Значение]])</f>
        <v>124920</v>
      </c>
      <c r="G1414" s="12">
        <v>44866</v>
      </c>
      <c r="H1414" s="10" t="str">
        <f>IFERROR(VLOOKUP(Таблицаx_2[[#This Row],[id]],prolongations!A:C,2,)," ")</f>
        <v>ноябрь 2022</v>
      </c>
      <c r="I1414" s="10">
        <f>IF(Таблицаx_2[[#This Row],[Месяц окончания]]=Таблицаx_2[[#This Row],[Месяц]],Таблицаx_2[[#This Row],[Значения числа]],0)</f>
        <v>0</v>
      </c>
      <c r="J1414" s="8">
        <f>IF(AND(Таблицаx_2[[#This Row],[Месяц окончания]]=Таблицаx_2[[#This Row],[Месяц]],Таблицаx_2[[#This Row],[id]]=A1415,EDATE(Таблицаx_2[[#This Row],[Месяц]],1)=D1415),F1415,0)</f>
        <v>0</v>
      </c>
      <c r="K1414" s="8">
        <f>IF(AND(Таблицаx_2[[#This Row],[Месяц окончания]]=Таблицаx_2[[#This Row],[Месяц]],Таблицаx_2[[#This Row],[id]]=A1415,EDATE(Таблицаx_2[[#This Row],[Месяц]],2)=D1415),F1415,0)</f>
        <v>0</v>
      </c>
    </row>
    <row r="1415" spans="1:11" ht="12.75" hidden="1" customHeight="1" x14ac:dyDescent="0.2">
      <c r="A1415" s="8">
        <v>369</v>
      </c>
      <c r="B1415" s="8" t="s">
        <v>52</v>
      </c>
      <c r="C1415" s="8" t="s">
        <v>4</v>
      </c>
      <c r="D1415" s="12">
        <v>45231</v>
      </c>
      <c r="E1415" s="8" t="s">
        <v>46</v>
      </c>
      <c r="F1415" s="10">
        <f>IF(ISTEXT(Таблицаx_2[[#This Row],[Значение]]), 0, Таблицаx_2[[#This Row],[Значение]])</f>
        <v>0</v>
      </c>
      <c r="G1415" s="12">
        <v>44866</v>
      </c>
      <c r="H1415" s="10" t="str">
        <f>IFERROR(VLOOKUP(Таблицаx_2[[#This Row],[id]],prolongations!A:C,2,)," ")</f>
        <v>ноябрь 2022</v>
      </c>
      <c r="I1415" s="10">
        <f>IF(Таблицаx_2[[#This Row],[Месяц окончания]]=Таблицаx_2[[#This Row],[Месяц]],Таблицаx_2[[#This Row],[Значения числа]],0)</f>
        <v>0</v>
      </c>
      <c r="J1415" s="8">
        <f>IF(AND(Таблицаx_2[[#This Row],[Месяц окончания]]=Таблицаx_2[[#This Row],[Месяц]],Таблицаx_2[[#This Row],[id]]=A1416,EDATE(Таблицаx_2[[#This Row],[Месяц]],1)=D1416),F1416,0)</f>
        <v>0</v>
      </c>
      <c r="K1415" s="8">
        <f>IF(AND(Таблицаx_2[[#This Row],[Месяц окончания]]=Таблицаx_2[[#This Row],[Месяц]],Таблицаx_2[[#This Row],[id]]=A1416,EDATE(Таблицаx_2[[#This Row],[Месяц]],2)=D1416),F1416,0)</f>
        <v>0</v>
      </c>
    </row>
    <row r="1416" spans="1:11" ht="12.75" hidden="1" customHeight="1" x14ac:dyDescent="0.2">
      <c r="A1416" s="8">
        <v>369</v>
      </c>
      <c r="B1416" s="8" t="s">
        <v>50</v>
      </c>
      <c r="C1416" s="8" t="s">
        <v>4</v>
      </c>
      <c r="D1416" s="12">
        <v>45170</v>
      </c>
      <c r="E1416" s="8">
        <v>5000</v>
      </c>
      <c r="F1416" s="10">
        <f>IF(ISTEXT(Таблицаx_2[[#This Row],[Значение]]), 0, Таблицаx_2[[#This Row],[Значение]])</f>
        <v>5000</v>
      </c>
      <c r="G1416" s="12">
        <v>44866</v>
      </c>
      <c r="H1416" s="10" t="str">
        <f>IFERROR(VLOOKUP(Таблицаx_2[[#This Row],[id]],prolongations!A:C,2,)," ")</f>
        <v>ноябрь 2022</v>
      </c>
      <c r="I1416" s="10">
        <f>IF(Таблицаx_2[[#This Row],[Месяц окончания]]=Таблицаx_2[[#This Row],[Месяц]],Таблицаx_2[[#This Row],[Значения числа]],0)</f>
        <v>0</v>
      </c>
      <c r="J1416" s="8">
        <f>IF(AND(Таблицаx_2[[#This Row],[Месяц окончания]]=Таблицаx_2[[#This Row],[Месяц]],Таблицаx_2[[#This Row],[id]]=A1417,EDATE(Таблицаx_2[[#This Row],[Месяц]],1)=D1417),F1417,0)</f>
        <v>0</v>
      </c>
      <c r="K1416" s="8">
        <f>IF(AND(Таблицаx_2[[#This Row],[Месяц окончания]]=Таблицаx_2[[#This Row],[Месяц]],Таблицаx_2[[#This Row],[id]]=A1417,EDATE(Таблицаx_2[[#This Row],[Месяц]],2)=D1417),F1417,0)</f>
        <v>0</v>
      </c>
    </row>
    <row r="1417" spans="1:11" ht="12.75" hidden="1" customHeight="1" x14ac:dyDescent="0.2">
      <c r="A1417" s="8">
        <v>244</v>
      </c>
      <c r="B1417" s="8"/>
      <c r="C1417" s="8" t="s">
        <v>4</v>
      </c>
      <c r="D1417" s="12">
        <v>44866</v>
      </c>
      <c r="E1417" s="8">
        <v>324600</v>
      </c>
      <c r="F1417" s="10">
        <f>IF(ISTEXT(Таблицаx_2[[#This Row],[Значение]]), 0, Таблицаx_2[[#This Row],[Значение]])</f>
        <v>324600</v>
      </c>
      <c r="G1417" s="12">
        <v>44986</v>
      </c>
      <c r="H1417" s="10" t="str">
        <f>IFERROR(VLOOKUP(Таблицаx_2[[#This Row],[id]],prolongations!A:C,2,)," ")</f>
        <v>март 2023</v>
      </c>
      <c r="I1417" s="10">
        <f>IF(Таблицаx_2[[#This Row],[Месяц окончания]]=Таблицаx_2[[#This Row],[Месяц]],Таблицаx_2[[#This Row],[Значения числа]],0)</f>
        <v>0</v>
      </c>
      <c r="J1417" s="8">
        <f>IF(AND(Таблицаx_2[[#This Row],[Месяц окончания]]=Таблицаx_2[[#This Row],[Месяц]],Таблицаx_2[[#This Row],[id]]=A1418,EDATE(Таблицаx_2[[#This Row],[Месяц]],1)=D1418),F1418,0)</f>
        <v>0</v>
      </c>
      <c r="K1417" s="8">
        <f>IF(AND(Таблицаx_2[[#This Row],[Месяц окончания]]=Таблицаx_2[[#This Row],[Месяц]],Таблицаx_2[[#This Row],[id]]=A1418,EDATE(Таблицаx_2[[#This Row],[Месяц]],2)=D1418),F1418,0)</f>
        <v>0</v>
      </c>
    </row>
    <row r="1418" spans="1:11" ht="12.75" hidden="1" customHeight="1" x14ac:dyDescent="0.2">
      <c r="A1418" s="8">
        <v>244</v>
      </c>
      <c r="B1418" s="8"/>
      <c r="C1418" s="8" t="s">
        <v>4</v>
      </c>
      <c r="D1418" s="12">
        <v>44896</v>
      </c>
      <c r="E1418" s="8">
        <v>324600</v>
      </c>
      <c r="F1418" s="10">
        <f>IF(ISTEXT(Таблицаx_2[[#This Row],[Значение]]), 0, Таблицаx_2[[#This Row],[Значение]])</f>
        <v>324600</v>
      </c>
      <c r="G1418" s="12">
        <v>44986</v>
      </c>
      <c r="H1418" s="10" t="str">
        <f>IFERROR(VLOOKUP(Таблицаx_2[[#This Row],[id]],prolongations!A:C,2,)," ")</f>
        <v>март 2023</v>
      </c>
      <c r="I1418" s="10">
        <f>IF(Таблицаx_2[[#This Row],[Месяц окончания]]=Таблицаx_2[[#This Row],[Месяц]],Таблицаx_2[[#This Row],[Значения числа]],0)</f>
        <v>0</v>
      </c>
      <c r="J1418" s="8">
        <f>IF(AND(Таблицаx_2[[#This Row],[Месяц окончания]]=Таблицаx_2[[#This Row],[Месяц]],Таблицаx_2[[#This Row],[id]]=A1419,EDATE(Таблицаx_2[[#This Row],[Месяц]],1)=D1419),F1419,0)</f>
        <v>0</v>
      </c>
      <c r="K1418" s="8">
        <f>IF(AND(Таблицаx_2[[#This Row],[Месяц окончания]]=Таблицаx_2[[#This Row],[Месяц]],Таблицаx_2[[#This Row],[id]]=A1419,EDATE(Таблицаx_2[[#This Row],[Месяц]],2)=D1419),F1419,0)</f>
        <v>0</v>
      </c>
    </row>
    <row r="1419" spans="1:11" ht="12.75" hidden="1" customHeight="1" x14ac:dyDescent="0.2">
      <c r="A1419" s="8">
        <v>244</v>
      </c>
      <c r="B1419" s="8"/>
      <c r="C1419" s="8" t="s">
        <v>4</v>
      </c>
      <c r="D1419" s="12">
        <v>44927</v>
      </c>
      <c r="E1419" s="8">
        <v>324600</v>
      </c>
      <c r="F1419" s="10">
        <f>IF(ISTEXT(Таблицаx_2[[#This Row],[Значение]]), 0, Таблицаx_2[[#This Row],[Значение]])</f>
        <v>324600</v>
      </c>
      <c r="G1419" s="12">
        <v>44986</v>
      </c>
      <c r="H1419" s="10" t="str">
        <f>IFERROR(VLOOKUP(Таблицаx_2[[#This Row],[id]],prolongations!A:C,2,)," ")</f>
        <v>март 2023</v>
      </c>
      <c r="I1419" s="10">
        <f>IF(Таблицаx_2[[#This Row],[Месяц окончания]]=Таблицаx_2[[#This Row],[Месяц]],Таблицаx_2[[#This Row],[Значения числа]],0)</f>
        <v>0</v>
      </c>
      <c r="J1419" s="8">
        <f>IF(AND(Таблицаx_2[[#This Row],[Месяц окончания]]=Таблицаx_2[[#This Row],[Месяц]],Таблицаx_2[[#This Row],[id]]=A1420,EDATE(Таблицаx_2[[#This Row],[Месяц]],1)=D1420),F1420,0)</f>
        <v>0</v>
      </c>
      <c r="K1419" s="8">
        <f>IF(AND(Таблицаx_2[[#This Row],[Месяц окончания]]=Таблицаx_2[[#This Row],[Месяц]],Таблицаx_2[[#This Row],[id]]=A1420,EDATE(Таблицаx_2[[#This Row],[Месяц]],2)=D1420),F1420,0)</f>
        <v>0</v>
      </c>
    </row>
    <row r="1420" spans="1:11" ht="12.75" hidden="1" customHeight="1" x14ac:dyDescent="0.2">
      <c r="A1420" s="8">
        <v>244</v>
      </c>
      <c r="B1420" s="8"/>
      <c r="C1420" s="8" t="s">
        <v>4</v>
      </c>
      <c r="D1420" s="12">
        <v>44958</v>
      </c>
      <c r="E1420" s="8">
        <v>324600</v>
      </c>
      <c r="F1420" s="10">
        <f>IF(ISTEXT(Таблицаx_2[[#This Row],[Значение]]), 0, Таблицаx_2[[#This Row],[Значение]])</f>
        <v>324600</v>
      </c>
      <c r="G1420" s="12">
        <v>44986</v>
      </c>
      <c r="H1420" s="10" t="str">
        <f>IFERROR(VLOOKUP(Таблицаx_2[[#This Row],[id]],prolongations!A:C,2,)," ")</f>
        <v>март 2023</v>
      </c>
      <c r="I1420" s="10">
        <f>IF(Таблицаx_2[[#This Row],[Месяц окончания]]=Таблицаx_2[[#This Row],[Месяц]],Таблицаx_2[[#This Row],[Значения числа]],0)</f>
        <v>0</v>
      </c>
      <c r="J1420" s="8">
        <f>IF(AND(Таблицаx_2[[#This Row],[Месяц окончания]]=Таблицаx_2[[#This Row],[Месяц]],Таблицаx_2[[#This Row],[id]]=A1421,EDATE(Таблицаx_2[[#This Row],[Месяц]],1)=D1421),F1421,0)</f>
        <v>0</v>
      </c>
      <c r="K1420" s="8">
        <f>IF(AND(Таблицаx_2[[#This Row],[Месяц окончания]]=Таблицаx_2[[#This Row],[Месяц]],Таблицаx_2[[#This Row],[id]]=A1421,EDATE(Таблицаx_2[[#This Row],[Месяц]],2)=D1421),F1421,0)</f>
        <v>0</v>
      </c>
    </row>
    <row r="1421" spans="1:11" ht="12.75" hidden="1" customHeight="1" x14ac:dyDescent="0.2">
      <c r="A1421" s="8">
        <v>244</v>
      </c>
      <c r="B1421" s="8"/>
      <c r="C1421" s="8" t="s">
        <v>4</v>
      </c>
      <c r="D1421" s="12">
        <v>44986</v>
      </c>
      <c r="E1421" s="8">
        <v>324600</v>
      </c>
      <c r="F1421" s="10">
        <f>IF(ISTEXT(Таблицаx_2[[#This Row],[Значение]]), 0, Таблицаx_2[[#This Row],[Значение]])</f>
        <v>324600</v>
      </c>
      <c r="G1421" s="12">
        <v>44986</v>
      </c>
      <c r="H1421" s="10" t="str">
        <f>IFERROR(VLOOKUP(Таблицаx_2[[#This Row],[id]],prolongations!A:C,2,)," ")</f>
        <v>март 2023</v>
      </c>
      <c r="I1421" s="10">
        <f>IF(Таблицаx_2[[#This Row],[Месяц окончания]]=Таблицаx_2[[#This Row],[Месяц]],Таблицаx_2[[#This Row],[Значения числа]],0)</f>
        <v>324600</v>
      </c>
      <c r="J1421" s="8">
        <f>IF(AND(Таблицаx_2[[#This Row],[Месяц окончания]]=Таблицаx_2[[#This Row],[Месяц]],Таблицаx_2[[#This Row],[id]]=A1422,EDATE(Таблицаx_2[[#This Row],[Месяц]],1)=D1422),F1422,0)</f>
        <v>324600</v>
      </c>
      <c r="K1421" s="8">
        <f>IF(AND(Таблицаx_2[[#This Row],[Месяц окончания]]=Таблицаx_2[[#This Row],[Месяц]],Таблицаx_2[[#This Row],[id]]=A1422,EDATE(Таблицаx_2[[#This Row],[Месяц]],2)=D1422),F1422,0)</f>
        <v>0</v>
      </c>
    </row>
    <row r="1422" spans="1:11" ht="12.75" hidden="1" customHeight="1" x14ac:dyDescent="0.2">
      <c r="A1422" s="8">
        <v>244</v>
      </c>
      <c r="B1422" s="8"/>
      <c r="C1422" s="8" t="s">
        <v>4</v>
      </c>
      <c r="D1422" s="12">
        <v>45017</v>
      </c>
      <c r="E1422" s="8">
        <v>324600</v>
      </c>
      <c r="F1422" s="10">
        <f>IF(ISTEXT(Таблицаx_2[[#This Row],[Значение]]), 0, Таблицаx_2[[#This Row],[Значение]])</f>
        <v>324600</v>
      </c>
      <c r="G1422" s="12">
        <v>44986</v>
      </c>
      <c r="H1422" s="10" t="str">
        <f>IFERROR(VLOOKUP(Таблицаx_2[[#This Row],[id]],prolongations!A:C,2,)," ")</f>
        <v>март 2023</v>
      </c>
      <c r="I1422" s="10">
        <f>IF(Таблицаx_2[[#This Row],[Месяц окончания]]=Таблицаx_2[[#This Row],[Месяц]],Таблицаx_2[[#This Row],[Значения числа]],0)</f>
        <v>0</v>
      </c>
      <c r="J1422" s="8">
        <f>IF(AND(Таблицаx_2[[#This Row],[Месяц окончания]]=Таблицаx_2[[#This Row],[Месяц]],Таблицаx_2[[#This Row],[id]]=A1423,EDATE(Таблицаx_2[[#This Row],[Месяц]],1)=D1423),F1423,0)</f>
        <v>0</v>
      </c>
      <c r="K1422" s="8">
        <f>IF(AND(Таблицаx_2[[#This Row],[Месяц окончания]]=Таблицаx_2[[#This Row],[Месяц]],Таблицаx_2[[#This Row],[id]]=A1423,EDATE(Таблицаx_2[[#This Row],[Месяц]],2)=D1423),F1423,0)</f>
        <v>0</v>
      </c>
    </row>
    <row r="1423" spans="1:11" ht="12.75" hidden="1" customHeight="1" x14ac:dyDescent="0.2">
      <c r="A1423" s="8">
        <v>244</v>
      </c>
      <c r="B1423" s="8"/>
      <c r="C1423" s="8" t="s">
        <v>4</v>
      </c>
      <c r="D1423" s="12">
        <v>45047</v>
      </c>
      <c r="E1423" s="8">
        <v>328020</v>
      </c>
      <c r="F1423" s="10">
        <f>IF(ISTEXT(Таблицаx_2[[#This Row],[Значение]]), 0, Таблицаx_2[[#This Row],[Значение]])</f>
        <v>328020</v>
      </c>
      <c r="G1423" s="12">
        <v>44986</v>
      </c>
      <c r="H1423" s="10" t="str">
        <f>IFERROR(VLOOKUP(Таблицаx_2[[#This Row],[id]],prolongations!A:C,2,)," ")</f>
        <v>март 2023</v>
      </c>
      <c r="I1423" s="10">
        <f>IF(Таблицаx_2[[#This Row],[Месяц окончания]]=Таблицаx_2[[#This Row],[Месяц]],Таблицаx_2[[#This Row],[Значения числа]],0)</f>
        <v>0</v>
      </c>
      <c r="J1423" s="8">
        <f>IF(AND(Таблицаx_2[[#This Row],[Месяц окончания]]=Таблицаx_2[[#This Row],[Месяц]],Таблицаx_2[[#This Row],[id]]=A1424,EDATE(Таблицаx_2[[#This Row],[Месяц]],1)=D1424),F1424,0)</f>
        <v>0</v>
      </c>
      <c r="K1423" s="8">
        <f>IF(AND(Таблицаx_2[[#This Row],[Месяц окончания]]=Таблицаx_2[[#This Row],[Месяц]],Таблицаx_2[[#This Row],[id]]=A1424,EDATE(Таблицаx_2[[#This Row],[Месяц]],2)=D1424),F1424,0)</f>
        <v>0</v>
      </c>
    </row>
    <row r="1424" spans="1:11" ht="12.75" hidden="1" customHeight="1" x14ac:dyDescent="0.2">
      <c r="A1424" s="8">
        <v>244</v>
      </c>
      <c r="B1424" s="8"/>
      <c r="C1424" s="8" t="s">
        <v>4</v>
      </c>
      <c r="D1424" s="12">
        <v>45078</v>
      </c>
      <c r="E1424" s="8">
        <v>328020</v>
      </c>
      <c r="F1424" s="10">
        <f>IF(ISTEXT(Таблицаx_2[[#This Row],[Значение]]), 0, Таблицаx_2[[#This Row],[Значение]])</f>
        <v>328020</v>
      </c>
      <c r="G1424" s="12">
        <v>44986</v>
      </c>
      <c r="H1424" s="10" t="str">
        <f>IFERROR(VLOOKUP(Таблицаx_2[[#This Row],[id]],prolongations!A:C,2,)," ")</f>
        <v>март 2023</v>
      </c>
      <c r="I1424" s="10">
        <f>IF(Таблицаx_2[[#This Row],[Месяц окончания]]=Таблицаx_2[[#This Row],[Месяц]],Таблицаx_2[[#This Row],[Значения числа]],0)</f>
        <v>0</v>
      </c>
      <c r="J1424" s="8">
        <f>IF(AND(Таблицаx_2[[#This Row],[Месяц окончания]]=Таблицаx_2[[#This Row],[Месяц]],Таблицаx_2[[#This Row],[id]]=A1425,EDATE(Таблицаx_2[[#This Row],[Месяц]],1)=D1425),F1425,0)</f>
        <v>0</v>
      </c>
      <c r="K1424" s="8">
        <f>IF(AND(Таблицаx_2[[#This Row],[Месяц окончания]]=Таблицаx_2[[#This Row],[Месяц]],Таблицаx_2[[#This Row],[id]]=A1425,EDATE(Таблицаx_2[[#This Row],[Месяц]],2)=D1425),F1425,0)</f>
        <v>0</v>
      </c>
    </row>
    <row r="1425" spans="1:11" ht="12.75" hidden="1" customHeight="1" x14ac:dyDescent="0.2">
      <c r="A1425" s="8">
        <v>244</v>
      </c>
      <c r="B1425" s="8"/>
      <c r="C1425" s="8" t="s">
        <v>4</v>
      </c>
      <c r="D1425" s="12">
        <v>45108</v>
      </c>
      <c r="E1425" s="8">
        <v>328020</v>
      </c>
      <c r="F1425" s="10">
        <f>IF(ISTEXT(Таблицаx_2[[#This Row],[Значение]]), 0, Таблицаx_2[[#This Row],[Значение]])</f>
        <v>328020</v>
      </c>
      <c r="G1425" s="12">
        <v>44986</v>
      </c>
      <c r="H1425" s="10" t="str">
        <f>IFERROR(VLOOKUP(Таблицаx_2[[#This Row],[id]],prolongations!A:C,2,)," ")</f>
        <v>март 2023</v>
      </c>
      <c r="I1425" s="10">
        <f>IF(Таблицаx_2[[#This Row],[Месяц окончания]]=Таблицаx_2[[#This Row],[Месяц]],Таблицаx_2[[#This Row],[Значения числа]],0)</f>
        <v>0</v>
      </c>
      <c r="J1425" s="8">
        <f>IF(AND(Таблицаx_2[[#This Row],[Месяц окончания]]=Таблицаx_2[[#This Row],[Месяц]],Таблицаx_2[[#This Row],[id]]=A1426,EDATE(Таблицаx_2[[#This Row],[Месяц]],1)=D1426),F1426,0)</f>
        <v>0</v>
      </c>
      <c r="K1425" s="8">
        <f>IF(AND(Таблицаx_2[[#This Row],[Месяц окончания]]=Таблицаx_2[[#This Row],[Месяц]],Таблицаx_2[[#This Row],[id]]=A1426,EDATE(Таблицаx_2[[#This Row],[Месяц]],2)=D1426),F1426,0)</f>
        <v>0</v>
      </c>
    </row>
    <row r="1426" spans="1:11" ht="12.75" hidden="1" customHeight="1" x14ac:dyDescent="0.2">
      <c r="A1426" s="8">
        <v>244</v>
      </c>
      <c r="B1426" s="8"/>
      <c r="C1426" s="8" t="s">
        <v>4</v>
      </c>
      <c r="D1426" s="12">
        <v>45139</v>
      </c>
      <c r="E1426" s="8">
        <v>328020</v>
      </c>
      <c r="F1426" s="10">
        <f>IF(ISTEXT(Таблицаx_2[[#This Row],[Значение]]), 0, Таблицаx_2[[#This Row],[Значение]])</f>
        <v>328020</v>
      </c>
      <c r="G1426" s="12">
        <v>44986</v>
      </c>
      <c r="H1426" s="10" t="str">
        <f>IFERROR(VLOOKUP(Таблицаx_2[[#This Row],[id]],prolongations!A:C,2,)," ")</f>
        <v>март 2023</v>
      </c>
      <c r="I1426" s="10">
        <f>IF(Таблицаx_2[[#This Row],[Месяц окончания]]=Таблицаx_2[[#This Row],[Месяц]],Таблицаx_2[[#This Row],[Значения числа]],0)</f>
        <v>0</v>
      </c>
      <c r="J1426" s="8">
        <f>IF(AND(Таблицаx_2[[#This Row],[Месяц окончания]]=Таблицаx_2[[#This Row],[Месяц]],Таблицаx_2[[#This Row],[id]]=A1427,EDATE(Таблицаx_2[[#This Row],[Месяц]],1)=D1427),F1427,0)</f>
        <v>0</v>
      </c>
      <c r="K1426" s="8">
        <f>IF(AND(Таблицаx_2[[#This Row],[Месяц окончания]]=Таблицаx_2[[#This Row],[Месяц]],Таблицаx_2[[#This Row],[id]]=A1427,EDATE(Таблицаx_2[[#This Row],[Месяц]],2)=D1427),F1427,0)</f>
        <v>0</v>
      </c>
    </row>
    <row r="1427" spans="1:11" ht="12.75" hidden="1" customHeight="1" x14ac:dyDescent="0.2">
      <c r="A1427" s="8">
        <v>244</v>
      </c>
      <c r="B1427" s="8"/>
      <c r="C1427" s="8" t="s">
        <v>4</v>
      </c>
      <c r="D1427" s="12">
        <v>45170</v>
      </c>
      <c r="E1427" s="8">
        <v>328020</v>
      </c>
      <c r="F1427" s="10">
        <f>IF(ISTEXT(Таблицаx_2[[#This Row],[Значение]]), 0, Таблицаx_2[[#This Row],[Значение]])</f>
        <v>328020</v>
      </c>
      <c r="G1427" s="12">
        <v>44986</v>
      </c>
      <c r="H1427" s="10" t="str">
        <f>IFERROR(VLOOKUP(Таблицаx_2[[#This Row],[id]],prolongations!A:C,2,)," ")</f>
        <v>март 2023</v>
      </c>
      <c r="I1427" s="10">
        <f>IF(Таблицаx_2[[#This Row],[Месяц окончания]]=Таблицаx_2[[#This Row],[Месяц]],Таблицаx_2[[#This Row],[Значения числа]],0)</f>
        <v>0</v>
      </c>
      <c r="J1427" s="8">
        <f>IF(AND(Таблицаx_2[[#This Row],[Месяц окончания]]=Таблицаx_2[[#This Row],[Месяц]],Таблицаx_2[[#This Row],[id]]=A1428,EDATE(Таблицаx_2[[#This Row],[Месяц]],1)=D1428),F1428,0)</f>
        <v>0</v>
      </c>
      <c r="K1427" s="8">
        <f>IF(AND(Таблицаx_2[[#This Row],[Месяц окончания]]=Таблицаx_2[[#This Row],[Месяц]],Таблицаx_2[[#This Row],[id]]=A1428,EDATE(Таблицаx_2[[#This Row],[Месяц]],2)=D1428),F1428,0)</f>
        <v>0</v>
      </c>
    </row>
    <row r="1428" spans="1:11" ht="12.75" hidden="1" customHeight="1" x14ac:dyDescent="0.2">
      <c r="A1428" s="8">
        <v>244</v>
      </c>
      <c r="B1428" s="8"/>
      <c r="C1428" s="8" t="s">
        <v>4</v>
      </c>
      <c r="D1428" s="12">
        <v>45200</v>
      </c>
      <c r="E1428" s="8">
        <v>328020</v>
      </c>
      <c r="F1428" s="10">
        <f>IF(ISTEXT(Таблицаx_2[[#This Row],[Значение]]), 0, Таблицаx_2[[#This Row],[Значение]])</f>
        <v>328020</v>
      </c>
      <c r="G1428" s="12">
        <v>44986</v>
      </c>
      <c r="H1428" s="10" t="str">
        <f>IFERROR(VLOOKUP(Таблицаx_2[[#This Row],[id]],prolongations!A:C,2,)," ")</f>
        <v>март 2023</v>
      </c>
      <c r="I1428" s="10">
        <f>IF(Таблицаx_2[[#This Row],[Месяц окончания]]=Таблицаx_2[[#This Row],[Месяц]],Таблицаx_2[[#This Row],[Значения числа]],0)</f>
        <v>0</v>
      </c>
      <c r="J1428" s="8">
        <f>IF(AND(Таблицаx_2[[#This Row],[Месяц окончания]]=Таблицаx_2[[#This Row],[Месяц]],Таблицаx_2[[#This Row],[id]]=A1429,EDATE(Таблицаx_2[[#This Row],[Месяц]],1)=D1429),F1429,0)</f>
        <v>0</v>
      </c>
      <c r="K1428" s="8">
        <f>IF(AND(Таблицаx_2[[#This Row],[Месяц окончания]]=Таблицаx_2[[#This Row],[Месяц]],Таблицаx_2[[#This Row],[id]]=A1429,EDATE(Таблицаx_2[[#This Row],[Месяц]],2)=D1429),F1429,0)</f>
        <v>0</v>
      </c>
    </row>
    <row r="1429" spans="1:11" ht="12.75" hidden="1" customHeight="1" x14ac:dyDescent="0.2">
      <c r="A1429" s="8">
        <v>244</v>
      </c>
      <c r="B1429" s="8"/>
      <c r="C1429" s="8" t="s">
        <v>4</v>
      </c>
      <c r="D1429" s="12">
        <v>45231</v>
      </c>
      <c r="E1429" s="8" t="s">
        <v>46</v>
      </c>
      <c r="F1429" s="10">
        <f>IF(ISTEXT(Таблицаx_2[[#This Row],[Значение]]), 0, Таблицаx_2[[#This Row],[Значение]])</f>
        <v>0</v>
      </c>
      <c r="G1429" s="12">
        <v>44986</v>
      </c>
      <c r="H1429" s="10" t="str">
        <f>IFERROR(VLOOKUP(Таблицаx_2[[#This Row],[id]],prolongations!A:C,2,)," ")</f>
        <v>март 2023</v>
      </c>
      <c r="I1429" s="10">
        <f>IF(Таблицаx_2[[#This Row],[Месяц окончания]]=Таблицаx_2[[#This Row],[Месяц]],Таблицаx_2[[#This Row],[Значения числа]],0)</f>
        <v>0</v>
      </c>
      <c r="J1429" s="8">
        <f>IF(AND(Таблицаx_2[[#This Row],[Месяц окончания]]=Таблицаx_2[[#This Row],[Месяц]],Таблицаx_2[[#This Row],[id]]=A1430,EDATE(Таблицаx_2[[#This Row],[Месяц]],1)=D1430),F1430,0)</f>
        <v>0</v>
      </c>
      <c r="K1429" s="8">
        <f>IF(AND(Таблицаx_2[[#This Row],[Месяц окончания]]=Таблицаx_2[[#This Row],[Месяц]],Таблицаx_2[[#This Row],[id]]=A1430,EDATE(Таблицаx_2[[#This Row],[Месяц]],2)=D1430),F1430,0)</f>
        <v>0</v>
      </c>
    </row>
    <row r="1430" spans="1:11" ht="12.75" hidden="1" customHeight="1" x14ac:dyDescent="0.2">
      <c r="A1430" s="8">
        <v>562</v>
      </c>
      <c r="B1430" s="8"/>
      <c r="C1430" s="8" t="s">
        <v>4</v>
      </c>
      <c r="D1430" s="12">
        <v>44866</v>
      </c>
      <c r="E1430" s="8">
        <v>85120</v>
      </c>
      <c r="F1430" s="10">
        <f>IF(ISTEXT(Таблицаx_2[[#This Row],[Значение]]), 0, Таблицаx_2[[#This Row],[Значение]])</f>
        <v>85120</v>
      </c>
      <c r="G1430" s="12">
        <v>44986</v>
      </c>
      <c r="H1430" s="10" t="str">
        <f>IFERROR(VLOOKUP(Таблицаx_2[[#This Row],[id]],prolongations!A:C,2,)," ")</f>
        <v>март 2023</v>
      </c>
      <c r="I1430" s="10">
        <f>IF(Таблицаx_2[[#This Row],[Месяц окончания]]=Таблицаx_2[[#This Row],[Месяц]],Таблицаx_2[[#This Row],[Значения числа]],0)</f>
        <v>0</v>
      </c>
      <c r="J1430" s="8">
        <f>IF(AND(Таблицаx_2[[#This Row],[Месяц окончания]]=Таблицаx_2[[#This Row],[Месяц]],Таблицаx_2[[#This Row],[id]]=A1431,EDATE(Таблицаx_2[[#This Row],[Месяц]],1)=D1431),F1431,0)</f>
        <v>0</v>
      </c>
      <c r="K1430" s="8">
        <f>IF(AND(Таблицаx_2[[#This Row],[Месяц окончания]]=Таблицаx_2[[#This Row],[Месяц]],Таблицаx_2[[#This Row],[id]]=A1431,EDATE(Таблицаx_2[[#This Row],[Месяц]],2)=D1431),F1431,0)</f>
        <v>0</v>
      </c>
    </row>
    <row r="1431" spans="1:11" ht="12.75" hidden="1" customHeight="1" x14ac:dyDescent="0.2">
      <c r="A1431" s="8">
        <v>562</v>
      </c>
      <c r="B1431" s="8"/>
      <c r="C1431" s="8" t="s">
        <v>4</v>
      </c>
      <c r="D1431" s="12">
        <v>44896</v>
      </c>
      <c r="E1431" s="8">
        <v>85120</v>
      </c>
      <c r="F1431" s="10">
        <f>IF(ISTEXT(Таблицаx_2[[#This Row],[Значение]]), 0, Таблицаx_2[[#This Row],[Значение]])</f>
        <v>85120</v>
      </c>
      <c r="G1431" s="12">
        <v>44986</v>
      </c>
      <c r="H1431" s="10" t="str">
        <f>IFERROR(VLOOKUP(Таблицаx_2[[#This Row],[id]],prolongations!A:C,2,)," ")</f>
        <v>март 2023</v>
      </c>
      <c r="I1431" s="10">
        <f>IF(Таблицаx_2[[#This Row],[Месяц окончания]]=Таблицаx_2[[#This Row],[Месяц]],Таблицаx_2[[#This Row],[Значения числа]],0)</f>
        <v>0</v>
      </c>
      <c r="J1431" s="8">
        <f>IF(AND(Таблицаx_2[[#This Row],[Месяц окончания]]=Таблицаx_2[[#This Row],[Месяц]],Таблицаx_2[[#This Row],[id]]=A1432,EDATE(Таблицаx_2[[#This Row],[Месяц]],1)=D1432),F1432,0)</f>
        <v>0</v>
      </c>
      <c r="K1431" s="8">
        <f>IF(AND(Таблицаx_2[[#This Row],[Месяц окончания]]=Таблицаx_2[[#This Row],[Месяц]],Таблицаx_2[[#This Row],[id]]=A1432,EDATE(Таблицаx_2[[#This Row],[Месяц]],2)=D1432),F1432,0)</f>
        <v>0</v>
      </c>
    </row>
    <row r="1432" spans="1:11" ht="12.75" hidden="1" customHeight="1" x14ac:dyDescent="0.2">
      <c r="A1432" s="8">
        <v>562</v>
      </c>
      <c r="B1432" s="8"/>
      <c r="C1432" s="8" t="s">
        <v>4</v>
      </c>
      <c r="D1432" s="12">
        <v>44927</v>
      </c>
      <c r="E1432" s="8">
        <v>85120</v>
      </c>
      <c r="F1432" s="10">
        <f>IF(ISTEXT(Таблицаx_2[[#This Row],[Значение]]), 0, Таблицаx_2[[#This Row],[Значение]])</f>
        <v>85120</v>
      </c>
      <c r="G1432" s="12">
        <v>44986</v>
      </c>
      <c r="H1432" s="10" t="str">
        <f>IFERROR(VLOOKUP(Таблицаx_2[[#This Row],[id]],prolongations!A:C,2,)," ")</f>
        <v>март 2023</v>
      </c>
      <c r="I1432" s="10">
        <f>IF(Таблицаx_2[[#This Row],[Месяц окончания]]=Таблицаx_2[[#This Row],[Месяц]],Таблицаx_2[[#This Row],[Значения числа]],0)</f>
        <v>0</v>
      </c>
      <c r="J1432" s="8">
        <f>IF(AND(Таблицаx_2[[#This Row],[Месяц окончания]]=Таблицаx_2[[#This Row],[Месяц]],Таблицаx_2[[#This Row],[id]]=A1433,EDATE(Таблицаx_2[[#This Row],[Месяц]],1)=D1433),F1433,0)</f>
        <v>0</v>
      </c>
      <c r="K1432" s="8">
        <f>IF(AND(Таблицаx_2[[#This Row],[Месяц окончания]]=Таблицаx_2[[#This Row],[Месяц]],Таблицаx_2[[#This Row],[id]]=A1433,EDATE(Таблицаx_2[[#This Row],[Месяц]],2)=D1433),F1433,0)</f>
        <v>0</v>
      </c>
    </row>
    <row r="1433" spans="1:11" ht="12.75" hidden="1" customHeight="1" x14ac:dyDescent="0.2">
      <c r="A1433" s="8">
        <v>562</v>
      </c>
      <c r="B1433" s="8"/>
      <c r="C1433" s="8" t="s">
        <v>4</v>
      </c>
      <c r="D1433" s="12">
        <v>44958</v>
      </c>
      <c r="E1433" s="8">
        <v>85120</v>
      </c>
      <c r="F1433" s="10">
        <f>IF(ISTEXT(Таблицаx_2[[#This Row],[Значение]]), 0, Таблицаx_2[[#This Row],[Значение]])</f>
        <v>85120</v>
      </c>
      <c r="G1433" s="12">
        <v>44986</v>
      </c>
      <c r="H1433" s="10" t="str">
        <f>IFERROR(VLOOKUP(Таблицаx_2[[#This Row],[id]],prolongations!A:C,2,)," ")</f>
        <v>март 2023</v>
      </c>
      <c r="I1433" s="10">
        <f>IF(Таблицаx_2[[#This Row],[Месяц окончания]]=Таблицаx_2[[#This Row],[Месяц]],Таблицаx_2[[#This Row],[Значения числа]],0)</f>
        <v>0</v>
      </c>
      <c r="J1433" s="8">
        <f>IF(AND(Таблицаx_2[[#This Row],[Месяц окончания]]=Таблицаx_2[[#This Row],[Месяц]],Таблицаx_2[[#This Row],[id]]=A1434,EDATE(Таблицаx_2[[#This Row],[Месяц]],1)=D1434),F1434,0)</f>
        <v>0</v>
      </c>
      <c r="K1433" s="8">
        <f>IF(AND(Таблицаx_2[[#This Row],[Месяц окончания]]=Таблицаx_2[[#This Row],[Месяц]],Таблицаx_2[[#This Row],[id]]=A1434,EDATE(Таблицаx_2[[#This Row],[Месяц]],2)=D1434),F1434,0)</f>
        <v>0</v>
      </c>
    </row>
    <row r="1434" spans="1:11" ht="12.75" hidden="1" customHeight="1" x14ac:dyDescent="0.2">
      <c r="A1434" s="8">
        <v>562</v>
      </c>
      <c r="B1434" s="8"/>
      <c r="C1434" s="8" t="s">
        <v>4</v>
      </c>
      <c r="D1434" s="12">
        <v>44986</v>
      </c>
      <c r="E1434" s="8">
        <v>85120</v>
      </c>
      <c r="F1434" s="10">
        <f>IF(ISTEXT(Таблицаx_2[[#This Row],[Значение]]), 0, Таблицаx_2[[#This Row],[Значение]])</f>
        <v>85120</v>
      </c>
      <c r="G1434" s="12">
        <v>44986</v>
      </c>
      <c r="H1434" s="10" t="str">
        <f>IFERROR(VLOOKUP(Таблицаx_2[[#This Row],[id]],prolongations!A:C,2,)," ")</f>
        <v>март 2023</v>
      </c>
      <c r="I1434" s="10">
        <f>IF(Таблицаx_2[[#This Row],[Месяц окончания]]=Таблицаx_2[[#This Row],[Месяц]],Таблицаx_2[[#This Row],[Значения числа]],0)</f>
        <v>85120</v>
      </c>
      <c r="J1434" s="8">
        <f>IF(AND(Таблицаx_2[[#This Row],[Месяц окончания]]=Таблицаx_2[[#This Row],[Месяц]],Таблицаx_2[[#This Row],[id]]=A1435,EDATE(Таблицаx_2[[#This Row],[Месяц]],1)=D1435),F1435,0)</f>
        <v>85120</v>
      </c>
      <c r="K1434" s="8">
        <f>IF(AND(Таблицаx_2[[#This Row],[Месяц окончания]]=Таблицаx_2[[#This Row],[Месяц]],Таблицаx_2[[#This Row],[id]]=A1435,EDATE(Таблицаx_2[[#This Row],[Месяц]],2)=D1435),F1435,0)</f>
        <v>0</v>
      </c>
    </row>
    <row r="1435" spans="1:11" ht="12.75" hidden="1" customHeight="1" x14ac:dyDescent="0.2">
      <c r="A1435" s="8">
        <v>562</v>
      </c>
      <c r="B1435" s="8"/>
      <c r="C1435" s="8" t="s">
        <v>4</v>
      </c>
      <c r="D1435" s="12">
        <v>45017</v>
      </c>
      <c r="E1435" s="8">
        <v>85120</v>
      </c>
      <c r="F1435" s="10">
        <f>IF(ISTEXT(Таблицаx_2[[#This Row],[Значение]]), 0, Таблицаx_2[[#This Row],[Значение]])</f>
        <v>85120</v>
      </c>
      <c r="G1435" s="12">
        <v>44986</v>
      </c>
      <c r="H1435" s="10" t="str">
        <f>IFERROR(VLOOKUP(Таблицаx_2[[#This Row],[id]],prolongations!A:C,2,)," ")</f>
        <v>март 2023</v>
      </c>
      <c r="I1435" s="10">
        <f>IF(Таблицаx_2[[#This Row],[Месяц окончания]]=Таблицаx_2[[#This Row],[Месяц]],Таблицаx_2[[#This Row],[Значения числа]],0)</f>
        <v>0</v>
      </c>
      <c r="J1435" s="8">
        <f>IF(AND(Таблицаx_2[[#This Row],[Месяц окончания]]=Таблицаx_2[[#This Row],[Месяц]],Таблицаx_2[[#This Row],[id]]=A1436,EDATE(Таблицаx_2[[#This Row],[Месяц]],1)=D1436),F1436,0)</f>
        <v>0</v>
      </c>
      <c r="K1435" s="8">
        <f>IF(AND(Таблицаx_2[[#This Row],[Месяц окончания]]=Таблицаx_2[[#This Row],[Месяц]],Таблицаx_2[[#This Row],[id]]=A1436,EDATE(Таблицаx_2[[#This Row],[Месяц]],2)=D1436),F1436,0)</f>
        <v>0</v>
      </c>
    </row>
    <row r="1436" spans="1:11" ht="12.75" hidden="1" customHeight="1" x14ac:dyDescent="0.2">
      <c r="A1436" s="8">
        <v>562</v>
      </c>
      <c r="B1436" s="8"/>
      <c r="C1436" s="8" t="s">
        <v>4</v>
      </c>
      <c r="D1436" s="12">
        <v>45047</v>
      </c>
      <c r="E1436" s="8">
        <v>69940</v>
      </c>
      <c r="F1436" s="10">
        <f>IF(ISTEXT(Таблицаx_2[[#This Row],[Значение]]), 0, Таблицаx_2[[#This Row],[Значение]])</f>
        <v>69940</v>
      </c>
      <c r="G1436" s="12">
        <v>44986</v>
      </c>
      <c r="H1436" s="10" t="str">
        <f>IFERROR(VLOOKUP(Таблицаx_2[[#This Row],[id]],prolongations!A:C,2,)," ")</f>
        <v>март 2023</v>
      </c>
      <c r="I1436" s="10">
        <f>IF(Таблицаx_2[[#This Row],[Месяц окончания]]=Таблицаx_2[[#This Row],[Месяц]],Таблицаx_2[[#This Row],[Значения числа]],0)</f>
        <v>0</v>
      </c>
      <c r="J1436" s="8">
        <f>IF(AND(Таблицаx_2[[#This Row],[Месяц окончания]]=Таблицаx_2[[#This Row],[Месяц]],Таблицаx_2[[#This Row],[id]]=A1437,EDATE(Таблицаx_2[[#This Row],[Месяц]],1)=D1437),F1437,0)</f>
        <v>0</v>
      </c>
      <c r="K1436" s="8">
        <f>IF(AND(Таблицаx_2[[#This Row],[Месяц окончания]]=Таблицаx_2[[#This Row],[Месяц]],Таблицаx_2[[#This Row],[id]]=A1437,EDATE(Таблицаx_2[[#This Row],[Месяц]],2)=D1437),F1437,0)</f>
        <v>0</v>
      </c>
    </row>
    <row r="1437" spans="1:11" ht="12.75" hidden="1" customHeight="1" x14ac:dyDescent="0.2">
      <c r="A1437" s="8">
        <v>562</v>
      </c>
      <c r="B1437" s="8"/>
      <c r="C1437" s="8" t="s">
        <v>4</v>
      </c>
      <c r="D1437" s="12">
        <v>45078</v>
      </c>
      <c r="E1437" s="8">
        <v>69940</v>
      </c>
      <c r="F1437" s="10">
        <f>IF(ISTEXT(Таблицаx_2[[#This Row],[Значение]]), 0, Таблицаx_2[[#This Row],[Значение]])</f>
        <v>69940</v>
      </c>
      <c r="G1437" s="12">
        <v>44986</v>
      </c>
      <c r="H1437" s="10" t="str">
        <f>IFERROR(VLOOKUP(Таблицаx_2[[#This Row],[id]],prolongations!A:C,2,)," ")</f>
        <v>март 2023</v>
      </c>
      <c r="I1437" s="10">
        <f>IF(Таблицаx_2[[#This Row],[Месяц окончания]]=Таблицаx_2[[#This Row],[Месяц]],Таблицаx_2[[#This Row],[Значения числа]],0)</f>
        <v>0</v>
      </c>
      <c r="J1437" s="8">
        <f>IF(AND(Таблицаx_2[[#This Row],[Месяц окончания]]=Таблицаx_2[[#This Row],[Месяц]],Таблицаx_2[[#This Row],[id]]=A1438,EDATE(Таблицаx_2[[#This Row],[Месяц]],1)=D1438),F1438,0)</f>
        <v>0</v>
      </c>
      <c r="K1437" s="8">
        <f>IF(AND(Таблицаx_2[[#This Row],[Месяц окончания]]=Таблицаx_2[[#This Row],[Месяц]],Таблицаx_2[[#This Row],[id]]=A1438,EDATE(Таблицаx_2[[#This Row],[Месяц]],2)=D1438),F1438,0)</f>
        <v>0</v>
      </c>
    </row>
    <row r="1438" spans="1:11" ht="12.75" hidden="1" customHeight="1" x14ac:dyDescent="0.2">
      <c r="A1438" s="8">
        <v>562</v>
      </c>
      <c r="B1438" s="8"/>
      <c r="C1438" s="8" t="s">
        <v>4</v>
      </c>
      <c r="D1438" s="12">
        <v>45108</v>
      </c>
      <c r="E1438" s="8">
        <v>69940</v>
      </c>
      <c r="F1438" s="10">
        <f>IF(ISTEXT(Таблицаx_2[[#This Row],[Значение]]), 0, Таблицаx_2[[#This Row],[Значение]])</f>
        <v>69940</v>
      </c>
      <c r="G1438" s="12">
        <v>44986</v>
      </c>
      <c r="H1438" s="10" t="str">
        <f>IFERROR(VLOOKUP(Таблицаx_2[[#This Row],[id]],prolongations!A:C,2,)," ")</f>
        <v>март 2023</v>
      </c>
      <c r="I1438" s="10">
        <f>IF(Таблицаx_2[[#This Row],[Месяц окончания]]=Таблицаx_2[[#This Row],[Месяц]],Таблицаx_2[[#This Row],[Значения числа]],0)</f>
        <v>0</v>
      </c>
      <c r="J1438" s="8">
        <f>IF(AND(Таблицаx_2[[#This Row],[Месяц окончания]]=Таблицаx_2[[#This Row],[Месяц]],Таблицаx_2[[#This Row],[id]]=A1439,EDATE(Таблицаx_2[[#This Row],[Месяц]],1)=D1439),F1439,0)</f>
        <v>0</v>
      </c>
      <c r="K1438" s="8">
        <f>IF(AND(Таблицаx_2[[#This Row],[Месяц окончания]]=Таблицаx_2[[#This Row],[Месяц]],Таблицаx_2[[#This Row],[id]]=A1439,EDATE(Таблицаx_2[[#This Row],[Месяц]],2)=D1439),F1439,0)</f>
        <v>0</v>
      </c>
    </row>
    <row r="1439" spans="1:11" ht="12.75" hidden="1" customHeight="1" x14ac:dyDescent="0.2">
      <c r="A1439" s="8">
        <v>562</v>
      </c>
      <c r="B1439" s="8"/>
      <c r="C1439" s="8" t="s">
        <v>4</v>
      </c>
      <c r="D1439" s="12">
        <v>45139</v>
      </c>
      <c r="E1439" s="8">
        <v>69940</v>
      </c>
      <c r="F1439" s="10">
        <f>IF(ISTEXT(Таблицаx_2[[#This Row],[Значение]]), 0, Таблицаx_2[[#This Row],[Значение]])</f>
        <v>69940</v>
      </c>
      <c r="G1439" s="12">
        <v>44986</v>
      </c>
      <c r="H1439" s="10" t="str">
        <f>IFERROR(VLOOKUP(Таблицаx_2[[#This Row],[id]],prolongations!A:C,2,)," ")</f>
        <v>март 2023</v>
      </c>
      <c r="I1439" s="10">
        <f>IF(Таблицаx_2[[#This Row],[Месяц окончания]]=Таблицаx_2[[#This Row],[Месяц]],Таблицаx_2[[#This Row],[Значения числа]],0)</f>
        <v>0</v>
      </c>
      <c r="J1439" s="8">
        <f>IF(AND(Таблицаx_2[[#This Row],[Месяц окончания]]=Таблицаx_2[[#This Row],[Месяц]],Таблицаx_2[[#This Row],[id]]=A1440,EDATE(Таблицаx_2[[#This Row],[Месяц]],1)=D1440),F1440,0)</f>
        <v>0</v>
      </c>
      <c r="K1439" s="8">
        <f>IF(AND(Таблицаx_2[[#This Row],[Месяц окончания]]=Таблицаx_2[[#This Row],[Месяц]],Таблицаx_2[[#This Row],[id]]=A1440,EDATE(Таблицаx_2[[#This Row],[Месяц]],2)=D1440),F1440,0)</f>
        <v>0</v>
      </c>
    </row>
    <row r="1440" spans="1:11" ht="12.75" hidden="1" customHeight="1" x14ac:dyDescent="0.2">
      <c r="A1440" s="8">
        <v>562</v>
      </c>
      <c r="B1440" s="8"/>
      <c r="C1440" s="8" t="s">
        <v>4</v>
      </c>
      <c r="D1440" s="12">
        <v>45170</v>
      </c>
      <c r="E1440" s="8">
        <v>69940</v>
      </c>
      <c r="F1440" s="10">
        <f>IF(ISTEXT(Таблицаx_2[[#This Row],[Значение]]), 0, Таблицаx_2[[#This Row],[Значение]])</f>
        <v>69940</v>
      </c>
      <c r="G1440" s="12">
        <v>44986</v>
      </c>
      <c r="H1440" s="10" t="str">
        <f>IFERROR(VLOOKUP(Таблицаx_2[[#This Row],[id]],prolongations!A:C,2,)," ")</f>
        <v>март 2023</v>
      </c>
      <c r="I1440" s="10">
        <f>IF(Таблицаx_2[[#This Row],[Месяц окончания]]=Таблицаx_2[[#This Row],[Месяц]],Таблицаx_2[[#This Row],[Значения числа]],0)</f>
        <v>0</v>
      </c>
      <c r="J1440" s="8">
        <f>IF(AND(Таблицаx_2[[#This Row],[Месяц окончания]]=Таблицаx_2[[#This Row],[Месяц]],Таблицаx_2[[#This Row],[id]]=A1441,EDATE(Таблицаx_2[[#This Row],[Месяц]],1)=D1441),F1441,0)</f>
        <v>0</v>
      </c>
      <c r="K1440" s="8">
        <f>IF(AND(Таблицаx_2[[#This Row],[Месяц окончания]]=Таблицаx_2[[#This Row],[Месяц]],Таблицаx_2[[#This Row],[id]]=A1441,EDATE(Таблицаx_2[[#This Row],[Месяц]],2)=D1441),F1441,0)</f>
        <v>0</v>
      </c>
    </row>
    <row r="1441" spans="1:11" ht="12.75" hidden="1" customHeight="1" x14ac:dyDescent="0.2">
      <c r="A1441" s="8">
        <v>562</v>
      </c>
      <c r="B1441" s="8"/>
      <c r="C1441" s="8" t="s">
        <v>4</v>
      </c>
      <c r="D1441" s="12">
        <v>45200</v>
      </c>
      <c r="E1441" s="8">
        <v>69940</v>
      </c>
      <c r="F1441" s="10">
        <f>IF(ISTEXT(Таблицаx_2[[#This Row],[Значение]]), 0, Таблицаx_2[[#This Row],[Значение]])</f>
        <v>69940</v>
      </c>
      <c r="G1441" s="12">
        <v>44986</v>
      </c>
      <c r="H1441" s="10" t="str">
        <f>IFERROR(VLOOKUP(Таблицаx_2[[#This Row],[id]],prolongations!A:C,2,)," ")</f>
        <v>март 2023</v>
      </c>
      <c r="I1441" s="10">
        <f>IF(Таблицаx_2[[#This Row],[Месяц окончания]]=Таблицаx_2[[#This Row],[Месяц]],Таблицаx_2[[#This Row],[Значения числа]],0)</f>
        <v>0</v>
      </c>
      <c r="J1441" s="8">
        <f>IF(AND(Таблицаx_2[[#This Row],[Месяц окончания]]=Таблицаx_2[[#This Row],[Месяц]],Таблицаx_2[[#This Row],[id]]=A1442,EDATE(Таблицаx_2[[#This Row],[Месяц]],1)=D1442),F1442,0)</f>
        <v>0</v>
      </c>
      <c r="K1441" s="8">
        <f>IF(AND(Таблицаx_2[[#This Row],[Месяц окончания]]=Таблицаx_2[[#This Row],[Месяц]],Таблицаx_2[[#This Row],[id]]=A1442,EDATE(Таблицаx_2[[#This Row],[Месяц]],2)=D1442),F1442,0)</f>
        <v>0</v>
      </c>
    </row>
    <row r="1442" spans="1:11" ht="12.75" hidden="1" customHeight="1" x14ac:dyDescent="0.2">
      <c r="A1442" s="8">
        <v>562</v>
      </c>
      <c r="B1442" s="8"/>
      <c r="C1442" s="8" t="s">
        <v>4</v>
      </c>
      <c r="D1442" s="12">
        <v>45231</v>
      </c>
      <c r="E1442" s="8" t="s">
        <v>46</v>
      </c>
      <c r="F1442" s="10">
        <f>IF(ISTEXT(Таблицаx_2[[#This Row],[Значение]]), 0, Таблицаx_2[[#This Row],[Значение]])</f>
        <v>0</v>
      </c>
      <c r="G1442" s="12">
        <v>44986</v>
      </c>
      <c r="H1442" s="10" t="str">
        <f>IFERROR(VLOOKUP(Таблицаx_2[[#This Row],[id]],prolongations!A:C,2,)," ")</f>
        <v>март 2023</v>
      </c>
      <c r="I1442" s="10">
        <f>IF(Таблицаx_2[[#This Row],[Месяц окончания]]=Таблицаx_2[[#This Row],[Месяц]],Таблицаx_2[[#This Row],[Значения числа]],0)</f>
        <v>0</v>
      </c>
      <c r="J1442" s="8">
        <f>IF(AND(Таблицаx_2[[#This Row],[Месяц окончания]]=Таблицаx_2[[#This Row],[Месяц]],Таблицаx_2[[#This Row],[id]]=A1443,EDATE(Таблицаx_2[[#This Row],[Месяц]],1)=D1443),F1443,0)</f>
        <v>0</v>
      </c>
      <c r="K1442" s="8">
        <f>IF(AND(Таблицаx_2[[#This Row],[Месяц окончания]]=Таблицаx_2[[#This Row],[Месяц]],Таблицаx_2[[#This Row],[id]]=A1443,EDATE(Таблицаx_2[[#This Row],[Месяц]],2)=D1443),F1443,0)</f>
        <v>0</v>
      </c>
    </row>
    <row r="1443" spans="1:11" ht="12.75" hidden="1" customHeight="1" x14ac:dyDescent="0.2">
      <c r="A1443" s="8">
        <v>886</v>
      </c>
      <c r="B1443" s="8"/>
      <c r="C1443" s="8" t="s">
        <v>4</v>
      </c>
      <c r="D1443" s="12">
        <v>45078</v>
      </c>
      <c r="E1443" s="8">
        <v>406720</v>
      </c>
      <c r="F1443" s="10">
        <f>IF(ISTEXT(Таблицаx_2[[#This Row],[Значение]]), 0, Таблицаx_2[[#This Row],[Значение]])</f>
        <v>406720</v>
      </c>
      <c r="G1443" s="12">
        <v>45231</v>
      </c>
      <c r="H1443" s="10" t="str">
        <f>IFERROR(VLOOKUP(Таблицаx_2[[#This Row],[id]],prolongations!A:C,2,)," ")</f>
        <v>ноябрь 2023</v>
      </c>
      <c r="I1443" s="10">
        <f>IF(Таблицаx_2[[#This Row],[Месяц окончания]]=Таблицаx_2[[#This Row],[Месяц]],Таблицаx_2[[#This Row],[Значения числа]],0)</f>
        <v>0</v>
      </c>
      <c r="J1443" s="8">
        <f>IF(AND(Таблицаx_2[[#This Row],[Месяц окончания]]=Таблицаx_2[[#This Row],[Месяц]],Таблицаx_2[[#This Row],[id]]=A1444,EDATE(Таблицаx_2[[#This Row],[Месяц]],1)=D1444),F1444,0)</f>
        <v>0</v>
      </c>
      <c r="K1443" s="8">
        <f>IF(AND(Таблицаx_2[[#This Row],[Месяц окончания]]=Таблицаx_2[[#This Row],[Месяц]],Таблицаx_2[[#This Row],[id]]=A1444,EDATE(Таблицаx_2[[#This Row],[Месяц]],2)=D1444),F1444,0)</f>
        <v>0</v>
      </c>
    </row>
    <row r="1444" spans="1:11" ht="12.75" hidden="1" customHeight="1" x14ac:dyDescent="0.2">
      <c r="A1444" s="8">
        <v>886</v>
      </c>
      <c r="B1444" s="8"/>
      <c r="C1444" s="8" t="s">
        <v>4</v>
      </c>
      <c r="D1444" s="12">
        <v>45108</v>
      </c>
      <c r="E1444" s="8">
        <v>106543.34</v>
      </c>
      <c r="F1444" s="10">
        <f>IF(ISTEXT(Таблицаx_2[[#This Row],[Значение]]), 0, Таблицаx_2[[#This Row],[Значение]])</f>
        <v>106543.34</v>
      </c>
      <c r="G1444" s="12">
        <v>45231</v>
      </c>
      <c r="H1444" s="10" t="str">
        <f>IFERROR(VLOOKUP(Таблицаx_2[[#This Row],[id]],prolongations!A:C,2,)," ")</f>
        <v>ноябрь 2023</v>
      </c>
      <c r="I1444" s="10">
        <f>IF(Таблицаx_2[[#This Row],[Месяц окончания]]=Таблицаx_2[[#This Row],[Месяц]],Таблицаx_2[[#This Row],[Значения числа]],0)</f>
        <v>0</v>
      </c>
      <c r="J1444" s="8">
        <f>IF(AND(Таблицаx_2[[#This Row],[Месяц окончания]]=Таблицаx_2[[#This Row],[Месяц]],Таблицаx_2[[#This Row],[id]]=A1445,EDATE(Таблицаx_2[[#This Row],[Месяц]],1)=D1445),F1445,0)</f>
        <v>0</v>
      </c>
      <c r="K1444" s="8">
        <f>IF(AND(Таблицаx_2[[#This Row],[Месяц окончания]]=Таблицаx_2[[#This Row],[Месяц]],Таблицаx_2[[#This Row],[id]]=A1445,EDATE(Таблицаx_2[[#This Row],[Месяц]],2)=D1445),F1445,0)</f>
        <v>0</v>
      </c>
    </row>
    <row r="1445" spans="1:11" ht="12.75" hidden="1" customHeight="1" x14ac:dyDescent="0.2">
      <c r="A1445" s="8">
        <v>886</v>
      </c>
      <c r="B1445" s="8"/>
      <c r="C1445" s="8" t="s">
        <v>4</v>
      </c>
      <c r="D1445" s="12">
        <v>45139</v>
      </c>
      <c r="E1445" s="8">
        <v>26020</v>
      </c>
      <c r="F1445" s="10">
        <f>IF(ISTEXT(Таблицаx_2[[#This Row],[Значение]]), 0, Таблицаx_2[[#This Row],[Значение]])</f>
        <v>26020</v>
      </c>
      <c r="G1445" s="12">
        <v>45231</v>
      </c>
      <c r="H1445" s="10" t="str">
        <f>IFERROR(VLOOKUP(Таблицаx_2[[#This Row],[id]],prolongations!A:C,2,)," ")</f>
        <v>ноябрь 2023</v>
      </c>
      <c r="I1445" s="10">
        <f>IF(Таблицаx_2[[#This Row],[Месяц окончания]]=Таблицаx_2[[#This Row],[Месяц]],Таблицаx_2[[#This Row],[Значения числа]],0)</f>
        <v>0</v>
      </c>
      <c r="J1445" s="8">
        <f>IF(AND(Таблицаx_2[[#This Row],[Месяц окончания]]=Таблицаx_2[[#This Row],[Месяц]],Таблицаx_2[[#This Row],[id]]=A1446,EDATE(Таблицаx_2[[#This Row],[Месяц]],1)=D1446),F1446,0)</f>
        <v>0</v>
      </c>
      <c r="K1445" s="8">
        <f>IF(AND(Таблицаx_2[[#This Row],[Месяц окончания]]=Таблицаx_2[[#This Row],[Месяц]],Таблицаx_2[[#This Row],[id]]=A1446,EDATE(Таблицаx_2[[#This Row],[Месяц]],2)=D1446),F1446,0)</f>
        <v>0</v>
      </c>
    </row>
    <row r="1446" spans="1:11" ht="12.75" hidden="1" customHeight="1" x14ac:dyDescent="0.2">
      <c r="A1446" s="8">
        <v>886</v>
      </c>
      <c r="B1446" s="8"/>
      <c r="C1446" s="8" t="s">
        <v>4</v>
      </c>
      <c r="D1446" s="12">
        <v>45170</v>
      </c>
      <c r="E1446" s="8">
        <v>26020</v>
      </c>
      <c r="F1446" s="10">
        <f>IF(ISTEXT(Таблицаx_2[[#This Row],[Значение]]), 0, Таблицаx_2[[#This Row],[Значение]])</f>
        <v>26020</v>
      </c>
      <c r="G1446" s="12">
        <v>45231</v>
      </c>
      <c r="H1446" s="10" t="str">
        <f>IFERROR(VLOOKUP(Таблицаx_2[[#This Row],[id]],prolongations!A:C,2,)," ")</f>
        <v>ноябрь 2023</v>
      </c>
      <c r="I1446" s="10">
        <f>IF(Таблицаx_2[[#This Row],[Месяц окончания]]=Таблицаx_2[[#This Row],[Месяц]],Таблицаx_2[[#This Row],[Значения числа]],0)</f>
        <v>0</v>
      </c>
      <c r="J1446" s="8">
        <f>IF(AND(Таблицаx_2[[#This Row],[Месяц окончания]]=Таблицаx_2[[#This Row],[Месяц]],Таблицаx_2[[#This Row],[id]]=A1447,EDATE(Таблицаx_2[[#This Row],[Месяц]],1)=D1447),F1447,0)</f>
        <v>0</v>
      </c>
      <c r="K1446" s="8">
        <f>IF(AND(Таблицаx_2[[#This Row],[Месяц окончания]]=Таблицаx_2[[#This Row],[Месяц]],Таблицаx_2[[#This Row],[id]]=A1447,EDATE(Таблицаx_2[[#This Row],[Месяц]],2)=D1447),F1447,0)</f>
        <v>0</v>
      </c>
    </row>
    <row r="1447" spans="1:11" ht="12.75" hidden="1" customHeight="1" x14ac:dyDescent="0.2">
      <c r="A1447" s="8">
        <v>886</v>
      </c>
      <c r="B1447" s="8"/>
      <c r="C1447" s="8" t="s">
        <v>4</v>
      </c>
      <c r="D1447" s="12">
        <v>45200</v>
      </c>
      <c r="E1447" s="8">
        <v>26020</v>
      </c>
      <c r="F1447" s="10">
        <f>IF(ISTEXT(Таблицаx_2[[#This Row],[Значение]]), 0, Таблицаx_2[[#This Row],[Значение]])</f>
        <v>26020</v>
      </c>
      <c r="G1447" s="12">
        <v>45231</v>
      </c>
      <c r="H1447" s="10" t="str">
        <f>IFERROR(VLOOKUP(Таблицаx_2[[#This Row],[id]],prolongations!A:C,2,)," ")</f>
        <v>ноябрь 2023</v>
      </c>
      <c r="I1447" s="10">
        <f>IF(Таблицаx_2[[#This Row],[Месяц окончания]]=Таблицаx_2[[#This Row],[Месяц]],Таблицаx_2[[#This Row],[Значения числа]],0)</f>
        <v>0</v>
      </c>
      <c r="J1447" s="8">
        <f>IF(AND(Таблицаx_2[[#This Row],[Месяц окончания]]=Таблицаx_2[[#This Row],[Месяц]],Таблицаx_2[[#This Row],[id]]=A1448,EDATE(Таблицаx_2[[#This Row],[Месяц]],1)=D1448),F1448,0)</f>
        <v>0</v>
      </c>
      <c r="K1447" s="8">
        <f>IF(AND(Таблицаx_2[[#This Row],[Месяц окончания]]=Таблицаx_2[[#This Row],[Месяц]],Таблицаx_2[[#This Row],[id]]=A1448,EDATE(Таблицаx_2[[#This Row],[Месяц]],2)=D1448),F1448,0)</f>
        <v>0</v>
      </c>
    </row>
    <row r="1448" spans="1:11" ht="12.75" hidden="1" customHeight="1" x14ac:dyDescent="0.2">
      <c r="A1448" s="8">
        <v>886</v>
      </c>
      <c r="B1448" s="8"/>
      <c r="C1448" s="8" t="s">
        <v>4</v>
      </c>
      <c r="D1448" s="12">
        <v>45231</v>
      </c>
      <c r="E1448" s="8" t="s">
        <v>46</v>
      </c>
      <c r="F1448" s="10">
        <f>IF(ISTEXT(Таблицаx_2[[#This Row],[Значение]]), 0, Таблицаx_2[[#This Row],[Значение]])</f>
        <v>0</v>
      </c>
      <c r="G1448" s="12">
        <v>45231</v>
      </c>
      <c r="H1448" s="10" t="str">
        <f>IFERROR(VLOOKUP(Таблицаx_2[[#This Row],[id]],prolongations!A:C,2,)," ")</f>
        <v>ноябрь 2023</v>
      </c>
      <c r="I1448" s="10">
        <f>IF(Таблицаx_2[[#This Row],[Месяц окончания]]=Таблицаx_2[[#This Row],[Месяц]],Таблицаx_2[[#This Row],[Значения числа]],0)</f>
        <v>0</v>
      </c>
      <c r="J1448" s="8">
        <f>IF(AND(Таблицаx_2[[#This Row],[Месяц окончания]]=Таблицаx_2[[#This Row],[Месяц]],Таблицаx_2[[#This Row],[id]]=A1449,EDATE(Таблицаx_2[[#This Row],[Месяц]],1)=D1449),F1449,0)</f>
        <v>0</v>
      </c>
      <c r="K1448" s="8">
        <f>IF(AND(Таблицаx_2[[#This Row],[Месяц окончания]]=Таблицаx_2[[#This Row],[Месяц]],Таблицаx_2[[#This Row],[id]]=A1449,EDATE(Таблицаx_2[[#This Row],[Месяц]],2)=D1449),F1449,0)</f>
        <v>0</v>
      </c>
    </row>
    <row r="1449" spans="1:11" ht="12.75" hidden="1" customHeight="1" x14ac:dyDescent="0.2">
      <c r="A1449" s="8">
        <v>866</v>
      </c>
      <c r="B1449" s="8"/>
      <c r="C1449" s="8" t="s">
        <v>6</v>
      </c>
      <c r="D1449" s="12">
        <v>45078</v>
      </c>
      <c r="E1449" s="8">
        <v>82000</v>
      </c>
      <c r="F1449" s="10">
        <f>IF(ISTEXT(Таблицаx_2[[#This Row],[Значение]]), 0, Таблицаx_2[[#This Row],[Значение]])</f>
        <v>82000</v>
      </c>
      <c r="G1449" s="12">
        <v>45231</v>
      </c>
      <c r="H1449" s="10" t="str">
        <f>IFERROR(VLOOKUP(Таблицаx_2[[#This Row],[id]],prolongations!A:C,2,)," ")</f>
        <v>ноябрь 2023</v>
      </c>
      <c r="I1449" s="10">
        <f>IF(Таблицаx_2[[#This Row],[Месяц окончания]]=Таблицаx_2[[#This Row],[Месяц]],Таблицаx_2[[#This Row],[Значения числа]],0)</f>
        <v>0</v>
      </c>
      <c r="J1449" s="8">
        <f>IF(AND(Таблицаx_2[[#This Row],[Месяц окончания]]=Таблицаx_2[[#This Row],[Месяц]],Таблицаx_2[[#This Row],[id]]=A1450,EDATE(Таблицаx_2[[#This Row],[Месяц]],1)=D1450),F1450,0)</f>
        <v>0</v>
      </c>
      <c r="K1449" s="8">
        <f>IF(AND(Таблицаx_2[[#This Row],[Месяц окончания]]=Таблицаx_2[[#This Row],[Месяц]],Таблицаx_2[[#This Row],[id]]=A1450,EDATE(Таблицаx_2[[#This Row],[Месяц]],2)=D1450),F1450,0)</f>
        <v>0</v>
      </c>
    </row>
    <row r="1450" spans="1:11" ht="12.75" hidden="1" customHeight="1" x14ac:dyDescent="0.2">
      <c r="A1450" s="8">
        <v>866</v>
      </c>
      <c r="B1450" s="8"/>
      <c r="C1450" s="8" t="s">
        <v>6</v>
      </c>
      <c r="D1450" s="12">
        <v>45108</v>
      </c>
      <c r="E1450" s="8">
        <v>94870</v>
      </c>
      <c r="F1450" s="10">
        <f>IF(ISTEXT(Таблицаx_2[[#This Row],[Значение]]), 0, Таблицаx_2[[#This Row],[Значение]])</f>
        <v>94870</v>
      </c>
      <c r="G1450" s="12">
        <v>45231</v>
      </c>
      <c r="H1450" s="10" t="str">
        <f>IFERROR(VLOOKUP(Таблицаx_2[[#This Row],[id]],prolongations!A:C,2,)," ")</f>
        <v>ноябрь 2023</v>
      </c>
      <c r="I1450" s="10">
        <f>IF(Таблицаx_2[[#This Row],[Месяц окончания]]=Таблицаx_2[[#This Row],[Месяц]],Таблицаx_2[[#This Row],[Значения числа]],0)</f>
        <v>0</v>
      </c>
      <c r="J1450" s="8">
        <f>IF(AND(Таблицаx_2[[#This Row],[Месяц окончания]]=Таблицаx_2[[#This Row],[Месяц]],Таблицаx_2[[#This Row],[id]]=A1451,EDATE(Таблицаx_2[[#This Row],[Месяц]],1)=D1451),F1451,0)</f>
        <v>0</v>
      </c>
      <c r="K1450" s="8">
        <f>IF(AND(Таблицаx_2[[#This Row],[Месяц окончания]]=Таблицаx_2[[#This Row],[Месяц]],Таблицаx_2[[#This Row],[id]]=A1451,EDATE(Таблицаx_2[[#This Row],[Месяц]],2)=D1451),F1451,0)</f>
        <v>0</v>
      </c>
    </row>
    <row r="1451" spans="1:11" ht="12.75" hidden="1" customHeight="1" x14ac:dyDescent="0.2">
      <c r="A1451" s="8">
        <v>866</v>
      </c>
      <c r="B1451" s="8"/>
      <c r="C1451" s="8" t="s">
        <v>6</v>
      </c>
      <c r="D1451" s="12">
        <v>45139</v>
      </c>
      <c r="E1451" s="8">
        <v>87940</v>
      </c>
      <c r="F1451" s="10">
        <f>IF(ISTEXT(Таблицаx_2[[#This Row],[Значение]]), 0, Таблицаx_2[[#This Row],[Значение]])</f>
        <v>87940</v>
      </c>
      <c r="G1451" s="12">
        <v>45231</v>
      </c>
      <c r="H1451" s="10" t="str">
        <f>IFERROR(VLOOKUP(Таблицаx_2[[#This Row],[id]],prolongations!A:C,2,)," ")</f>
        <v>ноябрь 2023</v>
      </c>
      <c r="I1451" s="10">
        <f>IF(Таблицаx_2[[#This Row],[Месяц окончания]]=Таблицаx_2[[#This Row],[Месяц]],Таблицаx_2[[#This Row],[Значения числа]],0)</f>
        <v>0</v>
      </c>
      <c r="J1451" s="8">
        <f>IF(AND(Таблицаx_2[[#This Row],[Месяц окончания]]=Таблицаx_2[[#This Row],[Месяц]],Таблицаx_2[[#This Row],[id]]=A1452,EDATE(Таблицаx_2[[#This Row],[Месяц]],1)=D1452),F1452,0)</f>
        <v>0</v>
      </c>
      <c r="K1451" s="8">
        <f>IF(AND(Таблицаx_2[[#This Row],[Месяц окончания]]=Таблицаx_2[[#This Row],[Месяц]],Таблицаx_2[[#This Row],[id]]=A1452,EDATE(Таблицаx_2[[#This Row],[Месяц]],2)=D1452),F1452,0)</f>
        <v>0</v>
      </c>
    </row>
    <row r="1452" spans="1:11" ht="12.75" hidden="1" customHeight="1" x14ac:dyDescent="0.2">
      <c r="A1452" s="8">
        <v>866</v>
      </c>
      <c r="B1452" s="8"/>
      <c r="C1452" s="8" t="s">
        <v>6</v>
      </c>
      <c r="D1452" s="12">
        <v>45170</v>
      </c>
      <c r="E1452" s="8">
        <v>105550</v>
      </c>
      <c r="F1452" s="10">
        <f>IF(ISTEXT(Таблицаx_2[[#This Row],[Значение]]), 0, Таблицаx_2[[#This Row],[Значение]])</f>
        <v>105550</v>
      </c>
      <c r="G1452" s="12">
        <v>45231</v>
      </c>
      <c r="H1452" s="10" t="str">
        <f>IFERROR(VLOOKUP(Таблицаx_2[[#This Row],[id]],prolongations!A:C,2,)," ")</f>
        <v>ноябрь 2023</v>
      </c>
      <c r="I1452" s="10">
        <f>IF(Таблицаx_2[[#This Row],[Месяц окончания]]=Таблицаx_2[[#This Row],[Месяц]],Таблицаx_2[[#This Row],[Значения числа]],0)</f>
        <v>0</v>
      </c>
      <c r="J1452" s="8">
        <f>IF(AND(Таблицаx_2[[#This Row],[Месяц окончания]]=Таблицаx_2[[#This Row],[Месяц]],Таблицаx_2[[#This Row],[id]]=A1453,EDATE(Таблицаx_2[[#This Row],[Месяц]],1)=D1453),F1453,0)</f>
        <v>0</v>
      </c>
      <c r="K1452" s="8">
        <f>IF(AND(Таблицаx_2[[#This Row],[Месяц окончания]]=Таблицаx_2[[#This Row],[Месяц]],Таблицаx_2[[#This Row],[id]]=A1453,EDATE(Таблицаx_2[[#This Row],[Месяц]],2)=D1453),F1453,0)</f>
        <v>0</v>
      </c>
    </row>
    <row r="1453" spans="1:11" ht="12.75" hidden="1" customHeight="1" x14ac:dyDescent="0.2">
      <c r="A1453" s="8">
        <v>866</v>
      </c>
      <c r="B1453" s="8"/>
      <c r="C1453" s="8" t="s">
        <v>6</v>
      </c>
      <c r="D1453" s="12">
        <v>45200</v>
      </c>
      <c r="E1453" s="8">
        <v>94450</v>
      </c>
      <c r="F1453" s="10">
        <f>IF(ISTEXT(Таблицаx_2[[#This Row],[Значение]]), 0, Таблицаx_2[[#This Row],[Значение]])</f>
        <v>94450</v>
      </c>
      <c r="G1453" s="12">
        <v>45231</v>
      </c>
      <c r="H1453" s="10" t="str">
        <f>IFERROR(VLOOKUP(Таблицаx_2[[#This Row],[id]],prolongations!A:C,2,)," ")</f>
        <v>ноябрь 2023</v>
      </c>
      <c r="I1453" s="10">
        <f>IF(Таблицаx_2[[#This Row],[Месяц окончания]]=Таблицаx_2[[#This Row],[Месяц]],Таблицаx_2[[#This Row],[Значения числа]],0)</f>
        <v>0</v>
      </c>
      <c r="J1453" s="8">
        <f>IF(AND(Таблицаx_2[[#This Row],[Месяц окончания]]=Таблицаx_2[[#This Row],[Месяц]],Таблицаx_2[[#This Row],[id]]=A1454,EDATE(Таблицаx_2[[#This Row],[Месяц]],1)=D1454),F1454,0)</f>
        <v>0</v>
      </c>
      <c r="K1453" s="8">
        <f>IF(AND(Таблицаx_2[[#This Row],[Месяц окончания]]=Таблицаx_2[[#This Row],[Месяц]],Таблицаx_2[[#This Row],[id]]=A1454,EDATE(Таблицаx_2[[#This Row],[Месяц]],2)=D1454),F1454,0)</f>
        <v>0</v>
      </c>
    </row>
    <row r="1454" spans="1:11" ht="12.75" hidden="1" customHeight="1" x14ac:dyDescent="0.2">
      <c r="A1454" s="8">
        <v>866</v>
      </c>
      <c r="B1454" s="8"/>
      <c r="C1454" s="8" t="s">
        <v>6</v>
      </c>
      <c r="D1454" s="12">
        <v>45231</v>
      </c>
      <c r="E1454" s="8">
        <v>103070</v>
      </c>
      <c r="F1454" s="10">
        <f>IF(ISTEXT(Таблицаx_2[[#This Row],[Значение]]), 0, Таблицаx_2[[#This Row],[Значение]])</f>
        <v>103070</v>
      </c>
      <c r="G1454" s="12">
        <v>45231</v>
      </c>
      <c r="H1454" s="10" t="str">
        <f>IFERROR(VLOOKUP(Таблицаx_2[[#This Row],[id]],prolongations!A:C,2,)," ")</f>
        <v>ноябрь 2023</v>
      </c>
      <c r="I1454" s="10">
        <f>IF(Таблицаx_2[[#This Row],[Месяц окончания]]=Таблицаx_2[[#This Row],[Месяц]],Таблицаx_2[[#This Row],[Значения числа]],0)</f>
        <v>103070</v>
      </c>
      <c r="J1454" s="8">
        <f>IF(AND(Таблицаx_2[[#This Row],[Месяц окончания]]=Таблицаx_2[[#This Row],[Месяц]],Таблицаx_2[[#This Row],[id]]=A1455,EDATE(Таблицаx_2[[#This Row],[Месяц]],1)=D1455),F1455,0)</f>
        <v>0</v>
      </c>
      <c r="K1454" s="8">
        <f>IF(AND(Таблицаx_2[[#This Row],[Месяц окончания]]=Таблицаx_2[[#This Row],[Месяц]],Таблицаx_2[[#This Row],[id]]=A1455,EDATE(Таблицаx_2[[#This Row],[Месяц]],2)=D1455),F1455,0)</f>
        <v>0</v>
      </c>
    </row>
    <row r="1455" spans="1:11" ht="12.75" hidden="1" customHeight="1" x14ac:dyDescent="0.2">
      <c r="A1455" s="8">
        <v>954</v>
      </c>
      <c r="B1455" s="8"/>
      <c r="C1455" s="8" t="s">
        <v>6</v>
      </c>
      <c r="D1455" s="12">
        <v>45170</v>
      </c>
      <c r="E1455" s="8">
        <v>135000</v>
      </c>
      <c r="F1455" s="10">
        <f>IF(ISTEXT(Таблицаx_2[[#This Row],[Значение]]), 0, Таблицаx_2[[#This Row],[Значение]])</f>
        <v>135000</v>
      </c>
      <c r="G1455" s="12">
        <v>45231</v>
      </c>
      <c r="H1455" s="10" t="str">
        <f>IFERROR(VLOOKUP(Таблицаx_2[[#This Row],[id]],prolongations!A:C,2,)," ")</f>
        <v>ноябрь 2023</v>
      </c>
      <c r="I1455" s="10">
        <f>IF(Таблицаx_2[[#This Row],[Месяц окончания]]=Таблицаx_2[[#This Row],[Месяц]],Таблицаx_2[[#This Row],[Значения числа]],0)</f>
        <v>0</v>
      </c>
      <c r="J1455" s="8">
        <f>IF(AND(Таблицаx_2[[#This Row],[Месяц окончания]]=Таблицаx_2[[#This Row],[Месяц]],Таблицаx_2[[#This Row],[id]]=A1456,EDATE(Таблицаx_2[[#This Row],[Месяц]],1)=D1456),F1456,0)</f>
        <v>0</v>
      </c>
      <c r="K1455" s="8">
        <f>IF(AND(Таблицаx_2[[#This Row],[Месяц окончания]]=Таблицаx_2[[#This Row],[Месяц]],Таблицаx_2[[#This Row],[id]]=A1456,EDATE(Таблицаx_2[[#This Row],[Месяц]],2)=D1456),F1456,0)</f>
        <v>0</v>
      </c>
    </row>
    <row r="1456" spans="1:11" ht="12.75" hidden="1" customHeight="1" x14ac:dyDescent="0.2">
      <c r="A1456" s="8">
        <v>954</v>
      </c>
      <c r="B1456" s="8"/>
      <c r="C1456" s="8" t="s">
        <v>6</v>
      </c>
      <c r="D1456" s="12">
        <v>45200</v>
      </c>
      <c r="E1456" s="8">
        <v>135000</v>
      </c>
      <c r="F1456" s="10">
        <f>IF(ISTEXT(Таблицаx_2[[#This Row],[Значение]]), 0, Таблицаx_2[[#This Row],[Значение]])</f>
        <v>135000</v>
      </c>
      <c r="G1456" s="12">
        <v>45231</v>
      </c>
      <c r="H1456" s="10" t="str">
        <f>IFERROR(VLOOKUP(Таблицаx_2[[#This Row],[id]],prolongations!A:C,2,)," ")</f>
        <v>ноябрь 2023</v>
      </c>
      <c r="I1456" s="10">
        <f>IF(Таблицаx_2[[#This Row],[Месяц окончания]]=Таблицаx_2[[#This Row],[Месяц]],Таблицаx_2[[#This Row],[Значения числа]],0)</f>
        <v>0</v>
      </c>
      <c r="J1456" s="8">
        <f>IF(AND(Таблицаx_2[[#This Row],[Месяц окончания]]=Таблицаx_2[[#This Row],[Месяц]],Таблицаx_2[[#This Row],[id]]=A1457,EDATE(Таблицаx_2[[#This Row],[Месяц]],1)=D1457),F1457,0)</f>
        <v>0</v>
      </c>
      <c r="K1456" s="8">
        <f>IF(AND(Таблицаx_2[[#This Row],[Месяц окончания]]=Таблицаx_2[[#This Row],[Месяц]],Таблицаx_2[[#This Row],[id]]=A1457,EDATE(Таблицаx_2[[#This Row],[Месяц]],2)=D1457),F1457,0)</f>
        <v>0</v>
      </c>
    </row>
    <row r="1457" spans="1:11" ht="12.75" hidden="1" customHeight="1" x14ac:dyDescent="0.2">
      <c r="A1457" s="8">
        <v>954</v>
      </c>
      <c r="B1457" s="8"/>
      <c r="C1457" s="8" t="s">
        <v>6</v>
      </c>
      <c r="D1457" s="12">
        <v>45231</v>
      </c>
      <c r="E1457" s="8">
        <v>135000</v>
      </c>
      <c r="F1457" s="10">
        <f>IF(ISTEXT(Таблицаx_2[[#This Row],[Значение]]), 0, Таблицаx_2[[#This Row],[Значение]])</f>
        <v>135000</v>
      </c>
      <c r="G1457" s="12">
        <v>45231</v>
      </c>
      <c r="H1457" s="10" t="str">
        <f>IFERROR(VLOOKUP(Таблицаx_2[[#This Row],[id]],prolongations!A:C,2,)," ")</f>
        <v>ноябрь 2023</v>
      </c>
      <c r="I1457" s="10">
        <f>IF(Таблицаx_2[[#This Row],[Месяц окончания]]=Таблицаx_2[[#This Row],[Месяц]],Таблицаx_2[[#This Row],[Значения числа]],0)</f>
        <v>135000</v>
      </c>
      <c r="J1457" s="8">
        <f>IF(AND(Таблицаx_2[[#This Row],[Месяц окончания]]=Таблицаx_2[[#This Row],[Месяц]],Таблицаx_2[[#This Row],[id]]=A1458,EDATE(Таблицаx_2[[#This Row],[Месяц]],1)=D1458),F1458,0)</f>
        <v>35000</v>
      </c>
      <c r="K1457" s="8">
        <f>IF(AND(Таблицаx_2[[#This Row],[Месяц окончания]]=Таблицаx_2[[#This Row],[Месяц]],Таблицаx_2[[#This Row],[id]]=A1458,EDATE(Таблицаx_2[[#This Row],[Месяц]],2)=D1458),F1458,0)</f>
        <v>0</v>
      </c>
    </row>
    <row r="1458" spans="1:11" ht="12.75" hidden="1" customHeight="1" x14ac:dyDescent="0.2">
      <c r="A1458" s="8">
        <v>954</v>
      </c>
      <c r="B1458" s="8"/>
      <c r="C1458" s="8" t="s">
        <v>6</v>
      </c>
      <c r="D1458" s="12">
        <v>45261</v>
      </c>
      <c r="E1458" s="8">
        <v>35000</v>
      </c>
      <c r="F1458" s="10">
        <f>IF(ISTEXT(Таблицаx_2[[#This Row],[Значение]]), 0, Таблицаx_2[[#This Row],[Значение]])</f>
        <v>35000</v>
      </c>
      <c r="G1458" s="12">
        <v>45231</v>
      </c>
      <c r="H1458" s="10" t="str">
        <f>IFERROR(VLOOKUP(Таблицаx_2[[#This Row],[id]],prolongations!A:C,2,)," ")</f>
        <v>ноябрь 2023</v>
      </c>
      <c r="I1458" s="10">
        <f>IF(Таблицаx_2[[#This Row],[Месяц окончания]]=Таблицаx_2[[#This Row],[Месяц]],Таблицаx_2[[#This Row],[Значения числа]],0)</f>
        <v>0</v>
      </c>
      <c r="J1458" s="8">
        <f>IF(AND(Таблицаx_2[[#This Row],[Месяц окончания]]=Таблицаx_2[[#This Row],[Месяц]],Таблицаx_2[[#This Row],[id]]=A1459,EDATE(Таблицаx_2[[#This Row],[Месяц]],1)=D1459),F1459,0)</f>
        <v>0</v>
      </c>
      <c r="K1458" s="8">
        <f>IF(AND(Таблицаx_2[[#This Row],[Месяц окончания]]=Таблицаx_2[[#This Row],[Месяц]],Таблицаx_2[[#This Row],[id]]=A1459,EDATE(Таблицаx_2[[#This Row],[Месяц]],2)=D1459),F1459,0)</f>
        <v>0</v>
      </c>
    </row>
    <row r="1459" spans="1:11" ht="12.75" hidden="1" customHeight="1" x14ac:dyDescent="0.2">
      <c r="A1459" s="8">
        <v>954</v>
      </c>
      <c r="B1459" s="8"/>
      <c r="C1459" s="8" t="s">
        <v>6</v>
      </c>
      <c r="D1459" s="12">
        <v>45292</v>
      </c>
      <c r="E1459" s="8" t="s">
        <v>48</v>
      </c>
      <c r="F1459" s="10">
        <f>IF(ISTEXT(Таблицаx_2[[#This Row],[Значение]]), 0, Таблицаx_2[[#This Row],[Значение]])</f>
        <v>0</v>
      </c>
      <c r="G1459" s="12">
        <v>45231</v>
      </c>
      <c r="H1459" s="10" t="str">
        <f>IFERROR(VLOOKUP(Таблицаx_2[[#This Row],[id]],prolongations!A:C,2,)," ")</f>
        <v>ноябрь 2023</v>
      </c>
      <c r="I1459" s="10">
        <f>IF(Таблицаx_2[[#This Row],[Месяц окончания]]=Таблицаx_2[[#This Row],[Месяц]],Таблицаx_2[[#This Row],[Значения числа]],0)</f>
        <v>0</v>
      </c>
      <c r="J1459" s="8">
        <f>IF(AND(Таблицаx_2[[#This Row],[Месяц окончания]]=Таблицаx_2[[#This Row],[Месяц]],Таблицаx_2[[#This Row],[id]]=A1460,EDATE(Таблицаx_2[[#This Row],[Месяц]],1)=D1460),F1460,0)</f>
        <v>0</v>
      </c>
      <c r="K1459" s="8">
        <f>IF(AND(Таблицаx_2[[#This Row],[Месяц окончания]]=Таблицаx_2[[#This Row],[Месяц]],Таблицаx_2[[#This Row],[id]]=A1460,EDATE(Таблицаx_2[[#This Row],[Месяц]],2)=D1460),F1460,0)</f>
        <v>0</v>
      </c>
    </row>
    <row r="1460" spans="1:11" ht="12.75" hidden="1" customHeight="1" x14ac:dyDescent="0.2">
      <c r="A1460" s="8">
        <v>954</v>
      </c>
      <c r="B1460" s="8"/>
      <c r="C1460" s="8" t="s">
        <v>6</v>
      </c>
      <c r="D1460" s="12">
        <v>45323</v>
      </c>
      <c r="E1460" s="8" t="s">
        <v>48</v>
      </c>
      <c r="F1460" s="10">
        <f>IF(ISTEXT(Таблицаx_2[[#This Row],[Значение]]), 0, Таблицаx_2[[#This Row],[Значение]])</f>
        <v>0</v>
      </c>
      <c r="G1460" s="12">
        <v>45231</v>
      </c>
      <c r="H1460" s="10" t="str">
        <f>IFERROR(VLOOKUP(Таблицаx_2[[#This Row],[id]],prolongations!A:C,2,)," ")</f>
        <v>ноябрь 2023</v>
      </c>
      <c r="I1460" s="10">
        <f>IF(Таблицаx_2[[#This Row],[Месяц окончания]]=Таблицаx_2[[#This Row],[Месяц]],Таблицаx_2[[#This Row],[Значения числа]],0)</f>
        <v>0</v>
      </c>
      <c r="J1460" s="8">
        <f>IF(AND(Таблицаx_2[[#This Row],[Месяц окончания]]=Таблицаx_2[[#This Row],[Месяц]],Таблицаx_2[[#This Row],[id]]=A1461,EDATE(Таблицаx_2[[#This Row],[Месяц]],1)=D1461),F1461,0)</f>
        <v>0</v>
      </c>
      <c r="K1460" s="8">
        <f>IF(AND(Таблицаx_2[[#This Row],[Месяц окончания]]=Таблицаx_2[[#This Row],[Месяц]],Таблицаx_2[[#This Row],[id]]=A1461,EDATE(Таблицаx_2[[#This Row],[Месяц]],2)=D1461),F1461,0)</f>
        <v>0</v>
      </c>
    </row>
    <row r="1461" spans="1:11" ht="12.75" hidden="1" customHeight="1" x14ac:dyDescent="0.2">
      <c r="A1461" s="8">
        <v>873</v>
      </c>
      <c r="B1461" s="8"/>
      <c r="C1461" s="8" t="s">
        <v>8</v>
      </c>
      <c r="D1461" s="12">
        <v>45078</v>
      </c>
      <c r="E1461" s="8">
        <v>99855</v>
      </c>
      <c r="F1461" s="10">
        <f>IF(ISTEXT(Таблицаx_2[[#This Row],[Значение]]), 0, Таблицаx_2[[#This Row],[Значение]])</f>
        <v>99855</v>
      </c>
      <c r="G1461" s="12">
        <v>45231</v>
      </c>
      <c r="H1461" s="10" t="str">
        <f>IFERROR(VLOOKUP(Таблицаx_2[[#This Row],[id]],prolongations!A:C,2,)," ")</f>
        <v>ноябрь 2023</v>
      </c>
      <c r="I1461" s="10">
        <f>IF(Таблицаx_2[[#This Row],[Месяц окончания]]=Таблицаx_2[[#This Row],[Месяц]],Таблицаx_2[[#This Row],[Значения числа]],0)</f>
        <v>0</v>
      </c>
      <c r="J1461" s="8">
        <f>IF(AND(Таблицаx_2[[#This Row],[Месяц окончания]]=Таблицаx_2[[#This Row],[Месяц]],Таблицаx_2[[#This Row],[id]]=A1462,EDATE(Таблицаx_2[[#This Row],[Месяц]],1)=D1462),F1462,0)</f>
        <v>0</v>
      </c>
      <c r="K1461" s="8">
        <f>IF(AND(Таблицаx_2[[#This Row],[Месяц окончания]]=Таблицаx_2[[#This Row],[Месяц]],Таблицаx_2[[#This Row],[id]]=A1462,EDATE(Таблицаx_2[[#This Row],[Месяц]],2)=D1462),F1462,0)</f>
        <v>0</v>
      </c>
    </row>
    <row r="1462" spans="1:11" ht="12.75" hidden="1" customHeight="1" x14ac:dyDescent="0.2">
      <c r="A1462" s="8">
        <v>873</v>
      </c>
      <c r="B1462" s="8"/>
      <c r="C1462" s="8" t="s">
        <v>8</v>
      </c>
      <c r="D1462" s="12">
        <v>45108</v>
      </c>
      <c r="E1462" s="8">
        <v>97775</v>
      </c>
      <c r="F1462" s="10">
        <f>IF(ISTEXT(Таблицаx_2[[#This Row],[Значение]]), 0, Таблицаx_2[[#This Row],[Значение]])</f>
        <v>97775</v>
      </c>
      <c r="G1462" s="12">
        <v>45231</v>
      </c>
      <c r="H1462" s="10" t="str">
        <f>IFERROR(VLOOKUP(Таблицаx_2[[#This Row],[id]],prolongations!A:C,2,)," ")</f>
        <v>ноябрь 2023</v>
      </c>
      <c r="I1462" s="10">
        <f>IF(Таблицаx_2[[#This Row],[Месяц окончания]]=Таблицаx_2[[#This Row],[Месяц]],Таблицаx_2[[#This Row],[Значения числа]],0)</f>
        <v>0</v>
      </c>
      <c r="J1462" s="8">
        <f>IF(AND(Таблицаx_2[[#This Row],[Месяц окончания]]=Таблицаx_2[[#This Row],[Месяц]],Таблицаx_2[[#This Row],[id]]=A1463,EDATE(Таблицаx_2[[#This Row],[Месяц]],1)=D1463),F1463,0)</f>
        <v>0</v>
      </c>
      <c r="K1462" s="8">
        <f>IF(AND(Таблицаx_2[[#This Row],[Месяц окончания]]=Таблицаx_2[[#This Row],[Месяц]],Таблицаx_2[[#This Row],[id]]=A1463,EDATE(Таблицаx_2[[#This Row],[Месяц]],2)=D1463),F1463,0)</f>
        <v>0</v>
      </c>
    </row>
    <row r="1463" spans="1:11" ht="12.75" hidden="1" customHeight="1" x14ac:dyDescent="0.2">
      <c r="A1463" s="8">
        <v>873</v>
      </c>
      <c r="B1463" s="8"/>
      <c r="C1463" s="8" t="s">
        <v>8</v>
      </c>
      <c r="D1463" s="12">
        <v>45139</v>
      </c>
      <c r="E1463" s="8">
        <v>97775</v>
      </c>
      <c r="F1463" s="10">
        <f>IF(ISTEXT(Таблицаx_2[[#This Row],[Значение]]), 0, Таблицаx_2[[#This Row],[Значение]])</f>
        <v>97775</v>
      </c>
      <c r="G1463" s="12">
        <v>45231</v>
      </c>
      <c r="H1463" s="10" t="str">
        <f>IFERROR(VLOOKUP(Таблицаx_2[[#This Row],[id]],prolongations!A:C,2,)," ")</f>
        <v>ноябрь 2023</v>
      </c>
      <c r="I1463" s="10">
        <f>IF(Таблицаx_2[[#This Row],[Месяц окончания]]=Таблицаx_2[[#This Row],[Месяц]],Таблицаx_2[[#This Row],[Значения числа]],0)</f>
        <v>0</v>
      </c>
      <c r="J1463" s="8">
        <f>IF(AND(Таблицаx_2[[#This Row],[Месяц окончания]]=Таблицаx_2[[#This Row],[Месяц]],Таблицаx_2[[#This Row],[id]]=A1464,EDATE(Таблицаx_2[[#This Row],[Месяц]],1)=D1464),F1464,0)</f>
        <v>0</v>
      </c>
      <c r="K1463" s="8">
        <f>IF(AND(Таблицаx_2[[#This Row],[Месяц окончания]]=Таблицаx_2[[#This Row],[Месяц]],Таблицаx_2[[#This Row],[id]]=A1464,EDATE(Таблицаx_2[[#This Row],[Месяц]],2)=D1464),F1464,0)</f>
        <v>0</v>
      </c>
    </row>
    <row r="1464" spans="1:11" ht="12.75" hidden="1" customHeight="1" x14ac:dyDescent="0.2">
      <c r="A1464" s="8">
        <v>873</v>
      </c>
      <c r="B1464" s="8"/>
      <c r="C1464" s="8" t="s">
        <v>8</v>
      </c>
      <c r="D1464" s="12">
        <v>45170</v>
      </c>
      <c r="E1464" s="8">
        <v>98830</v>
      </c>
      <c r="F1464" s="10">
        <f>IF(ISTEXT(Таблицаx_2[[#This Row],[Значение]]), 0, Таблицаx_2[[#This Row],[Значение]])</f>
        <v>98830</v>
      </c>
      <c r="G1464" s="12">
        <v>45231</v>
      </c>
      <c r="H1464" s="10" t="str">
        <f>IFERROR(VLOOKUP(Таблицаx_2[[#This Row],[id]],prolongations!A:C,2,)," ")</f>
        <v>ноябрь 2023</v>
      </c>
      <c r="I1464" s="10">
        <f>IF(Таблицаx_2[[#This Row],[Месяц окончания]]=Таблицаx_2[[#This Row],[Месяц]],Таблицаx_2[[#This Row],[Значения числа]],0)</f>
        <v>0</v>
      </c>
      <c r="J1464" s="8">
        <f>IF(AND(Таблицаx_2[[#This Row],[Месяц окончания]]=Таблицаx_2[[#This Row],[Месяц]],Таблицаx_2[[#This Row],[id]]=A1465,EDATE(Таблицаx_2[[#This Row],[Месяц]],1)=D1465),F1465,0)</f>
        <v>0</v>
      </c>
      <c r="K1464" s="8">
        <f>IF(AND(Таблицаx_2[[#This Row],[Месяц окончания]]=Таблицаx_2[[#This Row],[Месяц]],Таблицаx_2[[#This Row],[id]]=A1465,EDATE(Таблицаx_2[[#This Row],[Месяц]],2)=D1465),F1465,0)</f>
        <v>0</v>
      </c>
    </row>
    <row r="1465" spans="1:11" ht="12.75" hidden="1" customHeight="1" x14ac:dyDescent="0.2">
      <c r="A1465" s="8">
        <v>873</v>
      </c>
      <c r="B1465" s="8"/>
      <c r="C1465" s="8" t="s">
        <v>8</v>
      </c>
      <c r="D1465" s="12">
        <v>45200</v>
      </c>
      <c r="E1465" s="8" t="s">
        <v>46</v>
      </c>
      <c r="F1465" s="10">
        <f>IF(ISTEXT(Таблицаx_2[[#This Row],[Значение]]), 0, Таблицаx_2[[#This Row],[Значение]])</f>
        <v>0</v>
      </c>
      <c r="G1465" s="12">
        <v>45231</v>
      </c>
      <c r="H1465" s="10" t="str">
        <f>IFERROR(VLOOKUP(Таблицаx_2[[#This Row],[id]],prolongations!A:C,2,)," ")</f>
        <v>ноябрь 2023</v>
      </c>
      <c r="I1465" s="10">
        <f>IF(Таблицаx_2[[#This Row],[Месяц окончания]]=Таблицаx_2[[#This Row],[Месяц]],Таблицаx_2[[#This Row],[Значения числа]],0)</f>
        <v>0</v>
      </c>
      <c r="J1465" s="8">
        <f>IF(AND(Таблицаx_2[[#This Row],[Месяц окончания]]=Таблицаx_2[[#This Row],[Месяц]],Таблицаx_2[[#This Row],[id]]=A1466,EDATE(Таблицаx_2[[#This Row],[Месяц]],1)=D1466),F1466,0)</f>
        <v>0</v>
      </c>
      <c r="K1465" s="8">
        <f>IF(AND(Таблицаx_2[[#This Row],[Месяц окончания]]=Таблицаx_2[[#This Row],[Месяц]],Таблицаx_2[[#This Row],[id]]=A1466,EDATE(Таблицаx_2[[#This Row],[Месяц]],2)=D1466),F1466,0)</f>
        <v>0</v>
      </c>
    </row>
    <row r="1466" spans="1:11" ht="12.75" hidden="1" customHeight="1" x14ac:dyDescent="0.2">
      <c r="A1466" s="8">
        <v>900</v>
      </c>
      <c r="B1466" s="8" t="s">
        <v>52</v>
      </c>
      <c r="C1466" s="8" t="s">
        <v>10</v>
      </c>
      <c r="D1466" s="12">
        <v>45108</v>
      </c>
      <c r="E1466" s="8">
        <v>50350</v>
      </c>
      <c r="F1466" s="10">
        <f>IF(ISTEXT(Таблицаx_2[[#This Row],[Значение]]), 0, Таблицаx_2[[#This Row],[Значение]])</f>
        <v>50350</v>
      </c>
      <c r="G1466" s="12">
        <v>45231</v>
      </c>
      <c r="H1466" s="10" t="str">
        <f>IFERROR(VLOOKUP(Таблицаx_2[[#This Row],[id]],prolongations!A:C,2,)," ")</f>
        <v>ноябрь 2023</v>
      </c>
      <c r="I1466" s="10">
        <f>IF(Таблицаx_2[[#This Row],[Месяц окончания]]=Таблицаx_2[[#This Row],[Месяц]],Таблицаx_2[[#This Row],[Значения числа]],0)</f>
        <v>0</v>
      </c>
      <c r="J1466" s="8">
        <f>IF(AND(Таблицаx_2[[#This Row],[Месяц окончания]]=Таблицаx_2[[#This Row],[Месяц]],Таблицаx_2[[#This Row],[id]]=A1467,EDATE(Таблицаx_2[[#This Row],[Месяц]],1)=D1467),F1467,0)</f>
        <v>0</v>
      </c>
      <c r="K1466" s="8">
        <f>IF(AND(Таблицаx_2[[#This Row],[Месяц окончания]]=Таблицаx_2[[#This Row],[Месяц]],Таблицаx_2[[#This Row],[id]]=A1467,EDATE(Таблицаx_2[[#This Row],[Месяц]],2)=D1467),F1467,0)</f>
        <v>0</v>
      </c>
    </row>
    <row r="1467" spans="1:11" ht="12.75" hidden="1" customHeight="1" x14ac:dyDescent="0.2">
      <c r="A1467" s="8">
        <v>900</v>
      </c>
      <c r="B1467" s="8" t="s">
        <v>52</v>
      </c>
      <c r="C1467" s="8" t="s">
        <v>10</v>
      </c>
      <c r="D1467" s="12">
        <v>45139</v>
      </c>
      <c r="E1467" s="8">
        <v>50200</v>
      </c>
      <c r="F1467" s="10">
        <f>IF(ISTEXT(Таблицаx_2[[#This Row],[Значение]]), 0, Таблицаx_2[[#This Row],[Значение]])</f>
        <v>50200</v>
      </c>
      <c r="G1467" s="12">
        <v>45231</v>
      </c>
      <c r="H1467" s="10" t="str">
        <f>IFERROR(VLOOKUP(Таблицаx_2[[#This Row],[id]],prolongations!A:C,2,)," ")</f>
        <v>ноябрь 2023</v>
      </c>
      <c r="I1467" s="10">
        <f>IF(Таблицаx_2[[#This Row],[Месяц окончания]]=Таблицаx_2[[#This Row],[Месяц]],Таблицаx_2[[#This Row],[Значения числа]],0)</f>
        <v>0</v>
      </c>
      <c r="J1467" s="8">
        <f>IF(AND(Таблицаx_2[[#This Row],[Месяц окончания]]=Таблицаx_2[[#This Row],[Месяц]],Таблицаx_2[[#This Row],[id]]=A1468,EDATE(Таблицаx_2[[#This Row],[Месяц]],1)=D1468),F1468,0)</f>
        <v>0</v>
      </c>
      <c r="K1467" s="8">
        <f>IF(AND(Таблицаx_2[[#This Row],[Месяц окончания]]=Таблицаx_2[[#This Row],[Месяц]],Таблицаx_2[[#This Row],[id]]=A1468,EDATE(Таблицаx_2[[#This Row],[Месяц]],2)=D1468),F1468,0)</f>
        <v>0</v>
      </c>
    </row>
    <row r="1468" spans="1:11" ht="12.75" hidden="1" customHeight="1" x14ac:dyDescent="0.2">
      <c r="A1468" s="8">
        <v>900</v>
      </c>
      <c r="B1468" s="8" t="s">
        <v>52</v>
      </c>
      <c r="C1468" s="8" t="s">
        <v>10</v>
      </c>
      <c r="D1468" s="12">
        <v>45170</v>
      </c>
      <c r="E1468" s="8" t="s">
        <v>46</v>
      </c>
      <c r="F1468" s="10">
        <f>IF(ISTEXT(Таблицаx_2[[#This Row],[Значение]]), 0, Таблицаx_2[[#This Row],[Значение]])</f>
        <v>0</v>
      </c>
      <c r="G1468" s="12">
        <v>45231</v>
      </c>
      <c r="H1468" s="10" t="str">
        <f>IFERROR(VLOOKUP(Таблицаx_2[[#This Row],[id]],prolongations!A:C,2,)," ")</f>
        <v>ноябрь 2023</v>
      </c>
      <c r="I1468" s="10">
        <f>IF(Таблицаx_2[[#This Row],[Месяц окончания]]=Таблицаx_2[[#This Row],[Месяц]],Таблицаx_2[[#This Row],[Значения числа]],0)</f>
        <v>0</v>
      </c>
      <c r="J1468" s="8">
        <f>IF(AND(Таблицаx_2[[#This Row],[Месяц окончания]]=Таблицаx_2[[#This Row],[Месяц]],Таблицаx_2[[#This Row],[id]]=A1469,EDATE(Таблицаx_2[[#This Row],[Месяц]],1)=D1469),F1469,0)</f>
        <v>0</v>
      </c>
      <c r="K1468" s="8">
        <f>IF(AND(Таблицаx_2[[#This Row],[Месяц окончания]]=Таблицаx_2[[#This Row],[Месяц]],Таблицаx_2[[#This Row],[id]]=A1469,EDATE(Таблицаx_2[[#This Row],[Месяц]],2)=D1469),F1469,0)</f>
        <v>0</v>
      </c>
    </row>
    <row r="1469" spans="1:11" ht="12.75" hidden="1" customHeight="1" x14ac:dyDescent="0.2">
      <c r="A1469" s="8">
        <v>900</v>
      </c>
      <c r="B1469" s="8" t="s">
        <v>50</v>
      </c>
      <c r="C1469" s="8" t="s">
        <v>10</v>
      </c>
      <c r="D1469" s="12">
        <v>45108</v>
      </c>
      <c r="E1469" s="8">
        <v>17475</v>
      </c>
      <c r="F1469" s="10">
        <f>IF(ISTEXT(Таблицаx_2[[#This Row],[Значение]]), 0, Таблицаx_2[[#This Row],[Значение]])</f>
        <v>17475</v>
      </c>
      <c r="G1469" s="12">
        <v>45231</v>
      </c>
      <c r="H1469" s="10" t="str">
        <f>IFERROR(VLOOKUP(Таблицаx_2[[#This Row],[id]],prolongations!A:C,2,)," ")</f>
        <v>ноябрь 2023</v>
      </c>
      <c r="I1469" s="10">
        <f>IF(Таблицаx_2[[#This Row],[Месяц окончания]]=Таблицаx_2[[#This Row],[Месяц]],Таблицаx_2[[#This Row],[Значения числа]],0)</f>
        <v>0</v>
      </c>
      <c r="J1469" s="8">
        <f>IF(AND(Таблицаx_2[[#This Row],[Месяц окончания]]=Таблицаx_2[[#This Row],[Месяц]],Таблицаx_2[[#This Row],[id]]=A1470,EDATE(Таблицаx_2[[#This Row],[Месяц]],1)=D1470),F1470,0)</f>
        <v>0</v>
      </c>
      <c r="K1469" s="8">
        <f>IF(AND(Таблицаx_2[[#This Row],[Месяц окончания]]=Таблицаx_2[[#This Row],[Месяц]],Таблицаx_2[[#This Row],[id]]=A1470,EDATE(Таблицаx_2[[#This Row],[Месяц]],2)=D1470),F1470,0)</f>
        <v>0</v>
      </c>
    </row>
    <row r="1470" spans="1:11" ht="12.75" hidden="1" customHeight="1" x14ac:dyDescent="0.2">
      <c r="A1470" s="8">
        <v>900</v>
      </c>
      <c r="B1470" s="8" t="s">
        <v>50</v>
      </c>
      <c r="C1470" s="8" t="s">
        <v>10</v>
      </c>
      <c r="D1470" s="12">
        <v>45139</v>
      </c>
      <c r="E1470" s="8">
        <v>17475</v>
      </c>
      <c r="F1470" s="10">
        <f>IF(ISTEXT(Таблицаx_2[[#This Row],[Значение]]), 0, Таблицаx_2[[#This Row],[Значение]])</f>
        <v>17475</v>
      </c>
      <c r="G1470" s="12">
        <v>45231</v>
      </c>
      <c r="H1470" s="10" t="str">
        <f>IFERROR(VLOOKUP(Таблицаx_2[[#This Row],[id]],prolongations!A:C,2,)," ")</f>
        <v>ноябрь 2023</v>
      </c>
      <c r="I1470" s="10">
        <f>IF(Таблицаx_2[[#This Row],[Месяц окончания]]=Таблицаx_2[[#This Row],[Месяц]],Таблицаx_2[[#This Row],[Значения числа]],0)</f>
        <v>0</v>
      </c>
      <c r="J1470" s="8">
        <f>IF(AND(Таблицаx_2[[#This Row],[Месяц окончания]]=Таблицаx_2[[#This Row],[Месяц]],Таблицаx_2[[#This Row],[id]]=A1471,EDATE(Таблицаx_2[[#This Row],[Месяц]],1)=D1471),F1471,0)</f>
        <v>0</v>
      </c>
      <c r="K1470" s="8">
        <f>IF(AND(Таблицаx_2[[#This Row],[Месяц окончания]]=Таблицаx_2[[#This Row],[Месяц]],Таблицаx_2[[#This Row],[id]]=A1471,EDATE(Таблицаx_2[[#This Row],[Месяц]],2)=D1471),F1471,0)</f>
        <v>0</v>
      </c>
    </row>
    <row r="1471" spans="1:11" ht="12.75" hidden="1" customHeight="1" x14ac:dyDescent="0.2">
      <c r="A1471" s="8">
        <v>900</v>
      </c>
      <c r="B1471" s="8" t="s">
        <v>50</v>
      </c>
      <c r="C1471" s="8" t="s">
        <v>10</v>
      </c>
      <c r="D1471" s="12">
        <v>45170</v>
      </c>
      <c r="E1471" s="8" t="s">
        <v>46</v>
      </c>
      <c r="F1471" s="10">
        <f>IF(ISTEXT(Таблицаx_2[[#This Row],[Значение]]), 0, Таблицаx_2[[#This Row],[Значение]])</f>
        <v>0</v>
      </c>
      <c r="G1471" s="12">
        <v>45231</v>
      </c>
      <c r="H1471" s="10" t="str">
        <f>IFERROR(VLOOKUP(Таблицаx_2[[#This Row],[id]],prolongations!A:C,2,)," ")</f>
        <v>ноябрь 2023</v>
      </c>
      <c r="I1471" s="10">
        <f>IF(Таблицаx_2[[#This Row],[Месяц окончания]]=Таблицаx_2[[#This Row],[Месяц]],Таблицаx_2[[#This Row],[Значения числа]],0)</f>
        <v>0</v>
      </c>
      <c r="J1471" s="8">
        <f>IF(AND(Таблицаx_2[[#This Row],[Месяц окончания]]=Таблицаx_2[[#This Row],[Месяц]],Таблицаx_2[[#This Row],[id]]=A1472,EDATE(Таблицаx_2[[#This Row],[Месяц]],1)=D1472),F1472,0)</f>
        <v>0</v>
      </c>
      <c r="K1471" s="8">
        <f>IF(AND(Таблицаx_2[[#This Row],[Месяц окончания]]=Таблицаx_2[[#This Row],[Месяц]],Таблицаx_2[[#This Row],[id]]=A1472,EDATE(Таблицаx_2[[#This Row],[Месяц]],2)=D1472),F1472,0)</f>
        <v>0</v>
      </c>
    </row>
    <row r="1472" spans="1:11" ht="12.75" hidden="1" customHeight="1" x14ac:dyDescent="0.2">
      <c r="A1472" s="8">
        <v>273</v>
      </c>
      <c r="B1472" s="8" t="s">
        <v>52</v>
      </c>
      <c r="C1472" s="8" t="s">
        <v>6</v>
      </c>
      <c r="D1472" s="12">
        <v>44866</v>
      </c>
      <c r="E1472" s="8">
        <v>106800</v>
      </c>
      <c r="F1472" s="10">
        <f>IF(ISTEXT(Таблицаx_2[[#This Row],[Значение]]), 0, Таблицаx_2[[#This Row],[Значение]])</f>
        <v>106800</v>
      </c>
      <c r="G1472" s="12">
        <v>44958</v>
      </c>
      <c r="H1472" s="10" t="str">
        <f>IFERROR(VLOOKUP(Таблицаx_2[[#This Row],[id]],prolongations!A:C,2,)," ")</f>
        <v>февраль 2023</v>
      </c>
      <c r="I1472" s="10">
        <f>IF(Таблицаx_2[[#This Row],[Месяц окончания]]=Таблицаx_2[[#This Row],[Месяц]],Таблицаx_2[[#This Row],[Значения числа]],0)</f>
        <v>0</v>
      </c>
      <c r="J1472" s="8">
        <f>IF(AND(Таблицаx_2[[#This Row],[Месяц окончания]]=Таблицаx_2[[#This Row],[Месяц]],Таблицаx_2[[#This Row],[id]]=A1473,EDATE(Таблицаx_2[[#This Row],[Месяц]],1)=D1473),F1473,0)</f>
        <v>0</v>
      </c>
      <c r="K1472" s="8">
        <f>IF(AND(Таблицаx_2[[#This Row],[Месяц окончания]]=Таблицаx_2[[#This Row],[Месяц]],Таблицаx_2[[#This Row],[id]]=A1473,EDATE(Таблицаx_2[[#This Row],[Месяц]],2)=D1473),F1473,0)</f>
        <v>0</v>
      </c>
    </row>
    <row r="1473" spans="1:11" ht="12.75" hidden="1" customHeight="1" x14ac:dyDescent="0.2">
      <c r="A1473" s="8">
        <v>273</v>
      </c>
      <c r="B1473" s="8" t="s">
        <v>52</v>
      </c>
      <c r="C1473" s="8" t="s">
        <v>6</v>
      </c>
      <c r="D1473" s="12">
        <v>44896</v>
      </c>
      <c r="E1473" s="8">
        <v>106800</v>
      </c>
      <c r="F1473" s="10">
        <f>IF(ISTEXT(Таблицаx_2[[#This Row],[Значение]]), 0, Таблицаx_2[[#This Row],[Значение]])</f>
        <v>106800</v>
      </c>
      <c r="G1473" s="12">
        <v>44958</v>
      </c>
      <c r="H1473" s="10" t="str">
        <f>IFERROR(VLOOKUP(Таблицаx_2[[#This Row],[id]],prolongations!A:C,2,)," ")</f>
        <v>февраль 2023</v>
      </c>
      <c r="I1473" s="10">
        <f>IF(Таблицаx_2[[#This Row],[Месяц окончания]]=Таблицаx_2[[#This Row],[Месяц]],Таблицаx_2[[#This Row],[Значения числа]],0)</f>
        <v>0</v>
      </c>
      <c r="J1473" s="8">
        <f>IF(AND(Таблицаx_2[[#This Row],[Месяц окончания]]=Таблицаx_2[[#This Row],[Месяц]],Таблицаx_2[[#This Row],[id]]=A1474,EDATE(Таблицаx_2[[#This Row],[Месяц]],1)=D1474),F1474,0)</f>
        <v>0</v>
      </c>
      <c r="K1473" s="8">
        <f>IF(AND(Таблицаx_2[[#This Row],[Месяц окончания]]=Таблицаx_2[[#This Row],[Месяц]],Таблицаx_2[[#This Row],[id]]=A1474,EDATE(Таблицаx_2[[#This Row],[Месяц]],2)=D1474),F1474,0)</f>
        <v>0</v>
      </c>
    </row>
    <row r="1474" spans="1:11" ht="12.75" hidden="1" customHeight="1" x14ac:dyDescent="0.2">
      <c r="A1474" s="8">
        <v>273</v>
      </c>
      <c r="B1474" s="8" t="s">
        <v>52</v>
      </c>
      <c r="C1474" s="8" t="s">
        <v>6</v>
      </c>
      <c r="D1474" s="12">
        <v>44927</v>
      </c>
      <c r="E1474" s="8">
        <v>106800</v>
      </c>
      <c r="F1474" s="10">
        <f>IF(ISTEXT(Таблицаx_2[[#This Row],[Значение]]), 0, Таблицаx_2[[#This Row],[Значение]])</f>
        <v>106800</v>
      </c>
      <c r="G1474" s="12">
        <v>44958</v>
      </c>
      <c r="H1474" s="10" t="str">
        <f>IFERROR(VLOOKUP(Таблицаx_2[[#This Row],[id]],prolongations!A:C,2,)," ")</f>
        <v>февраль 2023</v>
      </c>
      <c r="I1474" s="10">
        <f>IF(Таблицаx_2[[#This Row],[Месяц окончания]]=Таблицаx_2[[#This Row],[Месяц]],Таблицаx_2[[#This Row],[Значения числа]],0)</f>
        <v>0</v>
      </c>
      <c r="J1474" s="8">
        <f>IF(AND(Таблицаx_2[[#This Row],[Месяц окончания]]=Таблицаx_2[[#This Row],[Месяц]],Таблицаx_2[[#This Row],[id]]=A1475,EDATE(Таблицаx_2[[#This Row],[Месяц]],1)=D1475),F1475,0)</f>
        <v>0</v>
      </c>
      <c r="K1474" s="8">
        <f>IF(AND(Таблицаx_2[[#This Row],[Месяц окончания]]=Таблицаx_2[[#This Row],[Месяц]],Таблицаx_2[[#This Row],[id]]=A1475,EDATE(Таблицаx_2[[#This Row],[Месяц]],2)=D1475),F1475,0)</f>
        <v>0</v>
      </c>
    </row>
    <row r="1475" spans="1:11" ht="12.75" hidden="1" customHeight="1" x14ac:dyDescent="0.2">
      <c r="A1475" s="8">
        <v>273</v>
      </c>
      <c r="B1475" s="8" t="s">
        <v>52</v>
      </c>
      <c r="C1475" s="8" t="s">
        <v>6</v>
      </c>
      <c r="D1475" s="12">
        <v>44958</v>
      </c>
      <c r="E1475" s="8">
        <v>106800</v>
      </c>
      <c r="F1475" s="10">
        <f>IF(ISTEXT(Таблицаx_2[[#This Row],[Значение]]), 0, Таблицаx_2[[#This Row],[Значение]])</f>
        <v>106800</v>
      </c>
      <c r="G1475" s="12">
        <v>44958</v>
      </c>
      <c r="H1475" s="10" t="str">
        <f>IFERROR(VLOOKUP(Таблицаx_2[[#This Row],[id]],prolongations!A:C,2,)," ")</f>
        <v>февраль 2023</v>
      </c>
      <c r="I1475" s="10">
        <f>IF(Таблицаx_2[[#This Row],[Месяц окончания]]=Таблицаx_2[[#This Row],[Месяц]],Таблицаx_2[[#This Row],[Значения числа]],0)</f>
        <v>106800</v>
      </c>
      <c r="J1475" s="8">
        <f>IF(AND(Таблицаx_2[[#This Row],[Месяц окончания]]=Таблицаx_2[[#This Row],[Месяц]],Таблицаx_2[[#This Row],[id]]=A1476,EDATE(Таблицаx_2[[#This Row],[Месяц]],1)=D1476),F1476,0)</f>
        <v>133405</v>
      </c>
      <c r="K1475" s="8">
        <f>IF(AND(Таблицаx_2[[#This Row],[Месяц окончания]]=Таблицаx_2[[#This Row],[Месяц]],Таблицаx_2[[#This Row],[id]]=A1476,EDATE(Таблицаx_2[[#This Row],[Месяц]],2)=D1476),F1476,0)</f>
        <v>0</v>
      </c>
    </row>
    <row r="1476" spans="1:11" ht="12.75" hidden="1" customHeight="1" x14ac:dyDescent="0.2">
      <c r="A1476" s="8">
        <v>273</v>
      </c>
      <c r="B1476" s="8" t="s">
        <v>52</v>
      </c>
      <c r="C1476" s="8" t="s">
        <v>6</v>
      </c>
      <c r="D1476" s="12">
        <v>44986</v>
      </c>
      <c r="E1476" s="8">
        <v>133405</v>
      </c>
      <c r="F1476" s="10">
        <f>IF(ISTEXT(Таблицаx_2[[#This Row],[Значение]]), 0, Таблицаx_2[[#This Row],[Значение]])</f>
        <v>133405</v>
      </c>
      <c r="G1476" s="12">
        <v>44958</v>
      </c>
      <c r="H1476" s="10" t="str">
        <f>IFERROR(VLOOKUP(Таблицаx_2[[#This Row],[id]],prolongations!A:C,2,)," ")</f>
        <v>февраль 2023</v>
      </c>
      <c r="I1476" s="10">
        <f>IF(Таблицаx_2[[#This Row],[Месяц окончания]]=Таблицаx_2[[#This Row],[Месяц]],Таблицаx_2[[#This Row],[Значения числа]],0)</f>
        <v>0</v>
      </c>
      <c r="J1476" s="8">
        <f>IF(AND(Таблицаx_2[[#This Row],[Месяц окончания]]=Таблицаx_2[[#This Row],[Месяц]],Таблицаx_2[[#This Row],[id]]=A1477,EDATE(Таблицаx_2[[#This Row],[Месяц]],1)=D1477),F1477,0)</f>
        <v>0</v>
      </c>
      <c r="K1476" s="8">
        <f>IF(AND(Таблицаx_2[[#This Row],[Месяц окончания]]=Таблицаx_2[[#This Row],[Месяц]],Таблицаx_2[[#This Row],[id]]=A1477,EDATE(Таблицаx_2[[#This Row],[Месяц]],2)=D1477),F1477,0)</f>
        <v>0</v>
      </c>
    </row>
    <row r="1477" spans="1:11" ht="12.75" hidden="1" customHeight="1" x14ac:dyDescent="0.2">
      <c r="A1477" s="8">
        <v>273</v>
      </c>
      <c r="B1477" s="8" t="s">
        <v>52</v>
      </c>
      <c r="C1477" s="8" t="s">
        <v>6</v>
      </c>
      <c r="D1477" s="12">
        <v>45017</v>
      </c>
      <c r="E1477" s="8">
        <v>131405</v>
      </c>
      <c r="F1477" s="10">
        <f>IF(ISTEXT(Таблицаx_2[[#This Row],[Значение]]), 0, Таблицаx_2[[#This Row],[Значение]])</f>
        <v>131405</v>
      </c>
      <c r="G1477" s="12">
        <v>44958</v>
      </c>
      <c r="H1477" s="10" t="str">
        <f>IFERROR(VLOOKUP(Таблицаx_2[[#This Row],[id]],prolongations!A:C,2,)," ")</f>
        <v>февраль 2023</v>
      </c>
      <c r="I1477" s="10">
        <f>IF(Таблицаx_2[[#This Row],[Месяц окончания]]=Таблицаx_2[[#This Row],[Месяц]],Таблицаx_2[[#This Row],[Значения числа]],0)</f>
        <v>0</v>
      </c>
      <c r="J1477" s="8">
        <f>IF(AND(Таблицаx_2[[#This Row],[Месяц окончания]]=Таблицаx_2[[#This Row],[Месяц]],Таблицаx_2[[#This Row],[id]]=A1478,EDATE(Таблицаx_2[[#This Row],[Месяц]],1)=D1478),F1478,0)</f>
        <v>0</v>
      </c>
      <c r="K1477" s="8">
        <f>IF(AND(Таблицаx_2[[#This Row],[Месяц окончания]]=Таблицаx_2[[#This Row],[Месяц]],Таблицаx_2[[#This Row],[id]]=A1478,EDATE(Таблицаx_2[[#This Row],[Месяц]],2)=D1478),F1478,0)</f>
        <v>0</v>
      </c>
    </row>
    <row r="1478" spans="1:11" ht="12.75" hidden="1" customHeight="1" x14ac:dyDescent="0.2">
      <c r="A1478" s="8">
        <v>273</v>
      </c>
      <c r="B1478" s="8" t="s">
        <v>52</v>
      </c>
      <c r="C1478" s="8" t="s">
        <v>6</v>
      </c>
      <c r="D1478" s="12">
        <v>45047</v>
      </c>
      <c r="E1478" s="8">
        <v>131405</v>
      </c>
      <c r="F1478" s="10">
        <f>IF(ISTEXT(Таблицаx_2[[#This Row],[Значение]]), 0, Таблицаx_2[[#This Row],[Значение]])</f>
        <v>131405</v>
      </c>
      <c r="G1478" s="12">
        <v>44958</v>
      </c>
      <c r="H1478" s="10" t="str">
        <f>IFERROR(VLOOKUP(Таблицаx_2[[#This Row],[id]],prolongations!A:C,2,)," ")</f>
        <v>февраль 2023</v>
      </c>
      <c r="I1478" s="10">
        <f>IF(Таблицаx_2[[#This Row],[Месяц окончания]]=Таблицаx_2[[#This Row],[Месяц]],Таблицаx_2[[#This Row],[Значения числа]],0)</f>
        <v>0</v>
      </c>
      <c r="J1478" s="8">
        <f>IF(AND(Таблицаx_2[[#This Row],[Месяц окончания]]=Таблицаx_2[[#This Row],[Месяц]],Таблицаx_2[[#This Row],[id]]=A1479,EDATE(Таблицаx_2[[#This Row],[Месяц]],1)=D1479),F1479,0)</f>
        <v>0</v>
      </c>
      <c r="K1478" s="8">
        <f>IF(AND(Таблицаx_2[[#This Row],[Месяц окончания]]=Таблицаx_2[[#This Row],[Месяц]],Таблицаx_2[[#This Row],[id]]=A1479,EDATE(Таблицаx_2[[#This Row],[Месяц]],2)=D1479),F1479,0)</f>
        <v>0</v>
      </c>
    </row>
    <row r="1479" spans="1:11" ht="12.75" hidden="1" customHeight="1" x14ac:dyDescent="0.2">
      <c r="A1479" s="8">
        <v>273</v>
      </c>
      <c r="B1479" s="8" t="s">
        <v>52</v>
      </c>
      <c r="C1479" s="8" t="s">
        <v>6</v>
      </c>
      <c r="D1479" s="12">
        <v>45078</v>
      </c>
      <c r="E1479" s="8">
        <v>131405</v>
      </c>
      <c r="F1479" s="10">
        <f>IF(ISTEXT(Таблицаx_2[[#This Row],[Значение]]), 0, Таблицаx_2[[#This Row],[Значение]])</f>
        <v>131405</v>
      </c>
      <c r="G1479" s="12">
        <v>44958</v>
      </c>
      <c r="H1479" s="10" t="str">
        <f>IFERROR(VLOOKUP(Таблицаx_2[[#This Row],[id]],prolongations!A:C,2,)," ")</f>
        <v>февраль 2023</v>
      </c>
      <c r="I1479" s="10">
        <f>IF(Таблицаx_2[[#This Row],[Месяц окончания]]=Таблицаx_2[[#This Row],[Месяц]],Таблицаx_2[[#This Row],[Значения числа]],0)</f>
        <v>0</v>
      </c>
      <c r="J1479" s="8">
        <f>IF(AND(Таблицаx_2[[#This Row],[Месяц окончания]]=Таблицаx_2[[#This Row],[Месяц]],Таблицаx_2[[#This Row],[id]]=A1480,EDATE(Таблицаx_2[[#This Row],[Месяц]],1)=D1480),F1480,0)</f>
        <v>0</v>
      </c>
      <c r="K1479" s="8">
        <f>IF(AND(Таблицаx_2[[#This Row],[Месяц окончания]]=Таблицаx_2[[#This Row],[Месяц]],Таблицаx_2[[#This Row],[id]]=A1480,EDATE(Таблицаx_2[[#This Row],[Месяц]],2)=D1480),F1480,0)</f>
        <v>0</v>
      </c>
    </row>
    <row r="1480" spans="1:11" ht="12.75" hidden="1" customHeight="1" x14ac:dyDescent="0.2">
      <c r="A1480" s="8">
        <v>273</v>
      </c>
      <c r="B1480" s="8" t="s">
        <v>52</v>
      </c>
      <c r="C1480" s="8" t="s">
        <v>6</v>
      </c>
      <c r="D1480" s="12">
        <v>45108</v>
      </c>
      <c r="E1480" s="8">
        <v>131405</v>
      </c>
      <c r="F1480" s="10">
        <f>IF(ISTEXT(Таблицаx_2[[#This Row],[Значение]]), 0, Таблицаx_2[[#This Row],[Значение]])</f>
        <v>131405</v>
      </c>
      <c r="G1480" s="12">
        <v>44958</v>
      </c>
      <c r="H1480" s="10" t="str">
        <f>IFERROR(VLOOKUP(Таблицаx_2[[#This Row],[id]],prolongations!A:C,2,)," ")</f>
        <v>февраль 2023</v>
      </c>
      <c r="I1480" s="10">
        <f>IF(Таблицаx_2[[#This Row],[Месяц окончания]]=Таблицаx_2[[#This Row],[Месяц]],Таблицаx_2[[#This Row],[Значения числа]],0)</f>
        <v>0</v>
      </c>
      <c r="J1480" s="8">
        <f>IF(AND(Таблицаx_2[[#This Row],[Месяц окончания]]=Таблицаx_2[[#This Row],[Месяц]],Таблицаx_2[[#This Row],[id]]=A1481,EDATE(Таблицаx_2[[#This Row],[Месяц]],1)=D1481),F1481,0)</f>
        <v>0</v>
      </c>
      <c r="K1480" s="8">
        <f>IF(AND(Таблицаx_2[[#This Row],[Месяц окончания]]=Таблицаx_2[[#This Row],[Месяц]],Таблицаx_2[[#This Row],[id]]=A1481,EDATE(Таблицаx_2[[#This Row],[Месяц]],2)=D1481),F1481,0)</f>
        <v>0</v>
      </c>
    </row>
    <row r="1481" spans="1:11" ht="12.75" hidden="1" customHeight="1" x14ac:dyDescent="0.2">
      <c r="A1481" s="8">
        <v>273</v>
      </c>
      <c r="B1481" s="8" t="s">
        <v>52</v>
      </c>
      <c r="C1481" s="8" t="s">
        <v>6</v>
      </c>
      <c r="D1481" s="12">
        <v>45139</v>
      </c>
      <c r="E1481" s="8">
        <v>131405</v>
      </c>
      <c r="F1481" s="10">
        <f>IF(ISTEXT(Таблицаx_2[[#This Row],[Значение]]), 0, Таблицаx_2[[#This Row],[Значение]])</f>
        <v>131405</v>
      </c>
      <c r="G1481" s="12">
        <v>44958</v>
      </c>
      <c r="H1481" s="10" t="str">
        <f>IFERROR(VLOOKUP(Таблицаx_2[[#This Row],[id]],prolongations!A:C,2,)," ")</f>
        <v>февраль 2023</v>
      </c>
      <c r="I1481" s="10">
        <f>IF(Таблицаx_2[[#This Row],[Месяц окончания]]=Таблицаx_2[[#This Row],[Месяц]],Таблицаx_2[[#This Row],[Значения числа]],0)</f>
        <v>0</v>
      </c>
      <c r="J1481" s="8">
        <f>IF(AND(Таблицаx_2[[#This Row],[Месяц окончания]]=Таблицаx_2[[#This Row],[Месяц]],Таблицаx_2[[#This Row],[id]]=A1482,EDATE(Таблицаx_2[[#This Row],[Месяц]],1)=D1482),F1482,0)</f>
        <v>0</v>
      </c>
      <c r="K1481" s="8">
        <f>IF(AND(Таблицаx_2[[#This Row],[Месяц окончания]]=Таблицаx_2[[#This Row],[Месяц]],Таблицаx_2[[#This Row],[id]]=A1482,EDATE(Таблицаx_2[[#This Row],[Месяц]],2)=D1482),F1482,0)</f>
        <v>0</v>
      </c>
    </row>
    <row r="1482" spans="1:11" ht="12.75" hidden="1" customHeight="1" x14ac:dyDescent="0.2">
      <c r="A1482" s="8">
        <v>273</v>
      </c>
      <c r="B1482" s="8" t="s">
        <v>52</v>
      </c>
      <c r="C1482" s="8" t="s">
        <v>6</v>
      </c>
      <c r="D1482" s="12">
        <v>45170</v>
      </c>
      <c r="E1482" s="8">
        <v>131405</v>
      </c>
      <c r="F1482" s="10">
        <f>IF(ISTEXT(Таблицаx_2[[#This Row],[Значение]]), 0, Таблицаx_2[[#This Row],[Значение]])</f>
        <v>131405</v>
      </c>
      <c r="G1482" s="12">
        <v>44958</v>
      </c>
      <c r="H1482" s="10" t="str">
        <f>IFERROR(VLOOKUP(Таблицаx_2[[#This Row],[id]],prolongations!A:C,2,)," ")</f>
        <v>февраль 2023</v>
      </c>
      <c r="I1482" s="10">
        <f>IF(Таблицаx_2[[#This Row],[Месяц окончания]]=Таблицаx_2[[#This Row],[Месяц]],Таблицаx_2[[#This Row],[Значения числа]],0)</f>
        <v>0</v>
      </c>
      <c r="J1482" s="8">
        <f>IF(AND(Таблицаx_2[[#This Row],[Месяц окончания]]=Таблицаx_2[[#This Row],[Месяц]],Таблицаx_2[[#This Row],[id]]=A1483,EDATE(Таблицаx_2[[#This Row],[Месяц]],1)=D1483),F1483,0)</f>
        <v>0</v>
      </c>
      <c r="K1482" s="8">
        <f>IF(AND(Таблицаx_2[[#This Row],[Месяц окончания]]=Таблицаx_2[[#This Row],[Месяц]],Таблицаx_2[[#This Row],[id]]=A1483,EDATE(Таблицаx_2[[#This Row],[Месяц]],2)=D1483),F1483,0)</f>
        <v>0</v>
      </c>
    </row>
    <row r="1483" spans="1:11" ht="12.75" hidden="1" customHeight="1" x14ac:dyDescent="0.2">
      <c r="A1483" s="8">
        <v>273</v>
      </c>
      <c r="B1483" s="8" t="s">
        <v>52</v>
      </c>
      <c r="C1483" s="8" t="s">
        <v>6</v>
      </c>
      <c r="D1483" s="12">
        <v>45200</v>
      </c>
      <c r="E1483" s="8">
        <v>131405</v>
      </c>
      <c r="F1483" s="10">
        <f>IF(ISTEXT(Таблицаx_2[[#This Row],[Значение]]), 0, Таблицаx_2[[#This Row],[Значение]])</f>
        <v>131405</v>
      </c>
      <c r="G1483" s="12">
        <v>44958</v>
      </c>
      <c r="H1483" s="10" t="str">
        <f>IFERROR(VLOOKUP(Таблицаx_2[[#This Row],[id]],prolongations!A:C,2,)," ")</f>
        <v>февраль 2023</v>
      </c>
      <c r="I1483" s="10">
        <f>IF(Таблицаx_2[[#This Row],[Месяц окончания]]=Таблицаx_2[[#This Row],[Месяц]],Таблицаx_2[[#This Row],[Значения числа]],0)</f>
        <v>0</v>
      </c>
      <c r="J1483" s="8">
        <f>IF(AND(Таблицаx_2[[#This Row],[Месяц окончания]]=Таблицаx_2[[#This Row],[Месяц]],Таблицаx_2[[#This Row],[id]]=A1484,EDATE(Таблицаx_2[[#This Row],[Месяц]],1)=D1484),F1484,0)</f>
        <v>0</v>
      </c>
      <c r="K1483" s="8">
        <f>IF(AND(Таблицаx_2[[#This Row],[Месяц окончания]]=Таблицаx_2[[#This Row],[Месяц]],Таблицаx_2[[#This Row],[id]]=A1484,EDATE(Таблицаx_2[[#This Row],[Месяц]],2)=D1484),F1484,0)</f>
        <v>0</v>
      </c>
    </row>
    <row r="1484" spans="1:11" ht="12.75" hidden="1" customHeight="1" x14ac:dyDescent="0.2">
      <c r="A1484" s="8">
        <v>273</v>
      </c>
      <c r="B1484" s="8" t="s">
        <v>52</v>
      </c>
      <c r="C1484" s="8" t="s">
        <v>6</v>
      </c>
      <c r="D1484" s="12">
        <v>45231</v>
      </c>
      <c r="E1484" s="8">
        <v>131405</v>
      </c>
      <c r="F1484" s="10">
        <f>IF(ISTEXT(Таблицаx_2[[#This Row],[Значение]]), 0, Таблицаx_2[[#This Row],[Значение]])</f>
        <v>131405</v>
      </c>
      <c r="G1484" s="12">
        <v>44958</v>
      </c>
      <c r="H1484" s="10" t="str">
        <f>IFERROR(VLOOKUP(Таблицаx_2[[#This Row],[id]],prolongations!A:C,2,)," ")</f>
        <v>февраль 2023</v>
      </c>
      <c r="I1484" s="10">
        <f>IF(Таблицаx_2[[#This Row],[Месяц окончания]]=Таблицаx_2[[#This Row],[Месяц]],Таблицаx_2[[#This Row],[Значения числа]],0)</f>
        <v>0</v>
      </c>
      <c r="J1484" s="8">
        <f>IF(AND(Таблицаx_2[[#This Row],[Месяц окончания]]=Таблицаx_2[[#This Row],[Месяц]],Таблицаx_2[[#This Row],[id]]=A1485,EDATE(Таблицаx_2[[#This Row],[Месяц]],1)=D1485),F1485,0)</f>
        <v>0</v>
      </c>
      <c r="K1484" s="8">
        <f>IF(AND(Таблицаx_2[[#This Row],[Месяц окончания]]=Таблицаx_2[[#This Row],[Месяц]],Таблицаx_2[[#This Row],[id]]=A1485,EDATE(Таблицаx_2[[#This Row],[Месяц]],2)=D1485),F1485,0)</f>
        <v>0</v>
      </c>
    </row>
    <row r="1485" spans="1:11" ht="12.75" hidden="1" customHeight="1" x14ac:dyDescent="0.2">
      <c r="A1485" s="8">
        <v>273</v>
      </c>
      <c r="B1485" s="8" t="s">
        <v>52</v>
      </c>
      <c r="C1485" s="8" t="s">
        <v>6</v>
      </c>
      <c r="D1485" s="12">
        <v>45261</v>
      </c>
      <c r="E1485" s="8">
        <v>131405</v>
      </c>
      <c r="F1485" s="10">
        <f>IF(ISTEXT(Таблицаx_2[[#This Row],[Значение]]), 0, Таблицаx_2[[#This Row],[Значение]])</f>
        <v>131405</v>
      </c>
      <c r="G1485" s="12">
        <v>44958</v>
      </c>
      <c r="H1485" s="10" t="str">
        <f>IFERROR(VLOOKUP(Таблицаx_2[[#This Row],[id]],prolongations!A:C,2,)," ")</f>
        <v>февраль 2023</v>
      </c>
      <c r="I1485" s="10">
        <f>IF(Таблицаx_2[[#This Row],[Месяц окончания]]=Таблицаx_2[[#This Row],[Месяц]],Таблицаx_2[[#This Row],[Значения числа]],0)</f>
        <v>0</v>
      </c>
      <c r="J1485" s="8">
        <f>IF(AND(Таблицаx_2[[#This Row],[Месяц окончания]]=Таблицаx_2[[#This Row],[Месяц]],Таблицаx_2[[#This Row],[id]]=A1486,EDATE(Таблицаx_2[[#This Row],[Месяц]],1)=D1486),F1486,0)</f>
        <v>0</v>
      </c>
      <c r="K1485" s="8">
        <f>IF(AND(Таблицаx_2[[#This Row],[Месяц окончания]]=Таблицаx_2[[#This Row],[Месяц]],Таблицаx_2[[#This Row],[id]]=A1486,EDATE(Таблицаx_2[[#This Row],[Месяц]],2)=D1486),F1486,0)</f>
        <v>0</v>
      </c>
    </row>
    <row r="1486" spans="1:11" ht="12.75" hidden="1" customHeight="1" x14ac:dyDescent="0.2">
      <c r="A1486" s="8">
        <v>273</v>
      </c>
      <c r="B1486" s="8" t="s">
        <v>52</v>
      </c>
      <c r="C1486" s="8" t="s">
        <v>6</v>
      </c>
      <c r="D1486" s="12">
        <v>45292</v>
      </c>
      <c r="E1486" s="8">
        <v>131405</v>
      </c>
      <c r="F1486" s="10">
        <f>IF(ISTEXT(Таблицаx_2[[#This Row],[Значение]]), 0, Таблицаx_2[[#This Row],[Значение]])</f>
        <v>131405</v>
      </c>
      <c r="G1486" s="12">
        <v>44958</v>
      </c>
      <c r="H1486" s="10" t="str">
        <f>IFERROR(VLOOKUP(Таблицаx_2[[#This Row],[id]],prolongations!A:C,2,)," ")</f>
        <v>февраль 2023</v>
      </c>
      <c r="I1486" s="10">
        <f>IF(Таблицаx_2[[#This Row],[Месяц окончания]]=Таблицаx_2[[#This Row],[Месяц]],Таблицаx_2[[#This Row],[Значения числа]],0)</f>
        <v>0</v>
      </c>
      <c r="J1486" s="8">
        <f>IF(AND(Таблицаx_2[[#This Row],[Месяц окончания]]=Таблицаx_2[[#This Row],[Месяц]],Таблицаx_2[[#This Row],[id]]=A1487,EDATE(Таблицаx_2[[#This Row],[Месяц]],1)=D1487),F1487,0)</f>
        <v>0</v>
      </c>
      <c r="K1486" s="8">
        <f>IF(AND(Таблицаx_2[[#This Row],[Месяц окончания]]=Таблицаx_2[[#This Row],[Месяц]],Таблицаx_2[[#This Row],[id]]=A1487,EDATE(Таблицаx_2[[#This Row],[Месяц]],2)=D1487),F1487,0)</f>
        <v>0</v>
      </c>
    </row>
    <row r="1487" spans="1:11" ht="12.75" hidden="1" customHeight="1" x14ac:dyDescent="0.2">
      <c r="A1487" s="8">
        <v>273</v>
      </c>
      <c r="B1487" s="8" t="s">
        <v>52</v>
      </c>
      <c r="C1487" s="8" t="s">
        <v>6</v>
      </c>
      <c r="D1487" s="12">
        <v>45323</v>
      </c>
      <c r="E1487" s="8">
        <v>131405</v>
      </c>
      <c r="F1487" s="10">
        <f>IF(ISTEXT(Таблицаx_2[[#This Row],[Значение]]), 0, Таблицаx_2[[#This Row],[Значение]])</f>
        <v>131405</v>
      </c>
      <c r="G1487" s="12">
        <v>44958</v>
      </c>
      <c r="H1487" s="10" t="str">
        <f>IFERROR(VLOOKUP(Таблицаx_2[[#This Row],[id]],prolongations!A:C,2,)," ")</f>
        <v>февраль 2023</v>
      </c>
      <c r="I1487" s="10">
        <f>IF(Таблицаx_2[[#This Row],[Месяц окончания]]=Таблицаx_2[[#This Row],[Месяц]],Таблицаx_2[[#This Row],[Значения числа]],0)</f>
        <v>0</v>
      </c>
      <c r="J1487" s="8">
        <f>IF(AND(Таблицаx_2[[#This Row],[Месяц окончания]]=Таблицаx_2[[#This Row],[Месяц]],Таблицаx_2[[#This Row],[id]]=A1488,EDATE(Таблицаx_2[[#This Row],[Месяц]],1)=D1488),F1488,0)</f>
        <v>0</v>
      </c>
      <c r="K1487" s="8">
        <f>IF(AND(Таблицаx_2[[#This Row],[Месяц окончания]]=Таблицаx_2[[#This Row],[Месяц]],Таблицаx_2[[#This Row],[id]]=A1488,EDATE(Таблицаx_2[[#This Row],[Месяц]],2)=D1488),F1488,0)</f>
        <v>0</v>
      </c>
    </row>
    <row r="1488" spans="1:11" ht="12.75" hidden="1" customHeight="1" x14ac:dyDescent="0.2">
      <c r="A1488" s="8">
        <v>899</v>
      </c>
      <c r="B1488" s="8"/>
      <c r="C1488" s="8" t="s">
        <v>4</v>
      </c>
      <c r="D1488" s="12">
        <v>45139</v>
      </c>
      <c r="E1488" s="8">
        <v>103460</v>
      </c>
      <c r="F1488" s="10">
        <f>IF(ISTEXT(Таблицаx_2[[#This Row],[Значение]]), 0, Таблицаx_2[[#This Row],[Значение]])</f>
        <v>103460</v>
      </c>
      <c r="G1488" s="12">
        <v>45231</v>
      </c>
      <c r="H1488" s="10" t="str">
        <f>IFERROR(VLOOKUP(Таблицаx_2[[#This Row],[id]],prolongations!A:C,2,)," ")</f>
        <v>ноябрь 2023</v>
      </c>
      <c r="I1488" s="10">
        <f>IF(Таблицаx_2[[#This Row],[Месяц окончания]]=Таблицаx_2[[#This Row],[Месяц]],Таблицаx_2[[#This Row],[Значения числа]],0)</f>
        <v>0</v>
      </c>
      <c r="J1488" s="8">
        <f>IF(AND(Таблицаx_2[[#This Row],[Месяц окончания]]=Таблицаx_2[[#This Row],[Месяц]],Таблицаx_2[[#This Row],[id]]=A1489,EDATE(Таблицаx_2[[#This Row],[Месяц]],1)=D1489),F1489,0)</f>
        <v>0</v>
      </c>
      <c r="K1488" s="8">
        <f>IF(AND(Таблицаx_2[[#This Row],[Месяц окончания]]=Таблицаx_2[[#This Row],[Месяц]],Таблицаx_2[[#This Row],[id]]=A1489,EDATE(Таблицаx_2[[#This Row],[Месяц]],2)=D1489),F1489,0)</f>
        <v>0</v>
      </c>
    </row>
    <row r="1489" spans="1:11" ht="12.75" hidden="1" customHeight="1" x14ac:dyDescent="0.2">
      <c r="A1489" s="8">
        <v>899</v>
      </c>
      <c r="B1489" s="8"/>
      <c r="C1489" s="8" t="s">
        <v>4</v>
      </c>
      <c r="D1489" s="12">
        <v>45170</v>
      </c>
      <c r="E1489" s="8">
        <v>89060</v>
      </c>
      <c r="F1489" s="10">
        <f>IF(ISTEXT(Таблицаx_2[[#This Row],[Значение]]), 0, Таблицаx_2[[#This Row],[Значение]])</f>
        <v>89060</v>
      </c>
      <c r="G1489" s="12">
        <v>45231</v>
      </c>
      <c r="H1489" s="10" t="str">
        <f>IFERROR(VLOOKUP(Таблицаx_2[[#This Row],[id]],prolongations!A:C,2,)," ")</f>
        <v>ноябрь 2023</v>
      </c>
      <c r="I1489" s="10">
        <f>IF(Таблицаx_2[[#This Row],[Месяц окончания]]=Таблицаx_2[[#This Row],[Месяц]],Таблицаx_2[[#This Row],[Значения числа]],0)</f>
        <v>0</v>
      </c>
      <c r="J1489" s="8">
        <f>IF(AND(Таблицаx_2[[#This Row],[Месяц окончания]]=Таблицаx_2[[#This Row],[Месяц]],Таблицаx_2[[#This Row],[id]]=A1490,EDATE(Таблицаx_2[[#This Row],[Месяц]],1)=D1490),F1490,0)</f>
        <v>0</v>
      </c>
      <c r="K1489" s="8">
        <f>IF(AND(Таблицаx_2[[#This Row],[Месяц окончания]]=Таблицаx_2[[#This Row],[Месяц]],Таблицаx_2[[#This Row],[id]]=A1490,EDATE(Таблицаx_2[[#This Row],[Месяц]],2)=D1490),F1490,0)</f>
        <v>0</v>
      </c>
    </row>
    <row r="1490" spans="1:11" ht="12.75" hidden="1" customHeight="1" x14ac:dyDescent="0.2">
      <c r="A1490" s="8">
        <v>899</v>
      </c>
      <c r="B1490" s="8"/>
      <c r="C1490" s="8" t="s">
        <v>4</v>
      </c>
      <c r="D1490" s="12">
        <v>45200</v>
      </c>
      <c r="E1490" s="8">
        <v>89060</v>
      </c>
      <c r="F1490" s="10">
        <f>IF(ISTEXT(Таблицаx_2[[#This Row],[Значение]]), 0, Таблицаx_2[[#This Row],[Значение]])</f>
        <v>89060</v>
      </c>
      <c r="G1490" s="12">
        <v>45231</v>
      </c>
      <c r="H1490" s="10" t="str">
        <f>IFERROR(VLOOKUP(Таблицаx_2[[#This Row],[id]],prolongations!A:C,2,)," ")</f>
        <v>ноябрь 2023</v>
      </c>
      <c r="I1490" s="10">
        <f>IF(Таблицаx_2[[#This Row],[Месяц окончания]]=Таблицаx_2[[#This Row],[Месяц]],Таблицаx_2[[#This Row],[Значения числа]],0)</f>
        <v>0</v>
      </c>
      <c r="J1490" s="8">
        <f>IF(AND(Таблицаx_2[[#This Row],[Месяц окончания]]=Таблицаx_2[[#This Row],[Месяц]],Таблицаx_2[[#This Row],[id]]=A1491,EDATE(Таблицаx_2[[#This Row],[Месяц]],1)=D1491),F1491,0)</f>
        <v>0</v>
      </c>
      <c r="K1490" s="8">
        <f>IF(AND(Таблицаx_2[[#This Row],[Месяц окончания]]=Таблицаx_2[[#This Row],[Месяц]],Таблицаx_2[[#This Row],[id]]=A1491,EDATE(Таблицаx_2[[#This Row],[Месяц]],2)=D1491),F1491,0)</f>
        <v>0</v>
      </c>
    </row>
    <row r="1491" spans="1:11" ht="12.75" hidden="1" customHeight="1" x14ac:dyDescent="0.2">
      <c r="A1491" s="8">
        <v>899</v>
      </c>
      <c r="B1491" s="8"/>
      <c r="C1491" s="8" t="s">
        <v>4</v>
      </c>
      <c r="D1491" s="12">
        <v>45231</v>
      </c>
      <c r="E1491" s="8">
        <v>44100</v>
      </c>
      <c r="F1491" s="10">
        <f>IF(ISTEXT(Таблицаx_2[[#This Row],[Значение]]), 0, Таблицаx_2[[#This Row],[Значение]])</f>
        <v>44100</v>
      </c>
      <c r="G1491" s="12">
        <v>45231</v>
      </c>
      <c r="H1491" s="10" t="str">
        <f>IFERROR(VLOOKUP(Таблицаx_2[[#This Row],[id]],prolongations!A:C,2,)," ")</f>
        <v>ноябрь 2023</v>
      </c>
      <c r="I1491" s="10">
        <f>IF(Таблицаx_2[[#This Row],[Месяц окончания]]=Таблицаx_2[[#This Row],[Месяц]],Таблицаx_2[[#This Row],[Значения числа]],0)</f>
        <v>44100</v>
      </c>
      <c r="J1491" s="8">
        <f>IF(AND(Таблицаx_2[[#This Row],[Месяц окончания]]=Таблицаx_2[[#This Row],[Месяц]],Таблицаx_2[[#This Row],[id]]=A1492,EDATE(Таблицаx_2[[#This Row],[Месяц]],1)=D1492),F1492,0)</f>
        <v>0</v>
      </c>
      <c r="K1491" s="8">
        <f>IF(AND(Таблицаx_2[[#This Row],[Месяц окончания]]=Таблицаx_2[[#This Row],[Месяц]],Таблицаx_2[[#This Row],[id]]=A1492,EDATE(Таблицаx_2[[#This Row],[Месяц]],2)=D1492),F1492,0)</f>
        <v>0</v>
      </c>
    </row>
    <row r="1492" spans="1:11" ht="12.75" hidden="1" customHeight="1" x14ac:dyDescent="0.2">
      <c r="A1492" s="8">
        <v>1015</v>
      </c>
      <c r="B1492" s="8" t="s">
        <v>45</v>
      </c>
      <c r="C1492" s="8" t="s">
        <v>10</v>
      </c>
      <c r="D1492" s="12">
        <v>45231</v>
      </c>
      <c r="E1492" s="8">
        <v>103700</v>
      </c>
      <c r="F1492" s="10">
        <f>IF(ISTEXT(Таблицаx_2[[#This Row],[Значение]]), 0, Таблицаx_2[[#This Row],[Значение]])</f>
        <v>103700</v>
      </c>
      <c r="G1492" s="12">
        <v>45231</v>
      </c>
      <c r="H1492" s="10" t="str">
        <f>IFERROR(VLOOKUP(Таблицаx_2[[#This Row],[id]],prolongations!A:C,2,)," ")</f>
        <v>ноябрь 2023</v>
      </c>
      <c r="I1492" s="10">
        <f>IF(Таблицаx_2[[#This Row],[Месяц окончания]]=Таблицаx_2[[#This Row],[Месяц]],Таблицаx_2[[#This Row],[Значения числа]],0)</f>
        <v>103700</v>
      </c>
      <c r="J1492" s="8">
        <f>IF(AND(Таблицаx_2[[#This Row],[Месяц окончания]]=Таблицаx_2[[#This Row],[Месяц]],Таблицаx_2[[#This Row],[id]]=A1493,EDATE(Таблицаx_2[[#This Row],[Месяц]],1)=D1493),F1493,0)</f>
        <v>15000</v>
      </c>
      <c r="K1492" s="8">
        <f>IF(AND(Таблицаx_2[[#This Row],[Месяц окончания]]=Таблицаx_2[[#This Row],[Месяц]],Таблицаx_2[[#This Row],[id]]=A1493,EDATE(Таблицаx_2[[#This Row],[Месяц]],2)=D1493),F1493,0)</f>
        <v>0</v>
      </c>
    </row>
    <row r="1493" spans="1:11" ht="12.75" hidden="1" customHeight="1" x14ac:dyDescent="0.2">
      <c r="A1493" s="8">
        <v>1015</v>
      </c>
      <c r="B1493" s="8" t="s">
        <v>45</v>
      </c>
      <c r="C1493" s="8" t="s">
        <v>10</v>
      </c>
      <c r="D1493" s="12">
        <v>45261</v>
      </c>
      <c r="E1493" s="8">
        <v>15000</v>
      </c>
      <c r="F1493" s="10">
        <f>IF(ISTEXT(Таблицаx_2[[#This Row],[Значение]]), 0, Таблицаx_2[[#This Row],[Значение]])</f>
        <v>15000</v>
      </c>
      <c r="G1493" s="12">
        <v>45231</v>
      </c>
      <c r="H1493" s="10" t="str">
        <f>IFERROR(VLOOKUP(Таблицаx_2[[#This Row],[id]],prolongations!A:C,2,)," ")</f>
        <v>ноябрь 2023</v>
      </c>
      <c r="I1493" s="10">
        <f>IF(Таблицаx_2[[#This Row],[Месяц окончания]]=Таблицаx_2[[#This Row],[Месяц]],Таблицаx_2[[#This Row],[Значения числа]],0)</f>
        <v>0</v>
      </c>
      <c r="J1493" s="8">
        <f>IF(AND(Таблицаx_2[[#This Row],[Месяц окончания]]=Таблицаx_2[[#This Row],[Месяц]],Таблицаx_2[[#This Row],[id]]=A1494,EDATE(Таблицаx_2[[#This Row],[Месяц]],1)=D1494),F1494,0)</f>
        <v>0</v>
      </c>
      <c r="K1493" s="8">
        <f>IF(AND(Таблицаx_2[[#This Row],[Месяц окончания]]=Таблицаx_2[[#This Row],[Месяц]],Таблицаx_2[[#This Row],[id]]=A1494,EDATE(Таблицаx_2[[#This Row],[Месяц]],2)=D1494),F1494,0)</f>
        <v>0</v>
      </c>
    </row>
    <row r="1494" spans="1:11" ht="12.75" hidden="1" customHeight="1" x14ac:dyDescent="0.2">
      <c r="A1494" s="8">
        <v>1015</v>
      </c>
      <c r="B1494" s="8" t="s">
        <v>47</v>
      </c>
      <c r="C1494" s="8" t="s">
        <v>10</v>
      </c>
      <c r="D1494" s="12">
        <v>45231</v>
      </c>
      <c r="E1494" s="8">
        <v>60000</v>
      </c>
      <c r="F1494" s="10">
        <f>IF(ISTEXT(Таблицаx_2[[#This Row],[Значение]]), 0, Таблицаx_2[[#This Row],[Значение]])</f>
        <v>60000</v>
      </c>
      <c r="G1494" s="12">
        <v>45231</v>
      </c>
      <c r="H1494" s="10" t="str">
        <f>IFERROR(VLOOKUP(Таблицаx_2[[#This Row],[id]],prolongations!A:C,2,)," ")</f>
        <v>ноябрь 2023</v>
      </c>
      <c r="I1494" s="10">
        <f>IF(Таблицаx_2[[#This Row],[Месяц окончания]]=Таблицаx_2[[#This Row],[Месяц]],Таблицаx_2[[#This Row],[Значения числа]],0)</f>
        <v>60000</v>
      </c>
      <c r="J1494" s="8">
        <f>IF(AND(Таблицаx_2[[#This Row],[Месяц окончания]]=Таблицаx_2[[#This Row],[Месяц]],Таблицаx_2[[#This Row],[id]]=A1495,EDATE(Таблицаx_2[[#This Row],[Месяц]],1)=D1495),F1495,0)</f>
        <v>0</v>
      </c>
      <c r="K1494" s="8">
        <f>IF(AND(Таблицаx_2[[#This Row],[Месяц окончания]]=Таблицаx_2[[#This Row],[Месяц]],Таблицаx_2[[#This Row],[id]]=A1495,EDATE(Таблицаx_2[[#This Row],[Месяц]],2)=D1495),F1495,0)</f>
        <v>0</v>
      </c>
    </row>
    <row r="1495" spans="1:11" ht="12.75" hidden="1" customHeight="1" x14ac:dyDescent="0.2">
      <c r="A1495" s="8">
        <v>977</v>
      </c>
      <c r="B1495" s="8"/>
      <c r="C1495" s="8" t="s">
        <v>11</v>
      </c>
      <c r="D1495" s="12">
        <v>45200</v>
      </c>
      <c r="E1495" s="8">
        <v>78600</v>
      </c>
      <c r="F1495" s="10">
        <f>IF(ISTEXT(Таблицаx_2[[#This Row],[Значение]]), 0, Таблицаx_2[[#This Row],[Значение]])</f>
        <v>78600</v>
      </c>
      <c r="G1495" s="12">
        <v>45200</v>
      </c>
      <c r="H1495" s="10" t="str">
        <f>IFERROR(VLOOKUP(Таблицаx_2[[#This Row],[id]],prolongations!A:C,2,)," ")</f>
        <v>октябрь 2023</v>
      </c>
      <c r="I1495" s="10">
        <f>IF(Таблицаx_2[[#This Row],[Месяц окончания]]=Таблицаx_2[[#This Row],[Месяц]],Таблицаx_2[[#This Row],[Значения числа]],0)</f>
        <v>78600</v>
      </c>
      <c r="J1495" s="8">
        <f>IF(AND(Таблицаx_2[[#This Row],[Месяц окончания]]=Таблицаx_2[[#This Row],[Месяц]],Таблицаx_2[[#This Row],[id]]=A1496,EDATE(Таблицаx_2[[#This Row],[Месяц]],1)=D1496),F1496,0)</f>
        <v>68600</v>
      </c>
      <c r="K1495" s="8">
        <f>IF(AND(Таблицаx_2[[#This Row],[Месяц окончания]]=Таблицаx_2[[#This Row],[Месяц]],Таблицаx_2[[#This Row],[id]]=A1496,EDATE(Таблицаx_2[[#This Row],[Месяц]],2)=D1496),F1496,0)</f>
        <v>0</v>
      </c>
    </row>
    <row r="1496" spans="1:11" ht="12.75" hidden="1" customHeight="1" x14ac:dyDescent="0.2">
      <c r="A1496" s="8">
        <v>977</v>
      </c>
      <c r="B1496" s="8"/>
      <c r="C1496" s="8" t="s">
        <v>11</v>
      </c>
      <c r="D1496" s="12">
        <v>45231</v>
      </c>
      <c r="E1496" s="8">
        <v>68600</v>
      </c>
      <c r="F1496" s="10">
        <f>IF(ISTEXT(Таблицаx_2[[#This Row],[Значение]]), 0, Таблицаx_2[[#This Row],[Значение]])</f>
        <v>68600</v>
      </c>
      <c r="G1496" s="12">
        <v>45200</v>
      </c>
      <c r="H1496" s="10" t="str">
        <f>IFERROR(VLOOKUP(Таблицаx_2[[#This Row],[id]],prolongations!A:C,2,)," ")</f>
        <v>октябрь 2023</v>
      </c>
      <c r="I1496" s="10">
        <f>IF(Таблицаx_2[[#This Row],[Месяц окончания]]=Таблицаx_2[[#This Row],[Месяц]],Таблицаx_2[[#This Row],[Значения числа]],0)</f>
        <v>0</v>
      </c>
      <c r="J1496" s="8">
        <f>IF(AND(Таблицаx_2[[#This Row],[Месяц окончания]]=Таблицаx_2[[#This Row],[Месяц]],Таблицаx_2[[#This Row],[id]]=A1497,EDATE(Таблицаx_2[[#This Row],[Месяц]],1)=D1497),F1497,0)</f>
        <v>0</v>
      </c>
      <c r="K1496" s="8">
        <f>IF(AND(Таблицаx_2[[#This Row],[Месяц окончания]]=Таблицаx_2[[#This Row],[Месяц]],Таблицаx_2[[#This Row],[id]]=A1497,EDATE(Таблицаx_2[[#This Row],[Месяц]],2)=D1497),F1497,0)</f>
        <v>0</v>
      </c>
    </row>
    <row r="1497" spans="1:11" ht="12.75" hidden="1" customHeight="1" x14ac:dyDescent="0.2">
      <c r="A1497" s="8">
        <v>977</v>
      </c>
      <c r="B1497" s="8"/>
      <c r="C1497" s="8" t="s">
        <v>11</v>
      </c>
      <c r="D1497" s="12">
        <v>45261</v>
      </c>
      <c r="E1497" s="8">
        <v>68600</v>
      </c>
      <c r="F1497" s="10">
        <f>IF(ISTEXT(Таблицаx_2[[#This Row],[Значение]]), 0, Таблицаx_2[[#This Row],[Значение]])</f>
        <v>68600</v>
      </c>
      <c r="G1497" s="12">
        <v>45200</v>
      </c>
      <c r="H1497" s="10" t="str">
        <f>IFERROR(VLOOKUP(Таблицаx_2[[#This Row],[id]],prolongations!A:C,2,)," ")</f>
        <v>октябрь 2023</v>
      </c>
      <c r="I1497" s="10">
        <f>IF(Таблицаx_2[[#This Row],[Месяц окончания]]=Таблицаx_2[[#This Row],[Месяц]],Таблицаx_2[[#This Row],[Значения числа]],0)</f>
        <v>0</v>
      </c>
      <c r="J1497" s="8">
        <f>IF(AND(Таблицаx_2[[#This Row],[Месяц окончания]]=Таблицаx_2[[#This Row],[Месяц]],Таблицаx_2[[#This Row],[id]]=A1498,EDATE(Таблицаx_2[[#This Row],[Месяц]],1)=D1498),F1498,0)</f>
        <v>0</v>
      </c>
      <c r="K1497" s="8">
        <f>IF(AND(Таблицаx_2[[#This Row],[Месяц окончания]]=Таблицаx_2[[#This Row],[Месяц]],Таблицаx_2[[#This Row],[id]]=A1498,EDATE(Таблицаx_2[[#This Row],[Месяц]],2)=D1498),F1498,0)</f>
        <v>0</v>
      </c>
    </row>
    <row r="1498" spans="1:11" ht="12.75" hidden="1" customHeight="1" x14ac:dyDescent="0.2">
      <c r="A1498" s="8">
        <v>977</v>
      </c>
      <c r="B1498" s="8"/>
      <c r="C1498" s="8" t="s">
        <v>11</v>
      </c>
      <c r="D1498" s="12">
        <v>45292</v>
      </c>
      <c r="E1498" s="8">
        <v>68600</v>
      </c>
      <c r="F1498" s="10">
        <f>IF(ISTEXT(Таблицаx_2[[#This Row],[Значение]]), 0, Таблицаx_2[[#This Row],[Значение]])</f>
        <v>68600</v>
      </c>
      <c r="G1498" s="12">
        <v>45200</v>
      </c>
      <c r="H1498" s="10" t="str">
        <f>IFERROR(VLOOKUP(Таблицаx_2[[#This Row],[id]],prolongations!A:C,2,)," ")</f>
        <v>октябрь 2023</v>
      </c>
      <c r="I1498" s="10">
        <f>IF(Таблицаx_2[[#This Row],[Месяц окончания]]=Таблицаx_2[[#This Row],[Месяц]],Таблицаx_2[[#This Row],[Значения числа]],0)</f>
        <v>0</v>
      </c>
      <c r="J1498" s="8">
        <f>IF(AND(Таблицаx_2[[#This Row],[Месяц окончания]]=Таблицаx_2[[#This Row],[Месяц]],Таблицаx_2[[#This Row],[id]]=A1499,EDATE(Таблицаx_2[[#This Row],[Месяц]],1)=D1499),F1499,0)</f>
        <v>0</v>
      </c>
      <c r="K1498" s="8">
        <f>IF(AND(Таблицаx_2[[#This Row],[Месяц окончания]]=Таблицаx_2[[#This Row],[Месяц]],Таблицаx_2[[#This Row],[id]]=A1499,EDATE(Таблицаx_2[[#This Row],[Месяц]],2)=D1499),F1499,0)</f>
        <v>0</v>
      </c>
    </row>
    <row r="1499" spans="1:11" ht="12.75" hidden="1" customHeight="1" x14ac:dyDescent="0.2">
      <c r="A1499" s="8">
        <v>977</v>
      </c>
      <c r="B1499" s="8"/>
      <c r="C1499" s="8" t="s">
        <v>11</v>
      </c>
      <c r="D1499" s="12">
        <v>45323</v>
      </c>
      <c r="E1499" s="8">
        <v>71900</v>
      </c>
      <c r="F1499" s="10">
        <f>IF(ISTEXT(Таблицаx_2[[#This Row],[Значение]]), 0, Таблицаx_2[[#This Row],[Значение]])</f>
        <v>71900</v>
      </c>
      <c r="G1499" s="12">
        <v>45200</v>
      </c>
      <c r="H1499" s="10" t="str">
        <f>IFERROR(VLOOKUP(Таблицаx_2[[#This Row],[id]],prolongations!A:C,2,)," ")</f>
        <v>октябрь 2023</v>
      </c>
      <c r="I1499" s="10">
        <f>IF(Таблицаx_2[[#This Row],[Месяц окончания]]=Таблицаx_2[[#This Row],[Месяц]],Таблицаx_2[[#This Row],[Значения числа]],0)</f>
        <v>0</v>
      </c>
      <c r="J1499" s="8">
        <f>IF(AND(Таблицаx_2[[#This Row],[Месяц окончания]]=Таблицаx_2[[#This Row],[Месяц]],Таблицаx_2[[#This Row],[id]]=A1500,EDATE(Таблицаx_2[[#This Row],[Месяц]],1)=D1500),F1500,0)</f>
        <v>0</v>
      </c>
      <c r="K1499" s="8">
        <f>IF(AND(Таблицаx_2[[#This Row],[Месяц окончания]]=Таблицаx_2[[#This Row],[Месяц]],Таблицаx_2[[#This Row],[id]]=A1500,EDATE(Таблицаx_2[[#This Row],[Месяц]],2)=D1500),F1500,0)</f>
        <v>0</v>
      </c>
    </row>
    <row r="1500" spans="1:11" ht="12.75" hidden="1" customHeight="1" x14ac:dyDescent="0.2">
      <c r="A1500" s="8">
        <v>630</v>
      </c>
      <c r="B1500" s="8" t="s">
        <v>45</v>
      </c>
      <c r="C1500" s="8" t="s">
        <v>10</v>
      </c>
      <c r="D1500" s="12">
        <v>44927</v>
      </c>
      <c r="E1500" s="8">
        <v>41500</v>
      </c>
      <c r="F1500" s="10">
        <f>IF(ISTEXT(Таблицаx_2[[#This Row],[Значение]]), 0, Таблицаx_2[[#This Row],[Значение]])</f>
        <v>41500</v>
      </c>
      <c r="G1500" s="12">
        <v>44896</v>
      </c>
      <c r="H1500" s="10" t="str">
        <f>IFERROR(VLOOKUP(Таблицаx_2[[#This Row],[id]],prolongations!A:C,2,)," ")</f>
        <v>декабрь 2022</v>
      </c>
      <c r="I1500" s="10">
        <f>IF(Таблицаx_2[[#This Row],[Месяц окончания]]=Таблицаx_2[[#This Row],[Месяц]],Таблицаx_2[[#This Row],[Значения числа]],0)</f>
        <v>0</v>
      </c>
      <c r="J1500" s="8">
        <f>IF(AND(Таблицаx_2[[#This Row],[Месяц окончания]]=Таблицаx_2[[#This Row],[Месяц]],Таблицаx_2[[#This Row],[id]]=A1501,EDATE(Таблицаx_2[[#This Row],[Месяц]],1)=D1501),F1501,0)</f>
        <v>0</v>
      </c>
      <c r="K1500" s="8">
        <f>IF(AND(Таблицаx_2[[#This Row],[Месяц окончания]]=Таблицаx_2[[#This Row],[Месяц]],Таблицаx_2[[#This Row],[id]]=A1501,EDATE(Таблицаx_2[[#This Row],[Месяц]],2)=D1501),F1501,0)</f>
        <v>0</v>
      </c>
    </row>
    <row r="1501" spans="1:11" ht="12.75" hidden="1" customHeight="1" x14ac:dyDescent="0.2">
      <c r="A1501" s="8">
        <v>630</v>
      </c>
      <c r="B1501" s="8" t="s">
        <v>47</v>
      </c>
      <c r="C1501" s="8" t="s">
        <v>10</v>
      </c>
      <c r="D1501" s="12">
        <v>44866</v>
      </c>
      <c r="E1501" s="8">
        <v>54640</v>
      </c>
      <c r="F1501" s="10">
        <f>IF(ISTEXT(Таблицаx_2[[#This Row],[Значение]]), 0, Таблицаx_2[[#This Row],[Значение]])</f>
        <v>54640</v>
      </c>
      <c r="G1501" s="12">
        <v>44896</v>
      </c>
      <c r="H1501" s="10" t="str">
        <f>IFERROR(VLOOKUP(Таблицаx_2[[#This Row],[id]],prolongations!A:C,2,)," ")</f>
        <v>декабрь 2022</v>
      </c>
      <c r="I1501" s="10">
        <f>IF(Таблицаx_2[[#This Row],[Месяц окончания]]=Таблицаx_2[[#This Row],[Месяц]],Таблицаx_2[[#This Row],[Значения числа]],0)</f>
        <v>0</v>
      </c>
      <c r="J1501" s="8">
        <f>IF(AND(Таблицаx_2[[#This Row],[Месяц окончания]]=Таблицаx_2[[#This Row],[Месяц]],Таблицаx_2[[#This Row],[id]]=A1502,EDATE(Таблицаx_2[[#This Row],[Месяц]],1)=D1502),F1502,0)</f>
        <v>0</v>
      </c>
      <c r="K1501" s="8">
        <f>IF(AND(Таблицаx_2[[#This Row],[Месяц окончания]]=Таблицаx_2[[#This Row],[Месяц]],Таблицаx_2[[#This Row],[id]]=A1502,EDATE(Таблицаx_2[[#This Row],[Месяц]],2)=D1502),F1502,0)</f>
        <v>0</v>
      </c>
    </row>
    <row r="1502" spans="1:11" hidden="1" x14ac:dyDescent="0.2">
      <c r="A1502" s="8">
        <v>630</v>
      </c>
      <c r="B1502" s="8" t="s">
        <v>47</v>
      </c>
      <c r="C1502" s="8" t="s">
        <v>10</v>
      </c>
      <c r="D1502" s="12">
        <v>44896</v>
      </c>
      <c r="E1502" s="8">
        <v>54165</v>
      </c>
      <c r="F1502" s="10">
        <f>IF(ISTEXT(Таблицаx_2[[#This Row],[Значение]]), 0, Таблицаx_2[[#This Row],[Значение]])</f>
        <v>54165</v>
      </c>
      <c r="G1502" s="12">
        <v>44896</v>
      </c>
      <c r="H1502" s="10" t="str">
        <f>IFERROR(VLOOKUP(Таблицаx_2[[#This Row],[id]],prolongations!A:C,2,)," ")</f>
        <v>декабрь 2022</v>
      </c>
      <c r="I1502" s="10">
        <f>IF(Таблицаx_2[[#This Row],[Месяц окончания]]=Таблицаx_2[[#This Row],[Месяц]],Таблицаx_2[[#This Row],[Значения числа]],0)</f>
        <v>54165</v>
      </c>
      <c r="J1502" s="8">
        <f>IF(AND(Таблицаx_2[[#This Row],[Месяц окончания]]=Таблицаx_2[[#This Row],[Месяц]],Таблицаx_2[[#This Row],[id]]=A1503,EDATE(Таблицаx_2[[#This Row],[Месяц]],1)=D1503),F1503,0)</f>
        <v>8140</v>
      </c>
      <c r="K1502" s="8">
        <f>IF(AND(Таблицаx_2[[#This Row],[Месяц окончания]]=Таблицаx_2[[#This Row],[Месяц]],Таблицаx_2[[#This Row],[id]]=A1503,EDATE(Таблицаx_2[[#This Row],[Месяц]],2)=D1503),F1503,0)</f>
        <v>0</v>
      </c>
    </row>
    <row r="1503" spans="1:11" ht="12.75" hidden="1" customHeight="1" x14ac:dyDescent="0.2">
      <c r="A1503" s="8">
        <v>630</v>
      </c>
      <c r="B1503" s="8" t="s">
        <v>47</v>
      </c>
      <c r="C1503" s="8" t="s">
        <v>10</v>
      </c>
      <c r="D1503" s="12">
        <v>44927</v>
      </c>
      <c r="E1503" s="8">
        <v>8140</v>
      </c>
      <c r="F1503" s="10">
        <f>IF(ISTEXT(Таблицаx_2[[#This Row],[Значение]]), 0, Таблицаx_2[[#This Row],[Значение]])</f>
        <v>8140</v>
      </c>
      <c r="G1503" s="12">
        <v>44896</v>
      </c>
      <c r="H1503" s="10" t="str">
        <f>IFERROR(VLOOKUP(Таблицаx_2[[#This Row],[id]],prolongations!A:C,2,)," ")</f>
        <v>декабрь 2022</v>
      </c>
      <c r="I1503" s="10">
        <f>IF(Таблицаx_2[[#This Row],[Месяц окончания]]=Таблицаx_2[[#This Row],[Месяц]],Таблицаx_2[[#This Row],[Значения числа]],0)</f>
        <v>0</v>
      </c>
      <c r="J1503" s="8">
        <f>IF(AND(Таблицаx_2[[#This Row],[Месяц окончания]]=Таблицаx_2[[#This Row],[Месяц]],Таблицаx_2[[#This Row],[id]]=A1504,EDATE(Таблицаx_2[[#This Row],[Месяц]],1)=D1504),F1504,0)</f>
        <v>0</v>
      </c>
      <c r="K1503" s="8">
        <f>IF(AND(Таблицаx_2[[#This Row],[Месяц окончания]]=Таблицаx_2[[#This Row],[Месяц]],Таблицаx_2[[#This Row],[id]]=A1504,EDATE(Таблицаx_2[[#This Row],[Месяц]],2)=D1504),F1504,0)</f>
        <v>0</v>
      </c>
    </row>
    <row r="1504" spans="1:11" ht="12.75" hidden="1" customHeight="1" x14ac:dyDescent="0.2">
      <c r="A1504" s="8">
        <v>630</v>
      </c>
      <c r="B1504" s="8" t="s">
        <v>47</v>
      </c>
      <c r="C1504" s="8" t="s">
        <v>10</v>
      </c>
      <c r="D1504" s="12">
        <v>44958</v>
      </c>
      <c r="E1504" s="8">
        <v>47085</v>
      </c>
      <c r="F1504" s="10">
        <f>IF(ISTEXT(Таблицаx_2[[#This Row],[Значение]]), 0, Таблицаx_2[[#This Row],[Значение]])</f>
        <v>47085</v>
      </c>
      <c r="G1504" s="12">
        <v>44896</v>
      </c>
      <c r="H1504" s="10" t="str">
        <f>IFERROR(VLOOKUP(Таблицаx_2[[#This Row],[id]],prolongations!A:C,2,)," ")</f>
        <v>декабрь 2022</v>
      </c>
      <c r="I1504" s="10">
        <f>IF(Таблицаx_2[[#This Row],[Месяц окончания]]=Таблицаx_2[[#This Row],[Месяц]],Таблицаx_2[[#This Row],[Значения числа]],0)</f>
        <v>0</v>
      </c>
      <c r="J1504" s="8">
        <f>IF(AND(Таблицаx_2[[#This Row],[Месяц окончания]]=Таблицаx_2[[#This Row],[Месяц]],Таблицаx_2[[#This Row],[id]]=A1505,EDATE(Таблицаx_2[[#This Row],[Месяц]],1)=D1505),F1505,0)</f>
        <v>0</v>
      </c>
      <c r="K1504" s="8">
        <f>IF(AND(Таблицаx_2[[#This Row],[Месяц окончания]]=Таблицаx_2[[#This Row],[Месяц]],Таблицаx_2[[#This Row],[id]]=A1505,EDATE(Таблицаx_2[[#This Row],[Месяц]],2)=D1505),F1505,0)</f>
        <v>0</v>
      </c>
    </row>
    <row r="1505" spans="1:11" ht="12.75" hidden="1" customHeight="1" x14ac:dyDescent="0.2">
      <c r="A1505" s="8">
        <v>630</v>
      </c>
      <c r="B1505" s="8" t="s">
        <v>47</v>
      </c>
      <c r="C1505" s="8" t="s">
        <v>10</v>
      </c>
      <c r="D1505" s="12">
        <v>44986</v>
      </c>
      <c r="E1505" s="8">
        <v>47040</v>
      </c>
      <c r="F1505" s="10">
        <f>IF(ISTEXT(Таблицаx_2[[#This Row],[Значение]]), 0, Таблицаx_2[[#This Row],[Значение]])</f>
        <v>47040</v>
      </c>
      <c r="G1505" s="12">
        <v>44896</v>
      </c>
      <c r="H1505" s="10" t="str">
        <f>IFERROR(VLOOKUP(Таблицаx_2[[#This Row],[id]],prolongations!A:C,2,)," ")</f>
        <v>декабрь 2022</v>
      </c>
      <c r="I1505" s="10">
        <f>IF(Таблицаx_2[[#This Row],[Месяц окончания]]=Таблицаx_2[[#This Row],[Месяц]],Таблицаx_2[[#This Row],[Значения числа]],0)</f>
        <v>0</v>
      </c>
      <c r="J1505" s="8">
        <f>IF(AND(Таблицаx_2[[#This Row],[Месяц окончания]]=Таблицаx_2[[#This Row],[Месяц]],Таблицаx_2[[#This Row],[id]]=A1506,EDATE(Таблицаx_2[[#This Row],[Месяц]],1)=D1506),F1506,0)</f>
        <v>0</v>
      </c>
      <c r="K1505" s="8">
        <f>IF(AND(Таблицаx_2[[#This Row],[Месяц окончания]]=Таблицаx_2[[#This Row],[Месяц]],Таблицаx_2[[#This Row],[id]]=A1506,EDATE(Таблицаx_2[[#This Row],[Месяц]],2)=D1506),F1506,0)</f>
        <v>0</v>
      </c>
    </row>
    <row r="1506" spans="1:11" ht="12.75" hidden="1" customHeight="1" x14ac:dyDescent="0.2">
      <c r="A1506" s="8">
        <v>630</v>
      </c>
      <c r="B1506" s="8" t="s">
        <v>47</v>
      </c>
      <c r="C1506" s="8" t="s">
        <v>10</v>
      </c>
      <c r="D1506" s="12">
        <v>45017</v>
      </c>
      <c r="E1506" s="8">
        <v>42185</v>
      </c>
      <c r="F1506" s="10">
        <f>IF(ISTEXT(Таблицаx_2[[#This Row],[Значение]]), 0, Таблицаx_2[[#This Row],[Значение]])</f>
        <v>42185</v>
      </c>
      <c r="G1506" s="12">
        <v>44896</v>
      </c>
      <c r="H1506" s="10" t="str">
        <f>IFERROR(VLOOKUP(Таблицаx_2[[#This Row],[id]],prolongations!A:C,2,)," ")</f>
        <v>декабрь 2022</v>
      </c>
      <c r="I1506" s="10">
        <f>IF(Таблицаx_2[[#This Row],[Месяц окончания]]=Таблицаx_2[[#This Row],[Месяц]],Таблицаx_2[[#This Row],[Значения числа]],0)</f>
        <v>0</v>
      </c>
      <c r="J1506" s="8">
        <f>IF(AND(Таблицаx_2[[#This Row],[Месяц окончания]]=Таблицаx_2[[#This Row],[Месяц]],Таблицаx_2[[#This Row],[id]]=A1507,EDATE(Таблицаx_2[[#This Row],[Месяц]],1)=D1507),F1507,0)</f>
        <v>0</v>
      </c>
      <c r="K1506" s="8">
        <f>IF(AND(Таблицаx_2[[#This Row],[Месяц окончания]]=Таблицаx_2[[#This Row],[Месяц]],Таблицаx_2[[#This Row],[id]]=A1507,EDATE(Таблицаx_2[[#This Row],[Месяц]],2)=D1507),F1507,0)</f>
        <v>0</v>
      </c>
    </row>
    <row r="1507" spans="1:11" ht="12.75" hidden="1" customHeight="1" x14ac:dyDescent="0.2">
      <c r="A1507" s="8">
        <v>630</v>
      </c>
      <c r="B1507" s="8" t="s">
        <v>47</v>
      </c>
      <c r="C1507" s="8" t="s">
        <v>10</v>
      </c>
      <c r="D1507" s="12">
        <v>45047</v>
      </c>
      <c r="E1507" s="8">
        <v>43510</v>
      </c>
      <c r="F1507" s="10">
        <f>IF(ISTEXT(Таблицаx_2[[#This Row],[Значение]]), 0, Таблицаx_2[[#This Row],[Значение]])</f>
        <v>43510</v>
      </c>
      <c r="G1507" s="12">
        <v>44896</v>
      </c>
      <c r="H1507" s="10" t="str">
        <f>IFERROR(VLOOKUP(Таблицаx_2[[#This Row],[id]],prolongations!A:C,2,)," ")</f>
        <v>декабрь 2022</v>
      </c>
      <c r="I1507" s="10">
        <f>IF(Таблицаx_2[[#This Row],[Месяц окончания]]=Таблицаx_2[[#This Row],[Месяц]],Таблицаx_2[[#This Row],[Значения числа]],0)</f>
        <v>0</v>
      </c>
      <c r="J1507" s="8">
        <f>IF(AND(Таблицаx_2[[#This Row],[Месяц окончания]]=Таблицаx_2[[#This Row],[Месяц]],Таблицаx_2[[#This Row],[id]]=A1508,EDATE(Таблицаx_2[[#This Row],[Месяц]],1)=D1508),F1508,0)</f>
        <v>0</v>
      </c>
      <c r="K1507" s="8">
        <f>IF(AND(Таблицаx_2[[#This Row],[Месяц окончания]]=Таблицаx_2[[#This Row],[Месяц]],Таблицаx_2[[#This Row],[id]]=A1508,EDATE(Таблицаx_2[[#This Row],[Месяц]],2)=D1508),F1508,0)</f>
        <v>0</v>
      </c>
    </row>
    <row r="1508" spans="1:11" ht="12.75" hidden="1" customHeight="1" x14ac:dyDescent="0.2">
      <c r="A1508" s="8">
        <v>630</v>
      </c>
      <c r="B1508" s="8" t="s">
        <v>47</v>
      </c>
      <c r="C1508" s="8" t="s">
        <v>10</v>
      </c>
      <c r="D1508" s="12">
        <v>45078</v>
      </c>
      <c r="E1508" s="8">
        <v>37325</v>
      </c>
      <c r="F1508" s="10">
        <f>IF(ISTEXT(Таблицаx_2[[#This Row],[Значение]]), 0, Таблицаx_2[[#This Row],[Значение]])</f>
        <v>37325</v>
      </c>
      <c r="G1508" s="12">
        <v>44896</v>
      </c>
      <c r="H1508" s="10" t="str">
        <f>IFERROR(VLOOKUP(Таблицаx_2[[#This Row],[id]],prolongations!A:C,2,)," ")</f>
        <v>декабрь 2022</v>
      </c>
      <c r="I1508" s="10">
        <f>IF(Таблицаx_2[[#This Row],[Месяц окончания]]=Таблицаx_2[[#This Row],[Месяц]],Таблицаx_2[[#This Row],[Значения числа]],0)</f>
        <v>0</v>
      </c>
      <c r="J1508" s="8">
        <f>IF(AND(Таблицаx_2[[#This Row],[Месяц окончания]]=Таблицаx_2[[#This Row],[Месяц]],Таблицаx_2[[#This Row],[id]]=A1509,EDATE(Таблицаx_2[[#This Row],[Месяц]],1)=D1509),F1509,0)</f>
        <v>0</v>
      </c>
      <c r="K1508" s="8">
        <f>IF(AND(Таблицаx_2[[#This Row],[Месяц окончания]]=Таблицаx_2[[#This Row],[Месяц]],Таблицаx_2[[#This Row],[id]]=A1509,EDATE(Таблицаx_2[[#This Row],[Месяц]],2)=D1509),F1509,0)</f>
        <v>0</v>
      </c>
    </row>
    <row r="1509" spans="1:11" ht="12.75" hidden="1" customHeight="1" x14ac:dyDescent="0.2">
      <c r="A1509" s="8">
        <v>630</v>
      </c>
      <c r="B1509" s="8" t="s">
        <v>47</v>
      </c>
      <c r="C1509" s="8" t="s">
        <v>10</v>
      </c>
      <c r="D1509" s="12">
        <v>45108</v>
      </c>
      <c r="E1509" s="8">
        <v>32930</v>
      </c>
      <c r="F1509" s="10">
        <f>IF(ISTEXT(Таблицаx_2[[#This Row],[Значение]]), 0, Таблицаx_2[[#This Row],[Значение]])</f>
        <v>32930</v>
      </c>
      <c r="G1509" s="12">
        <v>44896</v>
      </c>
      <c r="H1509" s="10" t="str">
        <f>IFERROR(VLOOKUP(Таблицаx_2[[#This Row],[id]],prolongations!A:C,2,)," ")</f>
        <v>декабрь 2022</v>
      </c>
      <c r="I1509" s="10">
        <f>IF(Таблицаx_2[[#This Row],[Месяц окончания]]=Таблицаx_2[[#This Row],[Месяц]],Таблицаx_2[[#This Row],[Значения числа]],0)</f>
        <v>0</v>
      </c>
      <c r="J1509" s="8">
        <f>IF(AND(Таблицаx_2[[#This Row],[Месяц окончания]]=Таблицаx_2[[#This Row],[Месяц]],Таблицаx_2[[#This Row],[id]]=A1510,EDATE(Таблицаx_2[[#This Row],[Месяц]],1)=D1510),F1510,0)</f>
        <v>0</v>
      </c>
      <c r="K1509" s="8">
        <f>IF(AND(Таблицаx_2[[#This Row],[Месяц окончания]]=Таблицаx_2[[#This Row],[Месяц]],Таблицаx_2[[#This Row],[id]]=A1510,EDATE(Таблицаx_2[[#This Row],[Месяц]],2)=D1510),F1510,0)</f>
        <v>0</v>
      </c>
    </row>
    <row r="1510" spans="1:11" ht="12.75" hidden="1" customHeight="1" x14ac:dyDescent="0.2">
      <c r="A1510" s="8">
        <v>630</v>
      </c>
      <c r="B1510" s="8" t="s">
        <v>47</v>
      </c>
      <c r="C1510" s="8" t="s">
        <v>10</v>
      </c>
      <c r="D1510" s="12">
        <v>45139</v>
      </c>
      <c r="E1510" s="8">
        <v>35855</v>
      </c>
      <c r="F1510" s="10">
        <f>IF(ISTEXT(Таблицаx_2[[#This Row],[Значение]]), 0, Таблицаx_2[[#This Row],[Значение]])</f>
        <v>35855</v>
      </c>
      <c r="G1510" s="12">
        <v>44896</v>
      </c>
      <c r="H1510" s="10" t="str">
        <f>IFERROR(VLOOKUP(Таблицаx_2[[#This Row],[id]],prolongations!A:C,2,)," ")</f>
        <v>декабрь 2022</v>
      </c>
      <c r="I1510" s="10">
        <f>IF(Таблицаx_2[[#This Row],[Месяц окончания]]=Таблицаx_2[[#This Row],[Месяц]],Таблицаx_2[[#This Row],[Значения числа]],0)</f>
        <v>0</v>
      </c>
      <c r="J1510" s="8">
        <f>IF(AND(Таблицаx_2[[#This Row],[Месяц окончания]]=Таблицаx_2[[#This Row],[Месяц]],Таблицаx_2[[#This Row],[id]]=A1511,EDATE(Таблицаx_2[[#This Row],[Месяц]],1)=D1511),F1511,0)</f>
        <v>0</v>
      </c>
      <c r="K1510" s="8">
        <f>IF(AND(Таблицаx_2[[#This Row],[Месяц окончания]]=Таблицаx_2[[#This Row],[Месяц]],Таблицаx_2[[#This Row],[id]]=A1511,EDATE(Таблицаx_2[[#This Row],[Месяц]],2)=D1511),F1511,0)</f>
        <v>0</v>
      </c>
    </row>
    <row r="1511" spans="1:11" ht="12.75" hidden="1" customHeight="1" x14ac:dyDescent="0.2">
      <c r="A1511" s="8">
        <v>630</v>
      </c>
      <c r="B1511" s="8" t="s">
        <v>47</v>
      </c>
      <c r="C1511" s="8" t="s">
        <v>10</v>
      </c>
      <c r="D1511" s="12">
        <v>45170</v>
      </c>
      <c r="E1511" s="8">
        <v>39405</v>
      </c>
      <c r="F1511" s="10">
        <f>IF(ISTEXT(Таблицаx_2[[#This Row],[Значение]]), 0, Таблицаx_2[[#This Row],[Значение]])</f>
        <v>39405</v>
      </c>
      <c r="G1511" s="12">
        <v>44896</v>
      </c>
      <c r="H1511" s="10" t="str">
        <f>IFERROR(VLOOKUP(Таблицаx_2[[#This Row],[id]],prolongations!A:C,2,)," ")</f>
        <v>декабрь 2022</v>
      </c>
      <c r="I1511" s="10">
        <f>IF(Таблицаx_2[[#This Row],[Месяц окончания]]=Таблицаx_2[[#This Row],[Месяц]],Таблицаx_2[[#This Row],[Значения числа]],0)</f>
        <v>0</v>
      </c>
      <c r="J1511" s="8">
        <f>IF(AND(Таблицаx_2[[#This Row],[Месяц окончания]]=Таблицаx_2[[#This Row],[Месяц]],Таблицаx_2[[#This Row],[id]]=A1512,EDATE(Таблицаx_2[[#This Row],[Месяц]],1)=D1512),F1512,0)</f>
        <v>0</v>
      </c>
      <c r="K1511" s="8">
        <f>IF(AND(Таблицаx_2[[#This Row],[Месяц окончания]]=Таблицаx_2[[#This Row],[Месяц]],Таблицаx_2[[#This Row],[id]]=A1512,EDATE(Таблицаx_2[[#This Row],[Месяц]],2)=D1512),F1512,0)</f>
        <v>0</v>
      </c>
    </row>
    <row r="1512" spans="1:11" ht="12.75" hidden="1" customHeight="1" x14ac:dyDescent="0.2">
      <c r="A1512" s="8">
        <v>630</v>
      </c>
      <c r="B1512" s="8" t="s">
        <v>47</v>
      </c>
      <c r="C1512" s="8" t="s">
        <v>10</v>
      </c>
      <c r="D1512" s="12">
        <v>45200</v>
      </c>
      <c r="E1512" s="8">
        <v>32375</v>
      </c>
      <c r="F1512" s="10">
        <f>IF(ISTEXT(Таблицаx_2[[#This Row],[Значение]]), 0, Таблицаx_2[[#This Row],[Значение]])</f>
        <v>32375</v>
      </c>
      <c r="G1512" s="12">
        <v>44896</v>
      </c>
      <c r="H1512" s="10" t="str">
        <f>IFERROR(VLOOKUP(Таблицаx_2[[#This Row],[id]],prolongations!A:C,2,)," ")</f>
        <v>декабрь 2022</v>
      </c>
      <c r="I1512" s="10">
        <f>IF(Таблицаx_2[[#This Row],[Месяц окончания]]=Таблицаx_2[[#This Row],[Месяц]],Таблицаx_2[[#This Row],[Значения числа]],0)</f>
        <v>0</v>
      </c>
      <c r="J1512" s="8">
        <f>IF(AND(Таблицаx_2[[#This Row],[Месяц окончания]]=Таблицаx_2[[#This Row],[Месяц]],Таблицаx_2[[#This Row],[id]]=A1513,EDATE(Таблицаx_2[[#This Row],[Месяц]],1)=D1513),F1513,0)</f>
        <v>0</v>
      </c>
      <c r="K1512" s="8">
        <f>IF(AND(Таблицаx_2[[#This Row],[Месяц окончания]]=Таблицаx_2[[#This Row],[Месяц]],Таблицаx_2[[#This Row],[id]]=A1513,EDATE(Таблицаx_2[[#This Row],[Месяц]],2)=D1513),F1513,0)</f>
        <v>0</v>
      </c>
    </row>
    <row r="1513" spans="1:11" ht="12.75" hidden="1" customHeight="1" x14ac:dyDescent="0.2">
      <c r="A1513" s="8">
        <v>630</v>
      </c>
      <c r="B1513" s="8" t="s">
        <v>47</v>
      </c>
      <c r="C1513" s="8" t="s">
        <v>10</v>
      </c>
      <c r="D1513" s="12">
        <v>45231</v>
      </c>
      <c r="E1513" s="8">
        <v>28175</v>
      </c>
      <c r="F1513" s="10">
        <f>IF(ISTEXT(Таблицаx_2[[#This Row],[Значение]]), 0, Таблицаx_2[[#This Row],[Значение]])</f>
        <v>28175</v>
      </c>
      <c r="G1513" s="12">
        <v>44896</v>
      </c>
      <c r="H1513" s="10" t="str">
        <f>IFERROR(VLOOKUP(Таблицаx_2[[#This Row],[id]],prolongations!A:C,2,)," ")</f>
        <v>декабрь 2022</v>
      </c>
      <c r="I1513" s="10">
        <f>IF(Таблицаx_2[[#This Row],[Месяц окончания]]=Таблицаx_2[[#This Row],[Месяц]],Таблицаx_2[[#This Row],[Значения числа]],0)</f>
        <v>0</v>
      </c>
      <c r="J1513" s="8">
        <f>IF(AND(Таблицаx_2[[#This Row],[Месяц окончания]]=Таблицаx_2[[#This Row],[Месяц]],Таблицаx_2[[#This Row],[id]]=A1514,EDATE(Таблицаx_2[[#This Row],[Месяц]],1)=D1514),F1514,0)</f>
        <v>0</v>
      </c>
      <c r="K1513" s="8">
        <f>IF(AND(Таблицаx_2[[#This Row],[Месяц окончания]]=Таблицаx_2[[#This Row],[Месяц]],Таблицаx_2[[#This Row],[id]]=A1514,EDATE(Таблицаx_2[[#This Row],[Месяц]],2)=D1514),F1514,0)</f>
        <v>0</v>
      </c>
    </row>
    <row r="1514" spans="1:11" ht="12.75" hidden="1" customHeight="1" x14ac:dyDescent="0.2">
      <c r="A1514" s="8">
        <v>914</v>
      </c>
      <c r="B1514" s="8" t="s">
        <v>45</v>
      </c>
      <c r="C1514" s="8" t="s">
        <v>6</v>
      </c>
      <c r="D1514" s="12">
        <v>45139</v>
      </c>
      <c r="E1514" s="8">
        <v>52778</v>
      </c>
      <c r="F1514" s="10">
        <f>IF(ISTEXT(Таблицаx_2[[#This Row],[Значение]]), 0, Таблицаx_2[[#This Row],[Значение]])</f>
        <v>52778</v>
      </c>
      <c r="G1514" s="12">
        <v>45139</v>
      </c>
      <c r="H1514" s="10" t="str">
        <f>IFERROR(VLOOKUP(Таблицаx_2[[#This Row],[id]],prolongations!A:C,2,)," ")</f>
        <v>август 2023</v>
      </c>
      <c r="I1514" s="10">
        <f>IF(Таблицаx_2[[#This Row],[Месяц окончания]]=Таблицаx_2[[#This Row],[Месяц]],Таблицаx_2[[#This Row],[Значения числа]],0)</f>
        <v>52778</v>
      </c>
      <c r="J1514" s="8">
        <f>IF(AND(Таблицаx_2[[#This Row],[Месяц окончания]]=Таблицаx_2[[#This Row],[Месяц]],Таблицаx_2[[#This Row],[id]]=A1515,EDATE(Таблицаx_2[[#This Row],[Месяц]],1)=D1515),F1515,0)</f>
        <v>78987</v>
      </c>
      <c r="K1514" s="8">
        <f>IF(AND(Таблицаx_2[[#This Row],[Месяц окончания]]=Таблицаx_2[[#This Row],[Месяц]],Таблицаx_2[[#This Row],[id]]=A1515,EDATE(Таблицаx_2[[#This Row],[Месяц]],2)=D1515),F1515,0)</f>
        <v>0</v>
      </c>
    </row>
    <row r="1515" spans="1:11" ht="12.75" hidden="1" customHeight="1" x14ac:dyDescent="0.2">
      <c r="A1515" s="8">
        <v>914</v>
      </c>
      <c r="B1515" s="8" t="s">
        <v>45</v>
      </c>
      <c r="C1515" s="8" t="s">
        <v>6</v>
      </c>
      <c r="D1515" s="12">
        <v>45170</v>
      </c>
      <c r="E1515" s="8">
        <v>78987</v>
      </c>
      <c r="F1515" s="10">
        <f>IF(ISTEXT(Таблицаx_2[[#This Row],[Значение]]), 0, Таблицаx_2[[#This Row],[Значение]])</f>
        <v>78987</v>
      </c>
      <c r="G1515" s="12">
        <v>45139</v>
      </c>
      <c r="H1515" s="10" t="str">
        <f>IFERROR(VLOOKUP(Таблицаx_2[[#This Row],[id]],prolongations!A:C,2,)," ")</f>
        <v>август 2023</v>
      </c>
      <c r="I1515" s="10">
        <f>IF(Таблицаx_2[[#This Row],[Месяц окончания]]=Таблицаx_2[[#This Row],[Месяц]],Таблицаx_2[[#This Row],[Значения числа]],0)</f>
        <v>0</v>
      </c>
      <c r="J1515" s="8">
        <f>IF(AND(Таблицаx_2[[#This Row],[Месяц окончания]]=Таблицаx_2[[#This Row],[Месяц]],Таблицаx_2[[#This Row],[id]]=A1516,EDATE(Таблицаx_2[[#This Row],[Месяц]],1)=D1516),F1516,0)</f>
        <v>0</v>
      </c>
      <c r="K1515" s="8">
        <f>IF(AND(Таблицаx_2[[#This Row],[Месяц окончания]]=Таблицаx_2[[#This Row],[Месяц]],Таблицаx_2[[#This Row],[id]]=A1516,EDATE(Таблицаx_2[[#This Row],[Месяц]],2)=D1516),F1516,0)</f>
        <v>0</v>
      </c>
    </row>
    <row r="1516" spans="1:11" ht="12.75" hidden="1" customHeight="1" x14ac:dyDescent="0.2">
      <c r="A1516" s="8">
        <v>914</v>
      </c>
      <c r="B1516" s="8" t="s">
        <v>45</v>
      </c>
      <c r="C1516" s="8" t="s">
        <v>6</v>
      </c>
      <c r="D1516" s="12">
        <v>45200</v>
      </c>
      <c r="E1516" s="8">
        <v>78987</v>
      </c>
      <c r="F1516" s="10">
        <f>IF(ISTEXT(Таблицаx_2[[#This Row],[Значение]]), 0, Таблицаx_2[[#This Row],[Значение]])</f>
        <v>78987</v>
      </c>
      <c r="G1516" s="12">
        <v>45139</v>
      </c>
      <c r="H1516" s="10" t="str">
        <f>IFERROR(VLOOKUP(Таблицаx_2[[#This Row],[id]],prolongations!A:C,2,)," ")</f>
        <v>август 2023</v>
      </c>
      <c r="I1516" s="10">
        <f>IF(Таблицаx_2[[#This Row],[Месяц окончания]]=Таблицаx_2[[#This Row],[Месяц]],Таблицаx_2[[#This Row],[Значения числа]],0)</f>
        <v>0</v>
      </c>
      <c r="J1516" s="8">
        <f>IF(AND(Таблицаx_2[[#This Row],[Месяц окончания]]=Таблицаx_2[[#This Row],[Месяц]],Таблицаx_2[[#This Row],[id]]=A1517,EDATE(Таблицаx_2[[#This Row],[Месяц]],1)=D1517),F1517,0)</f>
        <v>0</v>
      </c>
      <c r="K1516" s="8">
        <f>IF(AND(Таблицаx_2[[#This Row],[Месяц окончания]]=Таблицаx_2[[#This Row],[Месяц]],Таблицаx_2[[#This Row],[id]]=A1517,EDATE(Таблицаx_2[[#This Row],[Месяц]],2)=D1517),F1517,0)</f>
        <v>0</v>
      </c>
    </row>
    <row r="1517" spans="1:11" ht="12.75" hidden="1" customHeight="1" x14ac:dyDescent="0.2">
      <c r="A1517" s="8">
        <v>914</v>
      </c>
      <c r="B1517" s="8" t="s">
        <v>45</v>
      </c>
      <c r="C1517" s="8" t="s">
        <v>6</v>
      </c>
      <c r="D1517" s="12">
        <v>45231</v>
      </c>
      <c r="E1517" s="8" t="s">
        <v>46</v>
      </c>
      <c r="F1517" s="10">
        <f>IF(ISTEXT(Таблицаx_2[[#This Row],[Значение]]), 0, Таблицаx_2[[#This Row],[Значение]])</f>
        <v>0</v>
      </c>
      <c r="G1517" s="12">
        <v>45139</v>
      </c>
      <c r="H1517" s="10" t="str">
        <f>IFERROR(VLOOKUP(Таблицаx_2[[#This Row],[id]],prolongations!A:C,2,)," ")</f>
        <v>август 2023</v>
      </c>
      <c r="I1517" s="10">
        <f>IF(Таблицаx_2[[#This Row],[Месяц окончания]]=Таблицаx_2[[#This Row],[Месяц]],Таблицаx_2[[#This Row],[Значения числа]],0)</f>
        <v>0</v>
      </c>
      <c r="J1517" s="8">
        <f>IF(AND(Таблицаx_2[[#This Row],[Месяц окончания]]=Таблицаx_2[[#This Row],[Месяц]],Таблицаx_2[[#This Row],[id]]=A1518,EDATE(Таблицаx_2[[#This Row],[Месяц]],1)=D1518),F1518,0)</f>
        <v>0</v>
      </c>
      <c r="K1517" s="8">
        <f>IF(AND(Таблицаx_2[[#This Row],[Месяц окончания]]=Таблицаx_2[[#This Row],[Месяц]],Таблицаx_2[[#This Row],[id]]=A1518,EDATE(Таблицаx_2[[#This Row],[Месяц]],2)=D1518),F1518,0)</f>
        <v>0</v>
      </c>
    </row>
    <row r="1518" spans="1:11" ht="12.75" hidden="1" customHeight="1" x14ac:dyDescent="0.2">
      <c r="A1518" s="8">
        <v>914</v>
      </c>
      <c r="B1518" s="8" t="s">
        <v>47</v>
      </c>
      <c r="C1518" s="8" t="s">
        <v>6</v>
      </c>
      <c r="D1518" s="12">
        <v>45139</v>
      </c>
      <c r="E1518" s="8">
        <v>79167</v>
      </c>
      <c r="F1518" s="10">
        <f>IF(ISTEXT(Таблицаx_2[[#This Row],[Значение]]), 0, Таблицаx_2[[#This Row],[Значение]])</f>
        <v>79167</v>
      </c>
      <c r="G1518" s="12">
        <v>45139</v>
      </c>
      <c r="H1518" s="10" t="str">
        <f>IFERROR(VLOOKUP(Таблицаx_2[[#This Row],[id]],prolongations!A:C,2,)," ")</f>
        <v>август 2023</v>
      </c>
      <c r="I1518" s="10">
        <f>IF(Таблицаx_2[[#This Row],[Месяц окончания]]=Таблицаx_2[[#This Row],[Месяц]],Таблицаx_2[[#This Row],[Значения числа]],0)</f>
        <v>79167</v>
      </c>
      <c r="J1518" s="8">
        <f>IF(AND(Таблицаx_2[[#This Row],[Месяц окончания]]=Таблицаx_2[[#This Row],[Месяц]],Таблицаx_2[[#This Row],[id]]=A1519,EDATE(Таблицаx_2[[#This Row],[Месяц]],1)=D1519),F1519,0)</f>
        <v>52658</v>
      </c>
      <c r="K1518" s="8">
        <f>IF(AND(Таблицаx_2[[#This Row],[Месяц окончания]]=Таблицаx_2[[#This Row],[Месяц]],Таблицаx_2[[#This Row],[id]]=A1519,EDATE(Таблицаx_2[[#This Row],[Месяц]],2)=D1519),F1519,0)</f>
        <v>0</v>
      </c>
    </row>
    <row r="1519" spans="1:11" ht="12.75" hidden="1" customHeight="1" x14ac:dyDescent="0.2">
      <c r="A1519" s="8">
        <v>914</v>
      </c>
      <c r="B1519" s="8" t="s">
        <v>47</v>
      </c>
      <c r="C1519" s="8" t="s">
        <v>6</v>
      </c>
      <c r="D1519" s="12">
        <v>45170</v>
      </c>
      <c r="E1519" s="8">
        <v>52658</v>
      </c>
      <c r="F1519" s="10">
        <f>IF(ISTEXT(Таблицаx_2[[#This Row],[Значение]]), 0, Таблицаx_2[[#This Row],[Значение]])</f>
        <v>52658</v>
      </c>
      <c r="G1519" s="12">
        <v>45139</v>
      </c>
      <c r="H1519" s="10" t="str">
        <f>IFERROR(VLOOKUP(Таблицаx_2[[#This Row],[id]],prolongations!A:C,2,)," ")</f>
        <v>август 2023</v>
      </c>
      <c r="I1519" s="10">
        <f>IF(Таблицаx_2[[#This Row],[Месяц окончания]]=Таблицаx_2[[#This Row],[Месяц]],Таблицаx_2[[#This Row],[Значения числа]],0)</f>
        <v>0</v>
      </c>
      <c r="J1519" s="8">
        <f>IF(AND(Таблицаx_2[[#This Row],[Месяц окончания]]=Таблицаx_2[[#This Row],[Месяц]],Таблицаx_2[[#This Row],[id]]=A1520,EDATE(Таблицаx_2[[#This Row],[Месяц]],1)=D1520),F1520,0)</f>
        <v>0</v>
      </c>
      <c r="K1519" s="8">
        <f>IF(AND(Таблицаx_2[[#This Row],[Месяц окончания]]=Таблицаx_2[[#This Row],[Месяц]],Таблицаx_2[[#This Row],[id]]=A1520,EDATE(Таблицаx_2[[#This Row],[Месяц]],2)=D1520),F1520,0)</f>
        <v>0</v>
      </c>
    </row>
    <row r="1520" spans="1:11" ht="12.75" hidden="1" customHeight="1" x14ac:dyDescent="0.2">
      <c r="A1520" s="8">
        <v>914</v>
      </c>
      <c r="B1520" s="8" t="s">
        <v>47</v>
      </c>
      <c r="C1520" s="8" t="s">
        <v>6</v>
      </c>
      <c r="D1520" s="12">
        <v>45200</v>
      </c>
      <c r="E1520" s="8">
        <v>52658</v>
      </c>
      <c r="F1520" s="10">
        <f>IF(ISTEXT(Таблицаx_2[[#This Row],[Значение]]), 0, Таблицаx_2[[#This Row],[Значение]])</f>
        <v>52658</v>
      </c>
      <c r="G1520" s="12">
        <v>45139</v>
      </c>
      <c r="H1520" s="10" t="str">
        <f>IFERROR(VLOOKUP(Таблицаx_2[[#This Row],[id]],prolongations!A:C,2,)," ")</f>
        <v>август 2023</v>
      </c>
      <c r="I1520" s="10">
        <f>IF(Таблицаx_2[[#This Row],[Месяц окончания]]=Таблицаx_2[[#This Row],[Месяц]],Таблицаx_2[[#This Row],[Значения числа]],0)</f>
        <v>0</v>
      </c>
      <c r="J1520" s="8">
        <f>IF(AND(Таблицаx_2[[#This Row],[Месяц окончания]]=Таблицаx_2[[#This Row],[Месяц]],Таблицаx_2[[#This Row],[id]]=A1521,EDATE(Таблицаx_2[[#This Row],[Месяц]],1)=D1521),F1521,0)</f>
        <v>0</v>
      </c>
      <c r="K1520" s="8">
        <f>IF(AND(Таблицаx_2[[#This Row],[Месяц окончания]]=Таблицаx_2[[#This Row],[Месяц]],Таблицаx_2[[#This Row],[id]]=A1521,EDATE(Таблицаx_2[[#This Row],[Месяц]],2)=D1521),F1521,0)</f>
        <v>0</v>
      </c>
    </row>
    <row r="1521" spans="1:11" ht="12.75" hidden="1" customHeight="1" x14ac:dyDescent="0.2">
      <c r="A1521" s="8">
        <v>914</v>
      </c>
      <c r="B1521" s="8" t="s">
        <v>47</v>
      </c>
      <c r="C1521" s="8" t="s">
        <v>6</v>
      </c>
      <c r="D1521" s="12">
        <v>45231</v>
      </c>
      <c r="E1521" s="8" t="s">
        <v>46</v>
      </c>
      <c r="F1521" s="10">
        <f>IF(ISTEXT(Таблицаx_2[[#This Row],[Значение]]), 0, Таблицаx_2[[#This Row],[Значение]])</f>
        <v>0</v>
      </c>
      <c r="G1521" s="12">
        <v>45139</v>
      </c>
      <c r="H1521" s="10" t="str">
        <f>IFERROR(VLOOKUP(Таблицаx_2[[#This Row],[id]],prolongations!A:C,2,)," ")</f>
        <v>август 2023</v>
      </c>
      <c r="I1521" s="10">
        <f>IF(Таблицаx_2[[#This Row],[Месяц окончания]]=Таблицаx_2[[#This Row],[Месяц]],Таблицаx_2[[#This Row],[Значения числа]],0)</f>
        <v>0</v>
      </c>
      <c r="J1521" s="8">
        <f>IF(AND(Таблицаx_2[[#This Row],[Месяц окончания]]=Таблицаx_2[[#This Row],[Месяц]],Таблицаx_2[[#This Row],[id]]=A1522,EDATE(Таблицаx_2[[#This Row],[Месяц]],1)=D1522),F1522,0)</f>
        <v>0</v>
      </c>
      <c r="K1521" s="8">
        <f>IF(AND(Таблицаx_2[[#This Row],[Месяц окончания]]=Таблицаx_2[[#This Row],[Месяц]],Таблицаx_2[[#This Row],[id]]=A1522,EDATE(Таблицаx_2[[#This Row],[Месяц]],2)=D1522),F1522,0)</f>
        <v>0</v>
      </c>
    </row>
    <row r="1522" spans="1:11" ht="12.75" hidden="1" customHeight="1" x14ac:dyDescent="0.2">
      <c r="A1522" s="8">
        <v>914</v>
      </c>
      <c r="B1522" s="8" t="s">
        <v>50</v>
      </c>
      <c r="C1522" s="8" t="s">
        <v>6</v>
      </c>
      <c r="D1522" s="12">
        <v>45139</v>
      </c>
      <c r="E1522" s="8" t="s">
        <v>48</v>
      </c>
      <c r="F1522" s="10">
        <f>IF(ISTEXT(Таблицаx_2[[#This Row],[Значение]]), 0, Таблицаx_2[[#This Row],[Значение]])</f>
        <v>0</v>
      </c>
      <c r="G1522" s="12">
        <v>45139</v>
      </c>
      <c r="H1522" s="10" t="str">
        <f>IFERROR(VLOOKUP(Таблицаx_2[[#This Row],[id]],prolongations!A:C,2,)," ")</f>
        <v>август 2023</v>
      </c>
      <c r="I1522" s="10">
        <f>IF(Таблицаx_2[[#This Row],[Месяц окончания]]=Таблицаx_2[[#This Row],[Месяц]],Таблицаx_2[[#This Row],[Значения числа]],0)</f>
        <v>0</v>
      </c>
      <c r="J1522" s="8">
        <f>IF(AND(Таблицаx_2[[#This Row],[Месяц окончания]]=Таблицаx_2[[#This Row],[Месяц]],Таблицаx_2[[#This Row],[id]]=A1523,EDATE(Таблицаx_2[[#This Row],[Месяц]],1)=D1523),F1523,0)</f>
        <v>0</v>
      </c>
      <c r="K1522" s="8">
        <f>IF(AND(Таблицаx_2[[#This Row],[Месяц окончания]]=Таблицаx_2[[#This Row],[Месяц]],Таблицаx_2[[#This Row],[id]]=A1523,EDATE(Таблицаx_2[[#This Row],[Месяц]],2)=D1523),F1523,0)</f>
        <v>0</v>
      </c>
    </row>
    <row r="1523" spans="1:11" ht="12.75" hidden="1" customHeight="1" x14ac:dyDescent="0.2">
      <c r="A1523" s="8">
        <v>914</v>
      </c>
      <c r="B1523" s="8" t="s">
        <v>50</v>
      </c>
      <c r="C1523" s="8" t="s">
        <v>6</v>
      </c>
      <c r="D1523" s="12">
        <v>45170</v>
      </c>
      <c r="E1523" s="8" t="s">
        <v>48</v>
      </c>
      <c r="F1523" s="10">
        <f>IF(ISTEXT(Таблицаx_2[[#This Row],[Значение]]), 0, Таблицаx_2[[#This Row],[Значение]])</f>
        <v>0</v>
      </c>
      <c r="G1523" s="12">
        <v>45139</v>
      </c>
      <c r="H1523" s="10" t="str">
        <f>IFERROR(VLOOKUP(Таблицаx_2[[#This Row],[id]],prolongations!A:C,2,)," ")</f>
        <v>август 2023</v>
      </c>
      <c r="I1523" s="10">
        <f>IF(Таблицаx_2[[#This Row],[Месяц окончания]]=Таблицаx_2[[#This Row],[Месяц]],Таблицаx_2[[#This Row],[Значения числа]],0)</f>
        <v>0</v>
      </c>
      <c r="J1523" s="8">
        <f>IF(AND(Таблицаx_2[[#This Row],[Месяц окончания]]=Таблицаx_2[[#This Row],[Месяц]],Таблицаx_2[[#This Row],[id]]=A1524,EDATE(Таблицаx_2[[#This Row],[Месяц]],1)=D1524),F1524,0)</f>
        <v>0</v>
      </c>
      <c r="K1523" s="8">
        <f>IF(AND(Таблицаx_2[[#This Row],[Месяц окончания]]=Таблицаx_2[[#This Row],[Месяц]],Таблицаx_2[[#This Row],[id]]=A1524,EDATE(Таблицаx_2[[#This Row],[Месяц]],2)=D1524),F1524,0)</f>
        <v>0</v>
      </c>
    </row>
    <row r="1524" spans="1:11" ht="12.75" hidden="1" customHeight="1" x14ac:dyDescent="0.2">
      <c r="A1524" s="8">
        <v>914</v>
      </c>
      <c r="B1524" s="8" t="s">
        <v>50</v>
      </c>
      <c r="C1524" s="8" t="s">
        <v>6</v>
      </c>
      <c r="D1524" s="12">
        <v>45200</v>
      </c>
      <c r="E1524" s="8" t="s">
        <v>48</v>
      </c>
      <c r="F1524" s="10">
        <f>IF(ISTEXT(Таблицаx_2[[#This Row],[Значение]]), 0, Таблицаx_2[[#This Row],[Значение]])</f>
        <v>0</v>
      </c>
      <c r="G1524" s="12">
        <v>45139</v>
      </c>
      <c r="H1524" s="10" t="str">
        <f>IFERROR(VLOOKUP(Таблицаx_2[[#This Row],[id]],prolongations!A:C,2,)," ")</f>
        <v>август 2023</v>
      </c>
      <c r="I1524" s="10">
        <f>IF(Таблицаx_2[[#This Row],[Месяц окончания]]=Таблицаx_2[[#This Row],[Месяц]],Таблицаx_2[[#This Row],[Значения числа]],0)</f>
        <v>0</v>
      </c>
      <c r="J1524" s="8">
        <f>IF(AND(Таблицаx_2[[#This Row],[Месяц окончания]]=Таблицаx_2[[#This Row],[Месяц]],Таблицаx_2[[#This Row],[id]]=A1525,EDATE(Таблицаx_2[[#This Row],[Месяц]],1)=D1525),F1525,0)</f>
        <v>0</v>
      </c>
      <c r="K1524" s="8">
        <f>IF(AND(Таблицаx_2[[#This Row],[Месяц окончания]]=Таблицаx_2[[#This Row],[Месяц]],Таблицаx_2[[#This Row],[id]]=A1525,EDATE(Таблицаx_2[[#This Row],[Месяц]],2)=D1525),F1525,0)</f>
        <v>0</v>
      </c>
    </row>
    <row r="1525" spans="1:11" ht="12.75" hidden="1" customHeight="1" x14ac:dyDescent="0.2">
      <c r="A1525" s="8">
        <v>914</v>
      </c>
      <c r="B1525" s="8" t="s">
        <v>50</v>
      </c>
      <c r="C1525" s="8" t="s">
        <v>6</v>
      </c>
      <c r="D1525" s="12">
        <v>45231</v>
      </c>
      <c r="E1525" s="8" t="s">
        <v>46</v>
      </c>
      <c r="F1525" s="10">
        <f>IF(ISTEXT(Таблицаx_2[[#This Row],[Значение]]), 0, Таблицаx_2[[#This Row],[Значение]])</f>
        <v>0</v>
      </c>
      <c r="G1525" s="12">
        <v>45139</v>
      </c>
      <c r="H1525" s="10" t="str">
        <f>IFERROR(VLOOKUP(Таблицаx_2[[#This Row],[id]],prolongations!A:C,2,)," ")</f>
        <v>август 2023</v>
      </c>
      <c r="I1525" s="10">
        <f>IF(Таблицаx_2[[#This Row],[Месяц окончания]]=Таблицаx_2[[#This Row],[Месяц]],Таблицаx_2[[#This Row],[Значения числа]],0)</f>
        <v>0</v>
      </c>
      <c r="J1525" s="8">
        <f>IF(AND(Таблицаx_2[[#This Row],[Месяц окончания]]=Таблицаx_2[[#This Row],[Месяц]],Таблицаx_2[[#This Row],[id]]=A1526,EDATE(Таблицаx_2[[#This Row],[Месяц]],1)=D1526),F1526,0)</f>
        <v>0</v>
      </c>
      <c r="K1525" s="8">
        <f>IF(AND(Таблицаx_2[[#This Row],[Месяц окончания]]=Таблицаx_2[[#This Row],[Месяц]],Таблицаx_2[[#This Row],[id]]=A1526,EDATE(Таблицаx_2[[#This Row],[Месяц]],2)=D1526),F1526,0)</f>
        <v>0</v>
      </c>
    </row>
    <row r="1526" spans="1:11" ht="12.75" hidden="1" customHeight="1" x14ac:dyDescent="0.2">
      <c r="A1526" s="8">
        <v>976</v>
      </c>
      <c r="B1526" s="8" t="s">
        <v>45</v>
      </c>
      <c r="C1526" s="8" t="s">
        <v>6</v>
      </c>
      <c r="D1526" s="12">
        <v>45200</v>
      </c>
      <c r="E1526" s="8">
        <v>48360</v>
      </c>
      <c r="F1526" s="10">
        <f>IF(ISTEXT(Таблицаx_2[[#This Row],[Значение]]), 0, Таблицаx_2[[#This Row],[Значение]])</f>
        <v>48360</v>
      </c>
      <c r="G1526" s="12">
        <v>45231</v>
      </c>
      <c r="H1526" s="10" t="str">
        <f>IFERROR(VLOOKUP(Таблицаx_2[[#This Row],[id]],prolongations!A:C,2,)," ")</f>
        <v>ноябрь 2023</v>
      </c>
      <c r="I1526" s="10">
        <f>IF(Таблицаx_2[[#This Row],[Месяц окончания]]=Таблицаx_2[[#This Row],[Месяц]],Таблицаx_2[[#This Row],[Значения числа]],0)</f>
        <v>0</v>
      </c>
      <c r="J1526" s="8">
        <f>IF(AND(Таблицаx_2[[#This Row],[Месяц окончания]]=Таблицаx_2[[#This Row],[Месяц]],Таблицаx_2[[#This Row],[id]]=A1527,EDATE(Таблицаx_2[[#This Row],[Месяц]],1)=D1527),F1527,0)</f>
        <v>0</v>
      </c>
      <c r="K1526" s="8">
        <f>IF(AND(Таблицаx_2[[#This Row],[Месяц окончания]]=Таблицаx_2[[#This Row],[Месяц]],Таблицаx_2[[#This Row],[id]]=A1527,EDATE(Таблицаx_2[[#This Row],[Месяц]],2)=D1527),F1527,0)</f>
        <v>0</v>
      </c>
    </row>
    <row r="1527" spans="1:11" ht="12.75" hidden="1" customHeight="1" x14ac:dyDescent="0.2">
      <c r="A1527" s="8">
        <v>976</v>
      </c>
      <c r="B1527" s="8" t="s">
        <v>45</v>
      </c>
      <c r="C1527" s="8" t="s">
        <v>6</v>
      </c>
      <c r="D1527" s="12">
        <v>45231</v>
      </c>
      <c r="E1527" s="8" t="s">
        <v>46</v>
      </c>
      <c r="F1527" s="10">
        <f>IF(ISTEXT(Таблицаx_2[[#This Row],[Значение]]), 0, Таблицаx_2[[#This Row],[Значение]])</f>
        <v>0</v>
      </c>
      <c r="G1527" s="12">
        <v>45231</v>
      </c>
      <c r="H1527" s="10" t="str">
        <f>IFERROR(VLOOKUP(Таблицаx_2[[#This Row],[id]],prolongations!A:C,2,)," ")</f>
        <v>ноябрь 2023</v>
      </c>
      <c r="I1527" s="10">
        <f>IF(Таблицаx_2[[#This Row],[Месяц окончания]]=Таблицаx_2[[#This Row],[Месяц]],Таблицаx_2[[#This Row],[Значения числа]],0)</f>
        <v>0</v>
      </c>
      <c r="J1527" s="8">
        <f>IF(AND(Таблицаx_2[[#This Row],[Месяц окончания]]=Таблицаx_2[[#This Row],[Месяц]],Таблицаx_2[[#This Row],[id]]=A1528,EDATE(Таблицаx_2[[#This Row],[Месяц]],1)=D1528),F1528,0)</f>
        <v>0</v>
      </c>
      <c r="K1527" s="8">
        <f>IF(AND(Таблицаx_2[[#This Row],[Месяц окончания]]=Таблицаx_2[[#This Row],[Месяц]],Таблицаx_2[[#This Row],[id]]=A1528,EDATE(Таблицаx_2[[#This Row],[Месяц]],2)=D1528),F1528,0)</f>
        <v>0</v>
      </c>
    </row>
    <row r="1528" spans="1:11" ht="12.75" hidden="1" customHeight="1" x14ac:dyDescent="0.2">
      <c r="A1528" s="8">
        <v>976</v>
      </c>
      <c r="B1528" s="8" t="s">
        <v>47</v>
      </c>
      <c r="C1528" s="8" t="s">
        <v>6</v>
      </c>
      <c r="D1528" s="12">
        <v>45200</v>
      </c>
      <c r="E1528" s="8">
        <v>32240</v>
      </c>
      <c r="F1528" s="10">
        <f>IF(ISTEXT(Таблицаx_2[[#This Row],[Значение]]), 0, Таблицаx_2[[#This Row],[Значение]])</f>
        <v>32240</v>
      </c>
      <c r="G1528" s="12">
        <v>45231</v>
      </c>
      <c r="H1528" s="10" t="str">
        <f>IFERROR(VLOOKUP(Таблицаx_2[[#This Row],[id]],prolongations!A:C,2,)," ")</f>
        <v>ноябрь 2023</v>
      </c>
      <c r="I1528" s="10">
        <f>IF(Таблицаx_2[[#This Row],[Месяц окончания]]=Таблицаx_2[[#This Row],[Месяц]],Таблицаx_2[[#This Row],[Значения числа]],0)</f>
        <v>0</v>
      </c>
      <c r="J1528" s="8">
        <f>IF(AND(Таблицаx_2[[#This Row],[Месяц окончания]]=Таблицаx_2[[#This Row],[Месяц]],Таблицаx_2[[#This Row],[id]]=A1529,EDATE(Таблицаx_2[[#This Row],[Месяц]],1)=D1529),F1529,0)</f>
        <v>0</v>
      </c>
      <c r="K1528" s="8">
        <f>IF(AND(Таблицаx_2[[#This Row],[Месяц окончания]]=Таблицаx_2[[#This Row],[Месяц]],Таблицаx_2[[#This Row],[id]]=A1529,EDATE(Таблицаx_2[[#This Row],[Месяц]],2)=D1529),F1529,0)</f>
        <v>0</v>
      </c>
    </row>
    <row r="1529" spans="1:11" ht="12.75" hidden="1" customHeight="1" x14ac:dyDescent="0.2">
      <c r="A1529" s="8">
        <v>976</v>
      </c>
      <c r="B1529" s="8" t="s">
        <v>47</v>
      </c>
      <c r="C1529" s="8" t="s">
        <v>6</v>
      </c>
      <c r="D1529" s="12">
        <v>45231</v>
      </c>
      <c r="E1529" s="8" t="s">
        <v>46</v>
      </c>
      <c r="F1529" s="10">
        <f>IF(ISTEXT(Таблицаx_2[[#This Row],[Значение]]), 0, Таблицаx_2[[#This Row],[Значение]])</f>
        <v>0</v>
      </c>
      <c r="G1529" s="12">
        <v>45231</v>
      </c>
      <c r="H1529" s="10" t="str">
        <f>IFERROR(VLOOKUP(Таблицаx_2[[#This Row],[id]],prolongations!A:C,2,)," ")</f>
        <v>ноябрь 2023</v>
      </c>
      <c r="I1529" s="10">
        <f>IF(Таблицаx_2[[#This Row],[Месяц окончания]]=Таблицаx_2[[#This Row],[Месяц]],Таблицаx_2[[#This Row],[Значения числа]],0)</f>
        <v>0</v>
      </c>
      <c r="J1529" s="8">
        <f>IF(AND(Таблицаx_2[[#This Row],[Месяц окончания]]=Таблицаx_2[[#This Row],[Месяц]],Таблицаx_2[[#This Row],[id]]=A1530,EDATE(Таблицаx_2[[#This Row],[Месяц]],1)=D1530),F1530,0)</f>
        <v>0</v>
      </c>
      <c r="K1529" s="8">
        <f>IF(AND(Таблицаx_2[[#This Row],[Месяц окончания]]=Таблицаx_2[[#This Row],[Месяц]],Таблицаx_2[[#This Row],[id]]=A1530,EDATE(Таблицаx_2[[#This Row],[Месяц]],2)=D1530),F1530,0)</f>
        <v>0</v>
      </c>
    </row>
    <row r="1530" spans="1:11" ht="12.75" hidden="1" customHeight="1" x14ac:dyDescent="0.2">
      <c r="A1530" s="8">
        <v>1012</v>
      </c>
      <c r="B1530" s="8"/>
      <c r="C1530" s="8" t="s">
        <v>24</v>
      </c>
      <c r="D1530" s="12">
        <v>45231</v>
      </c>
      <c r="E1530" s="8">
        <v>98492</v>
      </c>
      <c r="F1530" s="10">
        <f>IF(ISTEXT(Таблицаx_2[[#This Row],[Значение]]), 0, Таблицаx_2[[#This Row],[Значение]])</f>
        <v>98492</v>
      </c>
      <c r="G1530" s="12">
        <v>45231</v>
      </c>
      <c r="H1530" s="10" t="str">
        <f>IFERROR(VLOOKUP(Таблицаx_2[[#This Row],[id]],prolongations!A:C,2,)," ")</f>
        <v>ноябрь 2023</v>
      </c>
      <c r="I1530" s="10">
        <f>IF(Таблицаx_2[[#This Row],[Месяц окончания]]=Таблицаx_2[[#This Row],[Месяц]],Таблицаx_2[[#This Row],[Значения числа]],0)</f>
        <v>98492</v>
      </c>
      <c r="J1530" s="8">
        <f>IF(AND(Таблицаx_2[[#This Row],[Месяц окончания]]=Таблицаx_2[[#This Row],[Месяц]],Таблицаx_2[[#This Row],[id]]=A1531,EDATE(Таблицаx_2[[#This Row],[Месяц]],1)=D1531),F1531,0)</f>
        <v>109442.52</v>
      </c>
      <c r="K1530" s="8">
        <f>IF(AND(Таблицаx_2[[#This Row],[Месяц окончания]]=Таблицаx_2[[#This Row],[Месяц]],Таблицаx_2[[#This Row],[id]]=A1531,EDATE(Таблицаx_2[[#This Row],[Месяц]],2)=D1531),F1531,0)</f>
        <v>0</v>
      </c>
    </row>
    <row r="1531" spans="1:11" ht="12.75" hidden="1" customHeight="1" x14ac:dyDescent="0.2">
      <c r="A1531" s="8">
        <v>1012</v>
      </c>
      <c r="B1531" s="8"/>
      <c r="C1531" s="8" t="s">
        <v>24</v>
      </c>
      <c r="D1531" s="12">
        <v>45261</v>
      </c>
      <c r="E1531" s="8">
        <v>109442.52</v>
      </c>
      <c r="F1531" s="10">
        <f>IF(ISTEXT(Таблицаx_2[[#This Row],[Значение]]), 0, Таблицаx_2[[#This Row],[Значение]])</f>
        <v>109442.52</v>
      </c>
      <c r="G1531" s="12">
        <v>45231</v>
      </c>
      <c r="H1531" s="10" t="str">
        <f>IFERROR(VLOOKUP(Таблицаx_2[[#This Row],[id]],prolongations!A:C,2,)," ")</f>
        <v>ноябрь 2023</v>
      </c>
      <c r="I1531" s="10">
        <f>IF(Таблицаx_2[[#This Row],[Месяц окончания]]=Таблицаx_2[[#This Row],[Месяц]],Таблицаx_2[[#This Row],[Значения числа]],0)</f>
        <v>0</v>
      </c>
      <c r="J1531" s="8">
        <f>IF(AND(Таблицаx_2[[#This Row],[Месяц окончания]]=Таблицаx_2[[#This Row],[Месяц]],Таблицаx_2[[#This Row],[id]]=A1532,EDATE(Таблицаx_2[[#This Row],[Месяц]],1)=D1532),F1532,0)</f>
        <v>0</v>
      </c>
      <c r="K1531" s="8">
        <f>IF(AND(Таблицаx_2[[#This Row],[Месяц окончания]]=Таблицаx_2[[#This Row],[Месяц]],Таблицаx_2[[#This Row],[id]]=A1532,EDATE(Таблицаx_2[[#This Row],[Месяц]],2)=D1532),F1532,0)</f>
        <v>0</v>
      </c>
    </row>
    <row r="1532" spans="1:11" ht="12.75" hidden="1" customHeight="1" x14ac:dyDescent="0.2">
      <c r="A1532" s="8">
        <v>199</v>
      </c>
      <c r="B1532" s="8" t="s">
        <v>45</v>
      </c>
      <c r="C1532" s="8" t="s">
        <v>11</v>
      </c>
      <c r="D1532" s="12">
        <v>44927</v>
      </c>
      <c r="E1532" s="8">
        <v>27735</v>
      </c>
      <c r="F1532" s="10">
        <f>IF(ISTEXT(Таблицаx_2[[#This Row],[Значение]]), 0, Таблицаx_2[[#This Row],[Значение]])</f>
        <v>27735</v>
      </c>
      <c r="G1532" s="12">
        <v>44896</v>
      </c>
      <c r="H1532" s="10" t="str">
        <f>IFERROR(VLOOKUP(Таблицаx_2[[#This Row],[id]],prolongations!A:C,2,)," ")</f>
        <v>декабрь 2022</v>
      </c>
      <c r="I1532" s="10">
        <f>IF(Таблицаx_2[[#This Row],[Месяц окончания]]=Таблицаx_2[[#This Row],[Месяц]],Таблицаx_2[[#This Row],[Значения числа]],0)</f>
        <v>0</v>
      </c>
      <c r="J1532" s="8">
        <f>IF(AND(Таблицаx_2[[#This Row],[Месяц окончания]]=Таблицаx_2[[#This Row],[Месяц]],Таблицаx_2[[#This Row],[id]]=A1533,EDATE(Таблицаx_2[[#This Row],[Месяц]],1)=D1533),F1533,0)</f>
        <v>0</v>
      </c>
      <c r="K1532" s="8">
        <f>IF(AND(Таблицаx_2[[#This Row],[Месяц окончания]]=Таблицаx_2[[#This Row],[Месяц]],Таблицаx_2[[#This Row],[id]]=A1533,EDATE(Таблицаx_2[[#This Row],[Месяц]],2)=D1533),F1533,0)</f>
        <v>0</v>
      </c>
    </row>
    <row r="1533" spans="1:11" ht="12.75" hidden="1" customHeight="1" x14ac:dyDescent="0.2">
      <c r="A1533" s="8">
        <v>199</v>
      </c>
      <c r="B1533" s="8" t="s">
        <v>45</v>
      </c>
      <c r="C1533" s="8" t="s">
        <v>11</v>
      </c>
      <c r="D1533" s="12">
        <v>44958</v>
      </c>
      <c r="E1533" s="8">
        <v>40770</v>
      </c>
      <c r="F1533" s="10">
        <f>IF(ISTEXT(Таблицаx_2[[#This Row],[Значение]]), 0, Таблицаx_2[[#This Row],[Значение]])</f>
        <v>40770</v>
      </c>
      <c r="G1533" s="12">
        <v>44896</v>
      </c>
      <c r="H1533" s="10" t="str">
        <f>IFERROR(VLOOKUP(Таблицаx_2[[#This Row],[id]],prolongations!A:C,2,)," ")</f>
        <v>декабрь 2022</v>
      </c>
      <c r="I1533" s="10">
        <f>IF(Таблицаx_2[[#This Row],[Месяц окончания]]=Таблицаx_2[[#This Row],[Месяц]],Таблицаx_2[[#This Row],[Значения числа]],0)</f>
        <v>0</v>
      </c>
      <c r="J1533" s="8">
        <f>IF(AND(Таблицаx_2[[#This Row],[Месяц окончания]]=Таблицаx_2[[#This Row],[Месяц]],Таблицаx_2[[#This Row],[id]]=A1534,EDATE(Таблицаx_2[[#This Row],[Месяц]],1)=D1534),F1534,0)</f>
        <v>0</v>
      </c>
      <c r="K1533" s="8">
        <f>IF(AND(Таблицаx_2[[#This Row],[Месяц окончания]]=Таблицаx_2[[#This Row],[Месяц]],Таблицаx_2[[#This Row],[id]]=A1534,EDATE(Таблицаx_2[[#This Row],[Месяц]],2)=D1534),F1534,0)</f>
        <v>0</v>
      </c>
    </row>
    <row r="1534" spans="1:11" ht="12.75" hidden="1" customHeight="1" x14ac:dyDescent="0.2">
      <c r="A1534" s="8">
        <v>199</v>
      </c>
      <c r="B1534" s="8" t="s">
        <v>45</v>
      </c>
      <c r="C1534" s="8" t="s">
        <v>11</v>
      </c>
      <c r="D1534" s="12">
        <v>44986</v>
      </c>
      <c r="E1534" s="8">
        <v>38870</v>
      </c>
      <c r="F1534" s="10">
        <f>IF(ISTEXT(Таблицаx_2[[#This Row],[Значение]]), 0, Таблицаx_2[[#This Row],[Значение]])</f>
        <v>38870</v>
      </c>
      <c r="G1534" s="12">
        <v>44896</v>
      </c>
      <c r="H1534" s="10" t="str">
        <f>IFERROR(VLOOKUP(Таблицаx_2[[#This Row],[id]],prolongations!A:C,2,)," ")</f>
        <v>декабрь 2022</v>
      </c>
      <c r="I1534" s="10">
        <f>IF(Таблицаx_2[[#This Row],[Месяц окончания]]=Таблицаx_2[[#This Row],[Месяц]],Таблицаx_2[[#This Row],[Значения числа]],0)</f>
        <v>0</v>
      </c>
      <c r="J1534" s="8">
        <f>IF(AND(Таблицаx_2[[#This Row],[Месяц окончания]]=Таблицаx_2[[#This Row],[Месяц]],Таблицаx_2[[#This Row],[id]]=A1535,EDATE(Таблицаx_2[[#This Row],[Месяц]],1)=D1535),F1535,0)</f>
        <v>0</v>
      </c>
      <c r="K1534" s="8">
        <f>IF(AND(Таблицаx_2[[#This Row],[Месяц окончания]]=Таблицаx_2[[#This Row],[Месяц]],Таблицаx_2[[#This Row],[id]]=A1535,EDATE(Таблицаx_2[[#This Row],[Месяц]],2)=D1535),F1535,0)</f>
        <v>0</v>
      </c>
    </row>
    <row r="1535" spans="1:11" ht="12.75" hidden="1" customHeight="1" x14ac:dyDescent="0.2">
      <c r="A1535" s="8">
        <v>199</v>
      </c>
      <c r="B1535" s="8" t="s">
        <v>45</v>
      </c>
      <c r="C1535" s="8" t="s">
        <v>11</v>
      </c>
      <c r="D1535" s="12">
        <v>45017</v>
      </c>
      <c r="E1535" s="8">
        <v>38980</v>
      </c>
      <c r="F1535" s="10">
        <f>IF(ISTEXT(Таблицаx_2[[#This Row],[Значение]]), 0, Таблицаx_2[[#This Row],[Значение]])</f>
        <v>38980</v>
      </c>
      <c r="G1535" s="12">
        <v>44896</v>
      </c>
      <c r="H1535" s="10" t="str">
        <f>IFERROR(VLOOKUP(Таблицаx_2[[#This Row],[id]],prolongations!A:C,2,)," ")</f>
        <v>декабрь 2022</v>
      </c>
      <c r="I1535" s="10">
        <f>IF(Таблицаx_2[[#This Row],[Месяц окончания]]=Таблицаx_2[[#This Row],[Месяц]],Таблицаx_2[[#This Row],[Значения числа]],0)</f>
        <v>0</v>
      </c>
      <c r="J1535" s="8">
        <f>IF(AND(Таблицаx_2[[#This Row],[Месяц окончания]]=Таблицаx_2[[#This Row],[Месяц]],Таблицаx_2[[#This Row],[id]]=A1536,EDATE(Таблицаx_2[[#This Row],[Месяц]],1)=D1536),F1536,0)</f>
        <v>0</v>
      </c>
      <c r="K1535" s="8">
        <f>IF(AND(Таблицаx_2[[#This Row],[Месяц окончания]]=Таблицаx_2[[#This Row],[Месяц]],Таблицаx_2[[#This Row],[id]]=A1536,EDATE(Таблицаx_2[[#This Row],[Месяц]],2)=D1536),F1536,0)</f>
        <v>0</v>
      </c>
    </row>
    <row r="1536" spans="1:11" ht="12.75" hidden="1" customHeight="1" x14ac:dyDescent="0.2">
      <c r="A1536" s="8">
        <v>199</v>
      </c>
      <c r="B1536" s="8" t="s">
        <v>45</v>
      </c>
      <c r="C1536" s="8" t="s">
        <v>11</v>
      </c>
      <c r="D1536" s="12">
        <v>45047</v>
      </c>
      <c r="E1536" s="8">
        <v>6800</v>
      </c>
      <c r="F1536" s="10">
        <f>IF(ISTEXT(Таблицаx_2[[#This Row],[Значение]]), 0, Таблицаx_2[[#This Row],[Значение]])</f>
        <v>6800</v>
      </c>
      <c r="G1536" s="12">
        <v>44896</v>
      </c>
      <c r="H1536" s="10" t="str">
        <f>IFERROR(VLOOKUP(Таблицаx_2[[#This Row],[id]],prolongations!A:C,2,)," ")</f>
        <v>декабрь 2022</v>
      </c>
      <c r="I1536" s="10">
        <f>IF(Таблицаx_2[[#This Row],[Месяц окончания]]=Таблицаx_2[[#This Row],[Месяц]],Таблицаx_2[[#This Row],[Значения числа]],0)</f>
        <v>0</v>
      </c>
      <c r="J1536" s="8">
        <f>IF(AND(Таблицаx_2[[#This Row],[Месяц окончания]]=Таблицаx_2[[#This Row],[Месяц]],Таблицаx_2[[#This Row],[id]]=A1537,EDATE(Таблицаx_2[[#This Row],[Месяц]],1)=D1537),F1537,0)</f>
        <v>0</v>
      </c>
      <c r="K1536" s="8">
        <f>IF(AND(Таблицаx_2[[#This Row],[Месяц окончания]]=Таблицаx_2[[#This Row],[Месяц]],Таблицаx_2[[#This Row],[id]]=A1537,EDATE(Таблицаx_2[[#This Row],[Месяц]],2)=D1537),F1537,0)</f>
        <v>0</v>
      </c>
    </row>
    <row r="1537" spans="1:11" ht="12.75" hidden="1" customHeight="1" x14ac:dyDescent="0.2">
      <c r="A1537" s="8">
        <v>199</v>
      </c>
      <c r="B1537" s="8" t="s">
        <v>45</v>
      </c>
      <c r="C1537" s="8" t="s">
        <v>11</v>
      </c>
      <c r="D1537" s="12">
        <v>45078</v>
      </c>
      <c r="E1537" s="8">
        <v>6800</v>
      </c>
      <c r="F1537" s="10">
        <f>IF(ISTEXT(Таблицаx_2[[#This Row],[Значение]]), 0, Таблицаx_2[[#This Row],[Значение]])</f>
        <v>6800</v>
      </c>
      <c r="G1537" s="12">
        <v>44896</v>
      </c>
      <c r="H1537" s="10" t="str">
        <f>IFERROR(VLOOKUP(Таблицаx_2[[#This Row],[id]],prolongations!A:C,2,)," ")</f>
        <v>декабрь 2022</v>
      </c>
      <c r="I1537" s="10">
        <f>IF(Таблицаx_2[[#This Row],[Месяц окончания]]=Таблицаx_2[[#This Row],[Месяц]],Таблицаx_2[[#This Row],[Значения числа]],0)</f>
        <v>0</v>
      </c>
      <c r="J1537" s="8">
        <f>IF(AND(Таблицаx_2[[#This Row],[Месяц окончания]]=Таблицаx_2[[#This Row],[Месяц]],Таблицаx_2[[#This Row],[id]]=A1538,EDATE(Таблицаx_2[[#This Row],[Месяц]],1)=D1538),F1538,0)</f>
        <v>0</v>
      </c>
      <c r="K1537" s="8">
        <f>IF(AND(Таблицаx_2[[#This Row],[Месяц окончания]]=Таблицаx_2[[#This Row],[Месяц]],Таблицаx_2[[#This Row],[id]]=A1538,EDATE(Таблицаx_2[[#This Row],[Месяц]],2)=D1538),F1538,0)</f>
        <v>0</v>
      </c>
    </row>
    <row r="1538" spans="1:11" ht="12.75" hidden="1" customHeight="1" x14ac:dyDescent="0.2">
      <c r="A1538" s="8">
        <v>199</v>
      </c>
      <c r="B1538" s="8" t="s">
        <v>45</v>
      </c>
      <c r="C1538" s="8" t="s">
        <v>11</v>
      </c>
      <c r="D1538" s="12">
        <v>45108</v>
      </c>
      <c r="E1538" s="8">
        <v>6800</v>
      </c>
      <c r="F1538" s="10">
        <f>IF(ISTEXT(Таблицаx_2[[#This Row],[Значение]]), 0, Таблицаx_2[[#This Row],[Значение]])</f>
        <v>6800</v>
      </c>
      <c r="G1538" s="12">
        <v>44896</v>
      </c>
      <c r="H1538" s="10" t="str">
        <f>IFERROR(VLOOKUP(Таблицаx_2[[#This Row],[id]],prolongations!A:C,2,)," ")</f>
        <v>декабрь 2022</v>
      </c>
      <c r="I1538" s="10">
        <f>IF(Таблицаx_2[[#This Row],[Месяц окончания]]=Таблицаx_2[[#This Row],[Месяц]],Таблицаx_2[[#This Row],[Значения числа]],0)</f>
        <v>0</v>
      </c>
      <c r="J1538" s="8">
        <f>IF(AND(Таблицаx_2[[#This Row],[Месяц окончания]]=Таблицаx_2[[#This Row],[Месяц]],Таблицаx_2[[#This Row],[id]]=A1539,EDATE(Таблицаx_2[[#This Row],[Месяц]],1)=D1539),F1539,0)</f>
        <v>0</v>
      </c>
      <c r="K1538" s="8">
        <f>IF(AND(Таблицаx_2[[#This Row],[Месяц окончания]]=Таблицаx_2[[#This Row],[Месяц]],Таблицаx_2[[#This Row],[id]]=A1539,EDATE(Таблицаx_2[[#This Row],[Месяц]],2)=D1539),F1539,0)</f>
        <v>0</v>
      </c>
    </row>
    <row r="1539" spans="1:11" ht="12.75" hidden="1" customHeight="1" x14ac:dyDescent="0.2">
      <c r="A1539" s="8">
        <v>199</v>
      </c>
      <c r="B1539" s="8" t="s">
        <v>45</v>
      </c>
      <c r="C1539" s="8" t="s">
        <v>11</v>
      </c>
      <c r="D1539" s="12">
        <v>45139</v>
      </c>
      <c r="E1539" s="8">
        <v>6800</v>
      </c>
      <c r="F1539" s="10">
        <f>IF(ISTEXT(Таблицаx_2[[#This Row],[Значение]]), 0, Таблицаx_2[[#This Row],[Значение]])</f>
        <v>6800</v>
      </c>
      <c r="G1539" s="12">
        <v>44896</v>
      </c>
      <c r="H1539" s="10" t="str">
        <f>IFERROR(VLOOKUP(Таблицаx_2[[#This Row],[id]],prolongations!A:C,2,)," ")</f>
        <v>декабрь 2022</v>
      </c>
      <c r="I1539" s="10">
        <f>IF(Таблицаx_2[[#This Row],[Месяц окончания]]=Таблицаx_2[[#This Row],[Месяц]],Таблицаx_2[[#This Row],[Значения числа]],0)</f>
        <v>0</v>
      </c>
      <c r="J1539" s="8">
        <f>IF(AND(Таблицаx_2[[#This Row],[Месяц окончания]]=Таблицаx_2[[#This Row],[Месяц]],Таблицаx_2[[#This Row],[id]]=A1540,EDATE(Таблицаx_2[[#This Row],[Месяц]],1)=D1540),F1540,0)</f>
        <v>0</v>
      </c>
      <c r="K1539" s="8">
        <f>IF(AND(Таблицаx_2[[#This Row],[Месяц окончания]]=Таблицаx_2[[#This Row],[Месяц]],Таблицаx_2[[#This Row],[id]]=A1540,EDATE(Таблицаx_2[[#This Row],[Месяц]],2)=D1540),F1540,0)</f>
        <v>0</v>
      </c>
    </row>
    <row r="1540" spans="1:11" ht="12.75" hidden="1" customHeight="1" x14ac:dyDescent="0.2">
      <c r="A1540" s="8">
        <v>199</v>
      </c>
      <c r="B1540" s="8" t="s">
        <v>45</v>
      </c>
      <c r="C1540" s="8" t="s">
        <v>11</v>
      </c>
      <c r="D1540" s="12">
        <v>45170</v>
      </c>
      <c r="E1540" s="8">
        <v>42450</v>
      </c>
      <c r="F1540" s="10">
        <f>IF(ISTEXT(Таблицаx_2[[#This Row],[Значение]]), 0, Таблицаx_2[[#This Row],[Значение]])</f>
        <v>42450</v>
      </c>
      <c r="G1540" s="12">
        <v>44896</v>
      </c>
      <c r="H1540" s="10" t="str">
        <f>IFERROR(VLOOKUP(Таблицаx_2[[#This Row],[id]],prolongations!A:C,2,)," ")</f>
        <v>декабрь 2022</v>
      </c>
      <c r="I1540" s="10">
        <f>IF(Таблицаx_2[[#This Row],[Месяц окончания]]=Таблицаx_2[[#This Row],[Месяц]],Таблицаx_2[[#This Row],[Значения числа]],0)</f>
        <v>0</v>
      </c>
      <c r="J1540" s="8">
        <f>IF(AND(Таблицаx_2[[#This Row],[Месяц окончания]]=Таблицаx_2[[#This Row],[Месяц]],Таблицаx_2[[#This Row],[id]]=A1541,EDATE(Таблицаx_2[[#This Row],[Месяц]],1)=D1541),F1541,0)</f>
        <v>0</v>
      </c>
      <c r="K1540" s="8">
        <f>IF(AND(Таблицаx_2[[#This Row],[Месяц окончания]]=Таблицаx_2[[#This Row],[Месяц]],Таблицаx_2[[#This Row],[id]]=A1541,EDATE(Таблицаx_2[[#This Row],[Месяц]],2)=D1541),F1541,0)</f>
        <v>0</v>
      </c>
    </row>
    <row r="1541" spans="1:11" ht="12.75" hidden="1" customHeight="1" x14ac:dyDescent="0.2">
      <c r="A1541" s="8">
        <v>199</v>
      </c>
      <c r="B1541" s="8" t="s">
        <v>45</v>
      </c>
      <c r="C1541" s="8" t="s">
        <v>11</v>
      </c>
      <c r="D1541" s="12">
        <v>45200</v>
      </c>
      <c r="E1541" s="8">
        <v>40770</v>
      </c>
      <c r="F1541" s="10">
        <f>IF(ISTEXT(Таблицаx_2[[#This Row],[Значение]]), 0, Таблицаx_2[[#This Row],[Значение]])</f>
        <v>40770</v>
      </c>
      <c r="G1541" s="12">
        <v>44896</v>
      </c>
      <c r="H1541" s="10" t="str">
        <f>IFERROR(VLOOKUP(Таблицаx_2[[#This Row],[id]],prolongations!A:C,2,)," ")</f>
        <v>декабрь 2022</v>
      </c>
      <c r="I1541" s="10">
        <f>IF(Таблицаx_2[[#This Row],[Месяц окончания]]=Таблицаx_2[[#This Row],[Месяц]],Таблицаx_2[[#This Row],[Значения числа]],0)</f>
        <v>0</v>
      </c>
      <c r="J1541" s="8">
        <f>IF(AND(Таблицаx_2[[#This Row],[Месяц окончания]]=Таблицаx_2[[#This Row],[Месяц]],Таблицаx_2[[#This Row],[id]]=A1542,EDATE(Таблицаx_2[[#This Row],[Месяц]],1)=D1542),F1542,0)</f>
        <v>0</v>
      </c>
      <c r="K1541" s="8">
        <f>IF(AND(Таблицаx_2[[#This Row],[Месяц окончания]]=Таблицаx_2[[#This Row],[Месяц]],Таблицаx_2[[#This Row],[id]]=A1542,EDATE(Таблицаx_2[[#This Row],[Месяц]],2)=D1542),F1542,0)</f>
        <v>0</v>
      </c>
    </row>
    <row r="1542" spans="1:11" ht="12.75" hidden="1" customHeight="1" x14ac:dyDescent="0.2">
      <c r="A1542" s="8">
        <v>199</v>
      </c>
      <c r="B1542" s="8" t="s">
        <v>45</v>
      </c>
      <c r="C1542" s="8" t="s">
        <v>11</v>
      </c>
      <c r="D1542" s="12">
        <v>45231</v>
      </c>
      <c r="E1542" s="8" t="s">
        <v>46</v>
      </c>
      <c r="F1542" s="10">
        <f>IF(ISTEXT(Таблицаx_2[[#This Row],[Значение]]), 0, Таблицаx_2[[#This Row],[Значение]])</f>
        <v>0</v>
      </c>
      <c r="G1542" s="12">
        <v>44896</v>
      </c>
      <c r="H1542" s="10" t="str">
        <f>IFERROR(VLOOKUP(Таблицаx_2[[#This Row],[id]],prolongations!A:C,2,)," ")</f>
        <v>декабрь 2022</v>
      </c>
      <c r="I1542" s="10">
        <f>IF(Таблицаx_2[[#This Row],[Месяц окончания]]=Таблицаx_2[[#This Row],[Месяц]],Таблицаx_2[[#This Row],[Значения числа]],0)</f>
        <v>0</v>
      </c>
      <c r="J1542" s="8">
        <f>IF(AND(Таблицаx_2[[#This Row],[Месяц окончания]]=Таблицаx_2[[#This Row],[Месяц]],Таблицаx_2[[#This Row],[id]]=A1543,EDATE(Таблицаx_2[[#This Row],[Месяц]],1)=D1543),F1543,0)</f>
        <v>0</v>
      </c>
      <c r="K1542" s="8">
        <f>IF(AND(Таблицаx_2[[#This Row],[Месяц окончания]]=Таблицаx_2[[#This Row],[Месяц]],Таблицаx_2[[#This Row],[id]]=A1543,EDATE(Таблицаx_2[[#This Row],[Месяц]],2)=D1543),F1543,0)</f>
        <v>0</v>
      </c>
    </row>
    <row r="1543" spans="1:11" ht="12.75" hidden="1" customHeight="1" x14ac:dyDescent="0.2">
      <c r="A1543" s="8">
        <v>199</v>
      </c>
      <c r="B1543" s="8" t="s">
        <v>47</v>
      </c>
      <c r="C1543" s="8" t="s">
        <v>11</v>
      </c>
      <c r="D1543" s="12">
        <v>44866</v>
      </c>
      <c r="E1543" s="8">
        <v>25050</v>
      </c>
      <c r="F1543" s="10">
        <f>IF(ISTEXT(Таблицаx_2[[#This Row],[Значение]]), 0, Таблицаx_2[[#This Row],[Значение]])</f>
        <v>25050</v>
      </c>
      <c r="G1543" s="12">
        <v>44896</v>
      </c>
      <c r="H1543" s="10" t="str">
        <f>IFERROR(VLOOKUP(Таблицаx_2[[#This Row],[id]],prolongations!A:C,2,)," ")</f>
        <v>декабрь 2022</v>
      </c>
      <c r="I1543" s="10">
        <f>IF(Таблицаx_2[[#This Row],[Месяц окончания]]=Таблицаx_2[[#This Row],[Месяц]],Таблицаx_2[[#This Row],[Значения числа]],0)</f>
        <v>0</v>
      </c>
      <c r="J1543" s="8">
        <f>IF(AND(Таблицаx_2[[#This Row],[Месяц окончания]]=Таблицаx_2[[#This Row],[Месяц]],Таблицаx_2[[#This Row],[id]]=A1544,EDATE(Таблицаx_2[[#This Row],[Месяц]],1)=D1544),F1544,0)</f>
        <v>0</v>
      </c>
      <c r="K1543" s="8">
        <f>IF(AND(Таблицаx_2[[#This Row],[Месяц окончания]]=Таблицаx_2[[#This Row],[Месяц]],Таблицаx_2[[#This Row],[id]]=A1544,EDATE(Таблицаx_2[[#This Row],[Месяц]],2)=D1544),F1544,0)</f>
        <v>0</v>
      </c>
    </row>
    <row r="1544" spans="1:11" hidden="1" x14ac:dyDescent="0.2">
      <c r="A1544" s="8">
        <v>199</v>
      </c>
      <c r="B1544" s="8" t="s">
        <v>47</v>
      </c>
      <c r="C1544" s="8" t="s">
        <v>11</v>
      </c>
      <c r="D1544" s="12">
        <v>44896</v>
      </c>
      <c r="E1544" s="8">
        <v>68120</v>
      </c>
      <c r="F1544" s="10">
        <f>IF(ISTEXT(Таблицаx_2[[#This Row],[Значение]]), 0, Таблицаx_2[[#This Row],[Значение]])</f>
        <v>68120</v>
      </c>
      <c r="G1544" s="12">
        <v>44896</v>
      </c>
      <c r="H1544" s="10" t="str">
        <f>IFERROR(VLOOKUP(Таблицаx_2[[#This Row],[id]],prolongations!A:C,2,)," ")</f>
        <v>декабрь 2022</v>
      </c>
      <c r="I1544" s="10">
        <f>IF(Таблицаx_2[[#This Row],[Месяц окончания]]=Таблицаx_2[[#This Row],[Месяц]],Таблицаx_2[[#This Row],[Значения числа]],0)</f>
        <v>68120</v>
      </c>
      <c r="J1544" s="8">
        <f>IF(AND(Таблицаx_2[[#This Row],[Месяц окончания]]=Таблицаx_2[[#This Row],[Месяц]],Таблицаx_2[[#This Row],[id]]=A1545,EDATE(Таблицаx_2[[#This Row],[Месяц]],1)=D1545),F1545,0)</f>
        <v>23735</v>
      </c>
      <c r="K1544" s="8">
        <f>IF(AND(Таблицаx_2[[#This Row],[Месяц окончания]]=Таблицаx_2[[#This Row],[Месяц]],Таблицаx_2[[#This Row],[id]]=A1545,EDATE(Таблицаx_2[[#This Row],[Месяц]],2)=D1545),F1545,0)</f>
        <v>0</v>
      </c>
    </row>
    <row r="1545" spans="1:11" ht="12.75" hidden="1" customHeight="1" x14ac:dyDescent="0.2">
      <c r="A1545" s="8">
        <v>199</v>
      </c>
      <c r="B1545" s="8" t="s">
        <v>47</v>
      </c>
      <c r="C1545" s="8" t="s">
        <v>11</v>
      </c>
      <c r="D1545" s="12">
        <v>44927</v>
      </c>
      <c r="E1545" s="8">
        <v>23735</v>
      </c>
      <c r="F1545" s="10">
        <f>IF(ISTEXT(Таблицаx_2[[#This Row],[Значение]]), 0, Таблицаx_2[[#This Row],[Значение]])</f>
        <v>23735</v>
      </c>
      <c r="G1545" s="12">
        <v>44896</v>
      </c>
      <c r="H1545" s="10" t="str">
        <f>IFERROR(VLOOKUP(Таблицаx_2[[#This Row],[id]],prolongations!A:C,2,)," ")</f>
        <v>декабрь 2022</v>
      </c>
      <c r="I1545" s="10">
        <f>IF(Таблицаx_2[[#This Row],[Месяц окончания]]=Таблицаx_2[[#This Row],[Месяц]],Таблицаx_2[[#This Row],[Значения числа]],0)</f>
        <v>0</v>
      </c>
      <c r="J1545" s="8">
        <f>IF(AND(Таблицаx_2[[#This Row],[Месяц окончания]]=Таблицаx_2[[#This Row],[Месяц]],Таблицаx_2[[#This Row],[id]]=A1546,EDATE(Таблицаx_2[[#This Row],[Месяц]],1)=D1546),F1546,0)</f>
        <v>0</v>
      </c>
      <c r="K1545" s="8">
        <f>IF(AND(Таблицаx_2[[#This Row],[Месяц окончания]]=Таблицаx_2[[#This Row],[Месяц]],Таблицаx_2[[#This Row],[id]]=A1546,EDATE(Таблицаx_2[[#This Row],[Месяц]],2)=D1546),F1546,0)</f>
        <v>0</v>
      </c>
    </row>
    <row r="1546" spans="1:11" ht="12.75" hidden="1" customHeight="1" x14ac:dyDescent="0.2">
      <c r="A1546" s="8">
        <v>199</v>
      </c>
      <c r="B1546" s="8" t="s">
        <v>47</v>
      </c>
      <c r="C1546" s="8" t="s">
        <v>11</v>
      </c>
      <c r="D1546" s="12">
        <v>44958</v>
      </c>
      <c r="E1546" s="8">
        <v>5700</v>
      </c>
      <c r="F1546" s="10">
        <f>IF(ISTEXT(Таблицаx_2[[#This Row],[Значение]]), 0, Таблицаx_2[[#This Row],[Значение]])</f>
        <v>5700</v>
      </c>
      <c r="G1546" s="12">
        <v>44896</v>
      </c>
      <c r="H1546" s="10" t="str">
        <f>IFERROR(VLOOKUP(Таблицаx_2[[#This Row],[id]],prolongations!A:C,2,)," ")</f>
        <v>декабрь 2022</v>
      </c>
      <c r="I1546" s="10">
        <f>IF(Таблицаx_2[[#This Row],[Месяц окончания]]=Таблицаx_2[[#This Row],[Месяц]],Таблицаx_2[[#This Row],[Значения числа]],0)</f>
        <v>0</v>
      </c>
      <c r="J1546" s="8">
        <f>IF(AND(Таблицаx_2[[#This Row],[Месяц окончания]]=Таблицаx_2[[#This Row],[Месяц]],Таблицаx_2[[#This Row],[id]]=A1547,EDATE(Таблицаx_2[[#This Row],[Месяц]],1)=D1547),F1547,0)</f>
        <v>0</v>
      </c>
      <c r="K1546" s="8">
        <f>IF(AND(Таблицаx_2[[#This Row],[Месяц окончания]]=Таблицаx_2[[#This Row],[Месяц]],Таблицаx_2[[#This Row],[id]]=A1547,EDATE(Таблицаx_2[[#This Row],[Месяц]],2)=D1547),F1547,0)</f>
        <v>0</v>
      </c>
    </row>
    <row r="1547" spans="1:11" ht="12.75" hidden="1" customHeight="1" x14ac:dyDescent="0.2">
      <c r="A1547" s="8">
        <v>199</v>
      </c>
      <c r="B1547" s="8" t="s">
        <v>47</v>
      </c>
      <c r="C1547" s="8" t="s">
        <v>11</v>
      </c>
      <c r="D1547" s="12">
        <v>44986</v>
      </c>
      <c r="E1547" s="8">
        <v>14750</v>
      </c>
      <c r="F1547" s="10">
        <f>IF(ISTEXT(Таблицаx_2[[#This Row],[Значение]]), 0, Таблицаx_2[[#This Row],[Значение]])</f>
        <v>14750</v>
      </c>
      <c r="G1547" s="12">
        <v>44896</v>
      </c>
      <c r="H1547" s="10" t="str">
        <f>IFERROR(VLOOKUP(Таблицаx_2[[#This Row],[id]],prolongations!A:C,2,)," ")</f>
        <v>декабрь 2022</v>
      </c>
      <c r="I1547" s="10">
        <f>IF(Таблицаx_2[[#This Row],[Месяц окончания]]=Таблицаx_2[[#This Row],[Месяц]],Таблицаx_2[[#This Row],[Значения числа]],0)</f>
        <v>0</v>
      </c>
      <c r="J1547" s="8">
        <f>IF(AND(Таблицаx_2[[#This Row],[Месяц окончания]]=Таблицаx_2[[#This Row],[Месяц]],Таблицаx_2[[#This Row],[id]]=A1548,EDATE(Таблицаx_2[[#This Row],[Месяц]],1)=D1548),F1548,0)</f>
        <v>0</v>
      </c>
      <c r="K1547" s="8">
        <f>IF(AND(Таблицаx_2[[#This Row],[Месяц окончания]]=Таблицаx_2[[#This Row],[Месяц]],Таблицаx_2[[#This Row],[id]]=A1548,EDATE(Таблицаx_2[[#This Row],[Месяц]],2)=D1548),F1548,0)</f>
        <v>0</v>
      </c>
    </row>
    <row r="1548" spans="1:11" ht="12.75" hidden="1" customHeight="1" x14ac:dyDescent="0.2">
      <c r="A1548" s="8">
        <v>199</v>
      </c>
      <c r="B1548" s="8" t="s">
        <v>47</v>
      </c>
      <c r="C1548" s="8" t="s">
        <v>11</v>
      </c>
      <c r="D1548" s="12">
        <v>45017</v>
      </c>
      <c r="E1548" s="8">
        <v>14750</v>
      </c>
      <c r="F1548" s="10">
        <f>IF(ISTEXT(Таблицаx_2[[#This Row],[Значение]]), 0, Таблицаx_2[[#This Row],[Значение]])</f>
        <v>14750</v>
      </c>
      <c r="G1548" s="12">
        <v>44896</v>
      </c>
      <c r="H1548" s="10" t="str">
        <f>IFERROR(VLOOKUP(Таблицаx_2[[#This Row],[id]],prolongations!A:C,2,)," ")</f>
        <v>декабрь 2022</v>
      </c>
      <c r="I1548" s="10">
        <f>IF(Таблицаx_2[[#This Row],[Месяц окончания]]=Таблицаx_2[[#This Row],[Месяц]],Таблицаx_2[[#This Row],[Значения числа]],0)</f>
        <v>0</v>
      </c>
      <c r="J1548" s="8">
        <f>IF(AND(Таблицаx_2[[#This Row],[Месяц окончания]]=Таблицаx_2[[#This Row],[Месяц]],Таблицаx_2[[#This Row],[id]]=A1549,EDATE(Таблицаx_2[[#This Row],[Месяц]],1)=D1549),F1549,0)</f>
        <v>0</v>
      </c>
      <c r="K1548" s="8">
        <f>IF(AND(Таблицаx_2[[#This Row],[Месяц окончания]]=Таблицаx_2[[#This Row],[Месяц]],Таблицаx_2[[#This Row],[id]]=A1549,EDATE(Таблицаx_2[[#This Row],[Месяц]],2)=D1549),F1549,0)</f>
        <v>0</v>
      </c>
    </row>
    <row r="1549" spans="1:11" ht="12.75" hidden="1" customHeight="1" x14ac:dyDescent="0.2">
      <c r="A1549" s="8">
        <v>199</v>
      </c>
      <c r="B1549" s="8" t="s">
        <v>47</v>
      </c>
      <c r="C1549" s="8" t="s">
        <v>11</v>
      </c>
      <c r="D1549" s="12">
        <v>45047</v>
      </c>
      <c r="E1549" s="8">
        <v>2135</v>
      </c>
      <c r="F1549" s="10">
        <f>IF(ISTEXT(Таблицаx_2[[#This Row],[Значение]]), 0, Таблицаx_2[[#This Row],[Значение]])</f>
        <v>2135</v>
      </c>
      <c r="G1549" s="12">
        <v>44896</v>
      </c>
      <c r="H1549" s="10" t="str">
        <f>IFERROR(VLOOKUP(Таблицаx_2[[#This Row],[id]],prolongations!A:C,2,)," ")</f>
        <v>декабрь 2022</v>
      </c>
      <c r="I1549" s="10">
        <f>IF(Таблицаx_2[[#This Row],[Месяц окончания]]=Таблицаx_2[[#This Row],[Месяц]],Таблицаx_2[[#This Row],[Значения числа]],0)</f>
        <v>0</v>
      </c>
      <c r="J1549" s="8">
        <f>IF(AND(Таблицаx_2[[#This Row],[Месяц окончания]]=Таблицаx_2[[#This Row],[Месяц]],Таблицаx_2[[#This Row],[id]]=A1550,EDATE(Таблицаx_2[[#This Row],[Месяц]],1)=D1550),F1550,0)</f>
        <v>0</v>
      </c>
      <c r="K1549" s="8">
        <f>IF(AND(Таблицаx_2[[#This Row],[Месяц окончания]]=Таблицаx_2[[#This Row],[Месяц]],Таблицаx_2[[#This Row],[id]]=A1550,EDATE(Таблицаx_2[[#This Row],[Месяц]],2)=D1550),F1550,0)</f>
        <v>0</v>
      </c>
    </row>
    <row r="1550" spans="1:11" ht="12.75" hidden="1" customHeight="1" x14ac:dyDescent="0.2">
      <c r="A1550" s="8">
        <v>199</v>
      </c>
      <c r="B1550" s="8" t="s">
        <v>47</v>
      </c>
      <c r="C1550" s="8" t="s">
        <v>11</v>
      </c>
      <c r="D1550" s="12">
        <v>45078</v>
      </c>
      <c r="E1550" s="8">
        <v>2135</v>
      </c>
      <c r="F1550" s="10">
        <f>IF(ISTEXT(Таблицаx_2[[#This Row],[Значение]]), 0, Таблицаx_2[[#This Row],[Значение]])</f>
        <v>2135</v>
      </c>
      <c r="G1550" s="12">
        <v>44896</v>
      </c>
      <c r="H1550" s="10" t="str">
        <f>IFERROR(VLOOKUP(Таблицаx_2[[#This Row],[id]],prolongations!A:C,2,)," ")</f>
        <v>декабрь 2022</v>
      </c>
      <c r="I1550" s="10">
        <f>IF(Таблицаx_2[[#This Row],[Месяц окончания]]=Таблицаx_2[[#This Row],[Месяц]],Таблицаx_2[[#This Row],[Значения числа]],0)</f>
        <v>0</v>
      </c>
      <c r="J1550" s="8">
        <f>IF(AND(Таблицаx_2[[#This Row],[Месяц окончания]]=Таблицаx_2[[#This Row],[Месяц]],Таблицаx_2[[#This Row],[id]]=A1551,EDATE(Таблицаx_2[[#This Row],[Месяц]],1)=D1551),F1551,0)</f>
        <v>0</v>
      </c>
      <c r="K1550" s="8">
        <f>IF(AND(Таблицаx_2[[#This Row],[Месяц окончания]]=Таблицаx_2[[#This Row],[Месяц]],Таблицаx_2[[#This Row],[id]]=A1551,EDATE(Таблицаx_2[[#This Row],[Месяц]],2)=D1551),F1551,0)</f>
        <v>0</v>
      </c>
    </row>
    <row r="1551" spans="1:11" ht="12.75" hidden="1" customHeight="1" x14ac:dyDescent="0.2">
      <c r="A1551" s="8">
        <v>199</v>
      </c>
      <c r="B1551" s="8" t="s">
        <v>47</v>
      </c>
      <c r="C1551" s="8" t="s">
        <v>11</v>
      </c>
      <c r="D1551" s="12">
        <v>45108</v>
      </c>
      <c r="E1551" s="8">
        <v>2135</v>
      </c>
      <c r="F1551" s="10">
        <f>IF(ISTEXT(Таблицаx_2[[#This Row],[Значение]]), 0, Таблицаx_2[[#This Row],[Значение]])</f>
        <v>2135</v>
      </c>
      <c r="G1551" s="12">
        <v>44896</v>
      </c>
      <c r="H1551" s="10" t="str">
        <f>IFERROR(VLOOKUP(Таблицаx_2[[#This Row],[id]],prolongations!A:C,2,)," ")</f>
        <v>декабрь 2022</v>
      </c>
      <c r="I1551" s="10">
        <f>IF(Таблицаx_2[[#This Row],[Месяц окончания]]=Таблицаx_2[[#This Row],[Месяц]],Таблицаx_2[[#This Row],[Значения числа]],0)</f>
        <v>0</v>
      </c>
      <c r="J1551" s="8">
        <f>IF(AND(Таблицаx_2[[#This Row],[Месяц окончания]]=Таблицаx_2[[#This Row],[Месяц]],Таблицаx_2[[#This Row],[id]]=A1552,EDATE(Таблицаx_2[[#This Row],[Месяц]],1)=D1552),F1552,0)</f>
        <v>0</v>
      </c>
      <c r="K1551" s="8">
        <f>IF(AND(Таблицаx_2[[#This Row],[Месяц окончания]]=Таблицаx_2[[#This Row],[Месяц]],Таблицаx_2[[#This Row],[id]]=A1552,EDATE(Таблицаx_2[[#This Row],[Месяц]],2)=D1552),F1552,0)</f>
        <v>0</v>
      </c>
    </row>
    <row r="1552" spans="1:11" ht="12.75" hidden="1" customHeight="1" x14ac:dyDescent="0.2">
      <c r="A1552" s="8">
        <v>199</v>
      </c>
      <c r="B1552" s="8" t="s">
        <v>47</v>
      </c>
      <c r="C1552" s="8" t="s">
        <v>11</v>
      </c>
      <c r="D1552" s="12">
        <v>45139</v>
      </c>
      <c r="E1552" s="8">
        <v>2135</v>
      </c>
      <c r="F1552" s="10">
        <f>IF(ISTEXT(Таблицаx_2[[#This Row],[Значение]]), 0, Таблицаx_2[[#This Row],[Значение]])</f>
        <v>2135</v>
      </c>
      <c r="G1552" s="12">
        <v>44896</v>
      </c>
      <c r="H1552" s="10" t="str">
        <f>IFERROR(VLOOKUP(Таблицаx_2[[#This Row],[id]],prolongations!A:C,2,)," ")</f>
        <v>декабрь 2022</v>
      </c>
      <c r="I1552" s="10">
        <f>IF(Таблицаx_2[[#This Row],[Месяц окончания]]=Таблицаx_2[[#This Row],[Месяц]],Таблицаx_2[[#This Row],[Значения числа]],0)</f>
        <v>0</v>
      </c>
      <c r="J1552" s="8">
        <f>IF(AND(Таблицаx_2[[#This Row],[Месяц окончания]]=Таблицаx_2[[#This Row],[Месяц]],Таблицаx_2[[#This Row],[id]]=A1553,EDATE(Таблицаx_2[[#This Row],[Месяц]],1)=D1553),F1553,0)</f>
        <v>0</v>
      </c>
      <c r="K1552" s="8">
        <f>IF(AND(Таблицаx_2[[#This Row],[Месяц окончания]]=Таблицаx_2[[#This Row],[Месяц]],Таблицаx_2[[#This Row],[id]]=A1553,EDATE(Таблицаx_2[[#This Row],[Месяц]],2)=D1553),F1553,0)</f>
        <v>0</v>
      </c>
    </row>
    <row r="1553" spans="1:11" ht="12.75" hidden="1" customHeight="1" x14ac:dyDescent="0.2">
      <c r="A1553" s="8">
        <v>199</v>
      </c>
      <c r="B1553" s="8" t="s">
        <v>47</v>
      </c>
      <c r="C1553" s="8" t="s">
        <v>11</v>
      </c>
      <c r="D1553" s="12">
        <v>45170</v>
      </c>
      <c r="E1553" s="8">
        <v>8040</v>
      </c>
      <c r="F1553" s="10">
        <f>IF(ISTEXT(Таблицаx_2[[#This Row],[Значение]]), 0, Таблицаx_2[[#This Row],[Значение]])</f>
        <v>8040</v>
      </c>
      <c r="G1553" s="12">
        <v>44896</v>
      </c>
      <c r="H1553" s="10" t="str">
        <f>IFERROR(VLOOKUP(Таблицаx_2[[#This Row],[id]],prolongations!A:C,2,)," ")</f>
        <v>декабрь 2022</v>
      </c>
      <c r="I1553" s="10">
        <f>IF(Таблицаx_2[[#This Row],[Месяц окончания]]=Таблицаx_2[[#This Row],[Месяц]],Таблицаx_2[[#This Row],[Значения числа]],0)</f>
        <v>0</v>
      </c>
      <c r="J1553" s="8">
        <f>IF(AND(Таблицаx_2[[#This Row],[Месяц окончания]]=Таблицаx_2[[#This Row],[Месяц]],Таблицаx_2[[#This Row],[id]]=A1554,EDATE(Таблицаx_2[[#This Row],[Месяц]],1)=D1554),F1554,0)</f>
        <v>0</v>
      </c>
      <c r="K1553" s="8">
        <f>IF(AND(Таблицаx_2[[#This Row],[Месяц окончания]]=Таблицаx_2[[#This Row],[Месяц]],Таблицаx_2[[#This Row],[id]]=A1554,EDATE(Таблицаx_2[[#This Row],[Месяц]],2)=D1554),F1554,0)</f>
        <v>0</v>
      </c>
    </row>
    <row r="1554" spans="1:11" ht="12.75" hidden="1" customHeight="1" x14ac:dyDescent="0.2">
      <c r="A1554" s="8">
        <v>199</v>
      </c>
      <c r="B1554" s="8" t="s">
        <v>47</v>
      </c>
      <c r="C1554" s="8" t="s">
        <v>11</v>
      </c>
      <c r="D1554" s="12">
        <v>45200</v>
      </c>
      <c r="E1554" s="8">
        <v>7125</v>
      </c>
      <c r="F1554" s="10">
        <f>IF(ISTEXT(Таблицаx_2[[#This Row],[Значение]]), 0, Таблицаx_2[[#This Row],[Значение]])</f>
        <v>7125</v>
      </c>
      <c r="G1554" s="12">
        <v>44896</v>
      </c>
      <c r="H1554" s="10" t="str">
        <f>IFERROR(VLOOKUP(Таблицаx_2[[#This Row],[id]],prolongations!A:C,2,)," ")</f>
        <v>декабрь 2022</v>
      </c>
      <c r="I1554" s="10">
        <f>IF(Таблицаx_2[[#This Row],[Месяц окончания]]=Таблицаx_2[[#This Row],[Месяц]],Таблицаx_2[[#This Row],[Значения числа]],0)</f>
        <v>0</v>
      </c>
      <c r="J1554" s="8">
        <f>IF(AND(Таблицаx_2[[#This Row],[Месяц окончания]]=Таблицаx_2[[#This Row],[Месяц]],Таблицаx_2[[#This Row],[id]]=A1555,EDATE(Таблицаx_2[[#This Row],[Месяц]],1)=D1555),F1555,0)</f>
        <v>0</v>
      </c>
      <c r="K1554" s="8">
        <f>IF(AND(Таблицаx_2[[#This Row],[Месяц окончания]]=Таблицаx_2[[#This Row],[Месяц]],Таблицаx_2[[#This Row],[id]]=A1555,EDATE(Таблицаx_2[[#This Row],[Месяц]],2)=D1555),F1555,0)</f>
        <v>0</v>
      </c>
    </row>
    <row r="1555" spans="1:11" ht="12.75" hidden="1" customHeight="1" x14ac:dyDescent="0.2">
      <c r="A1555" s="8">
        <v>199</v>
      </c>
      <c r="B1555" s="8" t="s">
        <v>47</v>
      </c>
      <c r="C1555" s="8" t="s">
        <v>11</v>
      </c>
      <c r="D1555" s="12">
        <v>45231</v>
      </c>
      <c r="E1555" s="8" t="s">
        <v>46</v>
      </c>
      <c r="F1555" s="10">
        <f>IF(ISTEXT(Таблицаx_2[[#This Row],[Значение]]), 0, Таблицаx_2[[#This Row],[Значение]])</f>
        <v>0</v>
      </c>
      <c r="G1555" s="12">
        <v>44896</v>
      </c>
      <c r="H1555" s="10" t="str">
        <f>IFERROR(VLOOKUP(Таблицаx_2[[#This Row],[id]],prolongations!A:C,2,)," ")</f>
        <v>декабрь 2022</v>
      </c>
      <c r="I1555" s="10">
        <f>IF(Таблицаx_2[[#This Row],[Месяц окончания]]=Таблицаx_2[[#This Row],[Месяц]],Таблицаx_2[[#This Row],[Значения числа]],0)</f>
        <v>0</v>
      </c>
      <c r="J1555" s="8">
        <f>IF(AND(Таблицаx_2[[#This Row],[Месяц окончания]]=Таблицаx_2[[#This Row],[Месяц]],Таблицаx_2[[#This Row],[id]]=A1556,EDATE(Таблицаx_2[[#This Row],[Месяц]],1)=D1556),F1556,0)</f>
        <v>0</v>
      </c>
      <c r="K1555" s="8">
        <f>IF(AND(Таблицаx_2[[#This Row],[Месяц окончания]]=Таблицаx_2[[#This Row],[Месяц]],Таблицаx_2[[#This Row],[id]]=A1556,EDATE(Таблицаx_2[[#This Row],[Месяц]],2)=D1556),F1556,0)</f>
        <v>0</v>
      </c>
    </row>
    <row r="1556" spans="1:11" ht="12.75" hidden="1" customHeight="1" x14ac:dyDescent="0.2">
      <c r="A1556" s="8">
        <v>519</v>
      </c>
      <c r="B1556" s="8" t="s">
        <v>45</v>
      </c>
      <c r="C1556" s="8" t="s">
        <v>11</v>
      </c>
      <c r="D1556" s="12">
        <v>45047</v>
      </c>
      <c r="E1556" s="8">
        <v>121500</v>
      </c>
      <c r="F1556" s="10">
        <f>IF(ISTEXT(Таблицаx_2[[#This Row],[Значение]]), 0, Таблицаx_2[[#This Row],[Значение]])</f>
        <v>121500</v>
      </c>
      <c r="G1556" s="12">
        <v>44927</v>
      </c>
      <c r="H1556" s="10" t="str">
        <f>IFERROR(VLOOKUP(Таблицаx_2[[#This Row],[id]],prolongations!A:C,2,)," ")</f>
        <v>январь 2023</v>
      </c>
      <c r="I1556" s="10">
        <f>IF(Таблицаx_2[[#This Row],[Месяц окончания]]=Таблицаx_2[[#This Row],[Месяц]],Таблицаx_2[[#This Row],[Значения числа]],0)</f>
        <v>0</v>
      </c>
      <c r="J1556" s="8">
        <f>IF(AND(Таблицаx_2[[#This Row],[Месяц окончания]]=Таблицаx_2[[#This Row],[Месяц]],Таблицаx_2[[#This Row],[id]]=A1557,EDATE(Таблицаx_2[[#This Row],[Месяц]],1)=D1557),F1557,0)</f>
        <v>0</v>
      </c>
      <c r="K1556" s="8">
        <f>IF(AND(Таблицаx_2[[#This Row],[Месяц окончания]]=Таблицаx_2[[#This Row],[Месяц]],Таблицаx_2[[#This Row],[id]]=A1557,EDATE(Таблицаx_2[[#This Row],[Месяц]],2)=D1557),F1557,0)</f>
        <v>0</v>
      </c>
    </row>
    <row r="1557" spans="1:11" ht="12.75" hidden="1" customHeight="1" x14ac:dyDescent="0.2">
      <c r="A1557" s="8">
        <v>519</v>
      </c>
      <c r="B1557" s="8" t="s">
        <v>45</v>
      </c>
      <c r="C1557" s="8" t="s">
        <v>11</v>
      </c>
      <c r="D1557" s="12">
        <v>45078</v>
      </c>
      <c r="E1557" s="8">
        <v>112000</v>
      </c>
      <c r="F1557" s="10">
        <f>IF(ISTEXT(Таблицаx_2[[#This Row],[Значение]]), 0, Таблицаx_2[[#This Row],[Значение]])</f>
        <v>112000</v>
      </c>
      <c r="G1557" s="12">
        <v>44927</v>
      </c>
      <c r="H1557" s="10" t="str">
        <f>IFERROR(VLOOKUP(Таблицаx_2[[#This Row],[id]],prolongations!A:C,2,)," ")</f>
        <v>январь 2023</v>
      </c>
      <c r="I1557" s="10">
        <f>IF(Таблицаx_2[[#This Row],[Месяц окончания]]=Таблицаx_2[[#This Row],[Месяц]],Таблицаx_2[[#This Row],[Значения числа]],0)</f>
        <v>0</v>
      </c>
      <c r="J1557" s="8">
        <f>IF(AND(Таблицаx_2[[#This Row],[Месяц окончания]]=Таблицаx_2[[#This Row],[Месяц]],Таблицаx_2[[#This Row],[id]]=A1558,EDATE(Таблицаx_2[[#This Row],[Месяц]],1)=D1558),F1558,0)</f>
        <v>0</v>
      </c>
      <c r="K1557" s="8">
        <f>IF(AND(Таблицаx_2[[#This Row],[Месяц окончания]]=Таблицаx_2[[#This Row],[Месяц]],Таблицаx_2[[#This Row],[id]]=A1558,EDATE(Таблицаx_2[[#This Row],[Месяц]],2)=D1558),F1558,0)</f>
        <v>0</v>
      </c>
    </row>
    <row r="1558" spans="1:11" ht="12.75" hidden="1" customHeight="1" x14ac:dyDescent="0.2">
      <c r="A1558" s="8">
        <v>519</v>
      </c>
      <c r="B1558" s="8" t="s">
        <v>45</v>
      </c>
      <c r="C1558" s="8" t="s">
        <v>11</v>
      </c>
      <c r="D1558" s="12">
        <v>45108</v>
      </c>
      <c r="E1558" s="8">
        <v>112000</v>
      </c>
      <c r="F1558" s="10">
        <f>IF(ISTEXT(Таблицаx_2[[#This Row],[Значение]]), 0, Таблицаx_2[[#This Row],[Значение]])</f>
        <v>112000</v>
      </c>
      <c r="G1558" s="12">
        <v>44927</v>
      </c>
      <c r="H1558" s="10" t="str">
        <f>IFERROR(VLOOKUP(Таблицаx_2[[#This Row],[id]],prolongations!A:C,2,)," ")</f>
        <v>январь 2023</v>
      </c>
      <c r="I1558" s="10">
        <f>IF(Таблицаx_2[[#This Row],[Месяц окончания]]=Таблицаx_2[[#This Row],[Месяц]],Таблицаx_2[[#This Row],[Значения числа]],0)</f>
        <v>0</v>
      </c>
      <c r="J1558" s="8">
        <f>IF(AND(Таблицаx_2[[#This Row],[Месяц окончания]]=Таблицаx_2[[#This Row],[Месяц]],Таблицаx_2[[#This Row],[id]]=A1559,EDATE(Таблицаx_2[[#This Row],[Месяц]],1)=D1559),F1559,0)</f>
        <v>0</v>
      </c>
      <c r="K1558" s="8">
        <f>IF(AND(Таблицаx_2[[#This Row],[Месяц окончания]]=Таблицаx_2[[#This Row],[Месяц]],Таблицаx_2[[#This Row],[id]]=A1559,EDATE(Таблицаx_2[[#This Row],[Месяц]],2)=D1559),F1559,0)</f>
        <v>0</v>
      </c>
    </row>
    <row r="1559" spans="1:11" ht="12.75" hidden="1" customHeight="1" x14ac:dyDescent="0.2">
      <c r="A1559" s="8">
        <v>519</v>
      </c>
      <c r="B1559" s="8" t="s">
        <v>45</v>
      </c>
      <c r="C1559" s="8" t="s">
        <v>11</v>
      </c>
      <c r="D1559" s="12">
        <v>45139</v>
      </c>
      <c r="E1559" s="8">
        <v>112000</v>
      </c>
      <c r="F1559" s="10">
        <f>IF(ISTEXT(Таблицаx_2[[#This Row],[Значение]]), 0, Таблицаx_2[[#This Row],[Значение]])</f>
        <v>112000</v>
      </c>
      <c r="G1559" s="12">
        <v>44927</v>
      </c>
      <c r="H1559" s="10" t="str">
        <f>IFERROR(VLOOKUP(Таблицаx_2[[#This Row],[id]],prolongations!A:C,2,)," ")</f>
        <v>январь 2023</v>
      </c>
      <c r="I1559" s="10">
        <f>IF(Таблицаx_2[[#This Row],[Месяц окончания]]=Таблицаx_2[[#This Row],[Месяц]],Таблицаx_2[[#This Row],[Значения числа]],0)</f>
        <v>0</v>
      </c>
      <c r="J1559" s="8">
        <f>IF(AND(Таблицаx_2[[#This Row],[Месяц окончания]]=Таблицаx_2[[#This Row],[Месяц]],Таблицаx_2[[#This Row],[id]]=A1560,EDATE(Таблицаx_2[[#This Row],[Месяц]],1)=D1560),F1560,0)</f>
        <v>0</v>
      </c>
      <c r="K1559" s="8">
        <f>IF(AND(Таблицаx_2[[#This Row],[Месяц окончания]]=Таблицаx_2[[#This Row],[Месяц]],Таблицаx_2[[#This Row],[id]]=A1560,EDATE(Таблицаx_2[[#This Row],[Месяц]],2)=D1560),F1560,0)</f>
        <v>0</v>
      </c>
    </row>
    <row r="1560" spans="1:11" ht="12.75" hidden="1" customHeight="1" x14ac:dyDescent="0.2">
      <c r="A1560" s="8">
        <v>519</v>
      </c>
      <c r="B1560" s="8" t="s">
        <v>45</v>
      </c>
      <c r="C1560" s="8" t="s">
        <v>11</v>
      </c>
      <c r="D1560" s="12">
        <v>45170</v>
      </c>
      <c r="E1560" s="8">
        <v>121500</v>
      </c>
      <c r="F1560" s="10">
        <f>IF(ISTEXT(Таблицаx_2[[#This Row],[Значение]]), 0, Таблицаx_2[[#This Row],[Значение]])</f>
        <v>121500</v>
      </c>
      <c r="G1560" s="12">
        <v>44927</v>
      </c>
      <c r="H1560" s="10" t="str">
        <f>IFERROR(VLOOKUP(Таблицаx_2[[#This Row],[id]],prolongations!A:C,2,)," ")</f>
        <v>январь 2023</v>
      </c>
      <c r="I1560" s="10">
        <f>IF(Таблицаx_2[[#This Row],[Месяц окончания]]=Таблицаx_2[[#This Row],[Месяц]],Таблицаx_2[[#This Row],[Значения числа]],0)</f>
        <v>0</v>
      </c>
      <c r="J1560" s="8">
        <f>IF(AND(Таблицаx_2[[#This Row],[Месяц окончания]]=Таблицаx_2[[#This Row],[Месяц]],Таблицаx_2[[#This Row],[id]]=A1561,EDATE(Таблицаx_2[[#This Row],[Месяц]],1)=D1561),F1561,0)</f>
        <v>0</v>
      </c>
      <c r="K1560" s="8">
        <f>IF(AND(Таблицаx_2[[#This Row],[Месяц окончания]]=Таблицаx_2[[#This Row],[Месяц]],Таблицаx_2[[#This Row],[id]]=A1561,EDATE(Таблицаx_2[[#This Row],[Месяц]],2)=D1561),F1561,0)</f>
        <v>0</v>
      </c>
    </row>
    <row r="1561" spans="1:11" ht="12.75" hidden="1" customHeight="1" x14ac:dyDescent="0.2">
      <c r="A1561" s="8">
        <v>519</v>
      </c>
      <c r="B1561" s="8" t="s">
        <v>45</v>
      </c>
      <c r="C1561" s="8" t="s">
        <v>11</v>
      </c>
      <c r="D1561" s="12">
        <v>45200</v>
      </c>
      <c r="E1561" s="8">
        <v>121500</v>
      </c>
      <c r="F1561" s="10">
        <f>IF(ISTEXT(Таблицаx_2[[#This Row],[Значение]]), 0, Таблицаx_2[[#This Row],[Значение]])</f>
        <v>121500</v>
      </c>
      <c r="G1561" s="12">
        <v>44927</v>
      </c>
      <c r="H1561" s="10" t="str">
        <f>IFERROR(VLOOKUP(Таблицаx_2[[#This Row],[id]],prolongations!A:C,2,)," ")</f>
        <v>январь 2023</v>
      </c>
      <c r="I1561" s="10">
        <f>IF(Таблицаx_2[[#This Row],[Месяц окончания]]=Таблицаx_2[[#This Row],[Месяц]],Таблицаx_2[[#This Row],[Значения числа]],0)</f>
        <v>0</v>
      </c>
      <c r="J1561" s="8">
        <f>IF(AND(Таблицаx_2[[#This Row],[Месяц окончания]]=Таблицаx_2[[#This Row],[Месяц]],Таблицаx_2[[#This Row],[id]]=A1562,EDATE(Таблицаx_2[[#This Row],[Месяц]],1)=D1562),F1562,0)</f>
        <v>0</v>
      </c>
      <c r="K1561" s="8">
        <f>IF(AND(Таблицаx_2[[#This Row],[Месяц окончания]]=Таблицаx_2[[#This Row],[Месяц]],Таблицаx_2[[#This Row],[id]]=A1562,EDATE(Таблицаx_2[[#This Row],[Месяц]],2)=D1562),F1562,0)</f>
        <v>0</v>
      </c>
    </row>
    <row r="1562" spans="1:11" ht="12.75" hidden="1" customHeight="1" x14ac:dyDescent="0.2">
      <c r="A1562" s="8">
        <v>519</v>
      </c>
      <c r="B1562" s="8" t="s">
        <v>45</v>
      </c>
      <c r="C1562" s="8" t="s">
        <v>11</v>
      </c>
      <c r="D1562" s="12">
        <v>45231</v>
      </c>
      <c r="E1562" s="8" t="s">
        <v>46</v>
      </c>
      <c r="F1562" s="10">
        <f>IF(ISTEXT(Таблицаx_2[[#This Row],[Значение]]), 0, Таблицаx_2[[#This Row],[Значение]])</f>
        <v>0</v>
      </c>
      <c r="G1562" s="12">
        <v>44927</v>
      </c>
      <c r="H1562" s="10" t="str">
        <f>IFERROR(VLOOKUP(Таблицаx_2[[#This Row],[id]],prolongations!A:C,2,)," ")</f>
        <v>январь 2023</v>
      </c>
      <c r="I1562" s="10">
        <f>IF(Таблицаx_2[[#This Row],[Месяц окончания]]=Таблицаx_2[[#This Row],[Месяц]],Таблицаx_2[[#This Row],[Значения числа]],0)</f>
        <v>0</v>
      </c>
      <c r="J1562" s="8">
        <f>IF(AND(Таблицаx_2[[#This Row],[Месяц окончания]]=Таблицаx_2[[#This Row],[Месяц]],Таблицаx_2[[#This Row],[id]]=A1563,EDATE(Таблицаx_2[[#This Row],[Месяц]],1)=D1563),F1563,0)</f>
        <v>0</v>
      </c>
      <c r="K1562" s="8">
        <f>IF(AND(Таблицаx_2[[#This Row],[Месяц окончания]]=Таблицаx_2[[#This Row],[Месяц]],Таблицаx_2[[#This Row],[id]]=A1563,EDATE(Таблицаx_2[[#This Row],[Месяц]],2)=D1563),F1563,0)</f>
        <v>0</v>
      </c>
    </row>
    <row r="1563" spans="1:11" ht="12.75" hidden="1" customHeight="1" x14ac:dyDescent="0.2">
      <c r="A1563" s="8">
        <v>519</v>
      </c>
      <c r="B1563" s="8" t="s">
        <v>47</v>
      </c>
      <c r="C1563" s="8" t="s">
        <v>11</v>
      </c>
      <c r="D1563" s="12">
        <v>44866</v>
      </c>
      <c r="E1563" s="8">
        <v>218465</v>
      </c>
      <c r="F1563" s="10">
        <f>IF(ISTEXT(Таблицаx_2[[#This Row],[Значение]]), 0, Таблицаx_2[[#This Row],[Значение]])</f>
        <v>218465</v>
      </c>
      <c r="G1563" s="12">
        <v>44927</v>
      </c>
      <c r="H1563" s="10" t="str">
        <f>IFERROR(VLOOKUP(Таблицаx_2[[#This Row],[id]],prolongations!A:C,2,)," ")</f>
        <v>январь 2023</v>
      </c>
      <c r="I1563" s="10">
        <f>IF(Таблицаx_2[[#This Row],[Месяц окончания]]=Таблицаx_2[[#This Row],[Месяц]],Таблицаx_2[[#This Row],[Значения числа]],0)</f>
        <v>0</v>
      </c>
      <c r="J1563" s="8">
        <f>IF(AND(Таблицаx_2[[#This Row],[Месяц окончания]]=Таблицаx_2[[#This Row],[Месяц]],Таблицаx_2[[#This Row],[id]]=A1564,EDATE(Таблицаx_2[[#This Row],[Месяц]],1)=D1564),F1564,0)</f>
        <v>0</v>
      </c>
      <c r="K1563" s="8">
        <f>IF(AND(Таблицаx_2[[#This Row],[Месяц окончания]]=Таблицаx_2[[#This Row],[Месяц]],Таблицаx_2[[#This Row],[id]]=A1564,EDATE(Таблицаx_2[[#This Row],[Месяц]],2)=D1564),F1564,0)</f>
        <v>0</v>
      </c>
    </row>
    <row r="1564" spans="1:11" ht="12.75" hidden="1" customHeight="1" x14ac:dyDescent="0.2">
      <c r="A1564" s="8">
        <v>519</v>
      </c>
      <c r="B1564" s="8" t="s">
        <v>47</v>
      </c>
      <c r="C1564" s="8" t="s">
        <v>11</v>
      </c>
      <c r="D1564" s="12">
        <v>44896</v>
      </c>
      <c r="E1564" s="8">
        <v>187125</v>
      </c>
      <c r="F1564" s="10">
        <f>IF(ISTEXT(Таблицаx_2[[#This Row],[Значение]]), 0, Таблицаx_2[[#This Row],[Значение]])</f>
        <v>187125</v>
      </c>
      <c r="G1564" s="12">
        <v>44927</v>
      </c>
      <c r="H1564" s="10" t="str">
        <f>IFERROR(VLOOKUP(Таблицаx_2[[#This Row],[id]],prolongations!A:C,2,)," ")</f>
        <v>январь 2023</v>
      </c>
      <c r="I1564" s="10">
        <f>IF(Таблицаx_2[[#This Row],[Месяц окончания]]=Таблицаx_2[[#This Row],[Месяц]],Таблицаx_2[[#This Row],[Значения числа]],0)</f>
        <v>0</v>
      </c>
      <c r="J1564" s="8">
        <f>IF(AND(Таблицаx_2[[#This Row],[Месяц окончания]]=Таблицаx_2[[#This Row],[Месяц]],Таблицаx_2[[#This Row],[id]]=A1565,EDATE(Таблицаx_2[[#This Row],[Месяц]],1)=D1565),F1565,0)</f>
        <v>0</v>
      </c>
      <c r="K1564" s="8">
        <f>IF(AND(Таблицаx_2[[#This Row],[Месяц окончания]]=Таблицаx_2[[#This Row],[Месяц]],Таблицаx_2[[#This Row],[id]]=A1565,EDATE(Таблицаx_2[[#This Row],[Месяц]],2)=D1565),F1565,0)</f>
        <v>0</v>
      </c>
    </row>
    <row r="1565" spans="1:11" ht="12.75" hidden="1" customHeight="1" x14ac:dyDescent="0.2">
      <c r="A1565" s="8">
        <v>519</v>
      </c>
      <c r="B1565" s="8" t="s">
        <v>47</v>
      </c>
      <c r="C1565" s="8" t="s">
        <v>11</v>
      </c>
      <c r="D1565" s="12">
        <v>44927</v>
      </c>
      <c r="E1565" s="8">
        <v>88975</v>
      </c>
      <c r="F1565" s="10">
        <f>IF(ISTEXT(Таблицаx_2[[#This Row],[Значение]]), 0, Таблицаx_2[[#This Row],[Значение]])</f>
        <v>88975</v>
      </c>
      <c r="G1565" s="12">
        <v>44927</v>
      </c>
      <c r="H1565" s="10" t="str">
        <f>IFERROR(VLOOKUP(Таблицаx_2[[#This Row],[id]],prolongations!A:C,2,)," ")</f>
        <v>январь 2023</v>
      </c>
      <c r="I1565" s="10">
        <f>IF(Таблицаx_2[[#This Row],[Месяц окончания]]=Таблицаx_2[[#This Row],[Месяц]],Таблицаx_2[[#This Row],[Значения числа]],0)</f>
        <v>88975</v>
      </c>
      <c r="J1565" s="8">
        <f>IF(AND(Таблицаx_2[[#This Row],[Месяц окончания]]=Таблицаx_2[[#This Row],[Месяц]],Таблицаx_2[[#This Row],[id]]=A1566,EDATE(Таблицаx_2[[#This Row],[Месяц]],1)=D1566),F1566,0)</f>
        <v>0</v>
      </c>
      <c r="K1565" s="8">
        <f>IF(AND(Таблицаx_2[[#This Row],[Месяц окончания]]=Таблицаx_2[[#This Row],[Месяц]],Таблицаx_2[[#This Row],[id]]=A1566,EDATE(Таблицаx_2[[#This Row],[Месяц]],2)=D1566),F1566,0)</f>
        <v>0</v>
      </c>
    </row>
    <row r="1566" spans="1:11" ht="12.75" hidden="1" customHeight="1" x14ac:dyDescent="0.2">
      <c r="A1566" s="8">
        <v>519</v>
      </c>
      <c r="B1566" s="8" t="s">
        <v>47</v>
      </c>
      <c r="C1566" s="8" t="s">
        <v>11</v>
      </c>
      <c r="D1566" s="12">
        <v>45047</v>
      </c>
      <c r="E1566" s="8">
        <v>53700</v>
      </c>
      <c r="F1566" s="10">
        <f>IF(ISTEXT(Таблицаx_2[[#This Row],[Значение]]), 0, Таблицаx_2[[#This Row],[Значение]])</f>
        <v>53700</v>
      </c>
      <c r="G1566" s="12">
        <v>44927</v>
      </c>
      <c r="H1566" s="10" t="str">
        <f>IFERROR(VLOOKUP(Таблицаx_2[[#This Row],[id]],prolongations!A:C,2,)," ")</f>
        <v>январь 2023</v>
      </c>
      <c r="I1566" s="10">
        <f>IF(Таблицаx_2[[#This Row],[Месяц окончания]]=Таблицаx_2[[#This Row],[Месяц]],Таблицаx_2[[#This Row],[Значения числа]],0)</f>
        <v>0</v>
      </c>
      <c r="J1566" s="8">
        <f>IF(AND(Таблицаx_2[[#This Row],[Месяц окончания]]=Таблицаx_2[[#This Row],[Месяц]],Таблицаx_2[[#This Row],[id]]=A1567,EDATE(Таблицаx_2[[#This Row],[Месяц]],1)=D1567),F1567,0)</f>
        <v>0</v>
      </c>
      <c r="K1566" s="8">
        <f>IF(AND(Таблицаx_2[[#This Row],[Месяц окончания]]=Таблицаx_2[[#This Row],[Месяц]],Таблицаx_2[[#This Row],[id]]=A1567,EDATE(Таблицаx_2[[#This Row],[Месяц]],2)=D1567),F1567,0)</f>
        <v>0</v>
      </c>
    </row>
    <row r="1567" spans="1:11" ht="12.75" hidden="1" customHeight="1" x14ac:dyDescent="0.2">
      <c r="A1567" s="8">
        <v>519</v>
      </c>
      <c r="B1567" s="8" t="s">
        <v>47</v>
      </c>
      <c r="C1567" s="8" t="s">
        <v>11</v>
      </c>
      <c r="D1567" s="12">
        <v>45078</v>
      </c>
      <c r="E1567" s="8">
        <v>44750</v>
      </c>
      <c r="F1567" s="10">
        <f>IF(ISTEXT(Таблицаx_2[[#This Row],[Значение]]), 0, Таблицаx_2[[#This Row],[Значение]])</f>
        <v>44750</v>
      </c>
      <c r="G1567" s="12">
        <v>44927</v>
      </c>
      <c r="H1567" s="10" t="str">
        <f>IFERROR(VLOOKUP(Таблицаx_2[[#This Row],[id]],prolongations!A:C,2,)," ")</f>
        <v>январь 2023</v>
      </c>
      <c r="I1567" s="10">
        <f>IF(Таблицаx_2[[#This Row],[Месяц окончания]]=Таблицаx_2[[#This Row],[Месяц]],Таблицаx_2[[#This Row],[Значения числа]],0)</f>
        <v>0</v>
      </c>
      <c r="J1567" s="8">
        <f>IF(AND(Таблицаx_2[[#This Row],[Месяц окончания]]=Таблицаx_2[[#This Row],[Месяц]],Таблицаx_2[[#This Row],[id]]=A1568,EDATE(Таблицаx_2[[#This Row],[Месяц]],1)=D1568),F1568,0)</f>
        <v>0</v>
      </c>
      <c r="K1567" s="8">
        <f>IF(AND(Таблицаx_2[[#This Row],[Месяц окончания]]=Таблицаx_2[[#This Row],[Месяц]],Таблицаx_2[[#This Row],[id]]=A1568,EDATE(Таблицаx_2[[#This Row],[Месяц]],2)=D1568),F1568,0)</f>
        <v>0</v>
      </c>
    </row>
    <row r="1568" spans="1:11" ht="12.75" hidden="1" customHeight="1" x14ac:dyDescent="0.2">
      <c r="A1568" s="8">
        <v>519</v>
      </c>
      <c r="B1568" s="8" t="s">
        <v>47</v>
      </c>
      <c r="C1568" s="8" t="s">
        <v>11</v>
      </c>
      <c r="D1568" s="12">
        <v>45108</v>
      </c>
      <c r="E1568" s="8">
        <v>44750</v>
      </c>
      <c r="F1568" s="10">
        <f>IF(ISTEXT(Таблицаx_2[[#This Row],[Значение]]), 0, Таблицаx_2[[#This Row],[Значение]])</f>
        <v>44750</v>
      </c>
      <c r="G1568" s="12">
        <v>44927</v>
      </c>
      <c r="H1568" s="10" t="str">
        <f>IFERROR(VLOOKUP(Таблицаx_2[[#This Row],[id]],prolongations!A:C,2,)," ")</f>
        <v>январь 2023</v>
      </c>
      <c r="I1568" s="10">
        <f>IF(Таблицаx_2[[#This Row],[Месяц окончания]]=Таблицаx_2[[#This Row],[Месяц]],Таблицаx_2[[#This Row],[Значения числа]],0)</f>
        <v>0</v>
      </c>
      <c r="J1568" s="8">
        <f>IF(AND(Таблицаx_2[[#This Row],[Месяц окончания]]=Таблицаx_2[[#This Row],[Месяц]],Таблицаx_2[[#This Row],[id]]=A1569,EDATE(Таблицаx_2[[#This Row],[Месяц]],1)=D1569),F1569,0)</f>
        <v>0</v>
      </c>
      <c r="K1568" s="8">
        <f>IF(AND(Таблицаx_2[[#This Row],[Месяц окончания]]=Таблицаx_2[[#This Row],[Месяц]],Таблицаx_2[[#This Row],[id]]=A1569,EDATE(Таблицаx_2[[#This Row],[Месяц]],2)=D1569),F1569,0)</f>
        <v>0</v>
      </c>
    </row>
    <row r="1569" spans="1:11" ht="12.75" hidden="1" customHeight="1" x14ac:dyDescent="0.2">
      <c r="A1569" s="8">
        <v>519</v>
      </c>
      <c r="B1569" s="8" t="s">
        <v>47</v>
      </c>
      <c r="C1569" s="8" t="s">
        <v>11</v>
      </c>
      <c r="D1569" s="12">
        <v>45139</v>
      </c>
      <c r="E1569" s="8" t="s">
        <v>48</v>
      </c>
      <c r="F1569" s="10">
        <f>IF(ISTEXT(Таблицаx_2[[#This Row],[Значение]]), 0, Таблицаx_2[[#This Row],[Значение]])</f>
        <v>0</v>
      </c>
      <c r="G1569" s="12">
        <v>44927</v>
      </c>
      <c r="H1569" s="10" t="str">
        <f>IFERROR(VLOOKUP(Таблицаx_2[[#This Row],[id]],prolongations!A:C,2,)," ")</f>
        <v>январь 2023</v>
      </c>
      <c r="I1569" s="10">
        <f>IF(Таблицаx_2[[#This Row],[Месяц окончания]]=Таблицаx_2[[#This Row],[Месяц]],Таблицаx_2[[#This Row],[Значения числа]],0)</f>
        <v>0</v>
      </c>
      <c r="J1569" s="8">
        <f>IF(AND(Таблицаx_2[[#This Row],[Месяц окончания]]=Таблицаx_2[[#This Row],[Месяц]],Таблицаx_2[[#This Row],[id]]=A1570,EDATE(Таблицаx_2[[#This Row],[Месяц]],1)=D1570),F1570,0)</f>
        <v>0</v>
      </c>
      <c r="K1569" s="8">
        <f>IF(AND(Таблицаx_2[[#This Row],[Месяц окончания]]=Таблицаx_2[[#This Row],[Месяц]],Таблицаx_2[[#This Row],[id]]=A1570,EDATE(Таблицаx_2[[#This Row],[Месяц]],2)=D1570),F1570,0)</f>
        <v>0</v>
      </c>
    </row>
    <row r="1570" spans="1:11" ht="12.75" hidden="1" customHeight="1" x14ac:dyDescent="0.2">
      <c r="A1570" s="8">
        <v>519</v>
      </c>
      <c r="B1570" s="8" t="s">
        <v>47</v>
      </c>
      <c r="C1570" s="8" t="s">
        <v>11</v>
      </c>
      <c r="D1570" s="12">
        <v>45170</v>
      </c>
      <c r="E1570" s="8">
        <v>53700</v>
      </c>
      <c r="F1570" s="10">
        <f>IF(ISTEXT(Таблицаx_2[[#This Row],[Значение]]), 0, Таблицаx_2[[#This Row],[Значение]])</f>
        <v>53700</v>
      </c>
      <c r="G1570" s="12">
        <v>44927</v>
      </c>
      <c r="H1570" s="10" t="str">
        <f>IFERROR(VLOOKUP(Таблицаx_2[[#This Row],[id]],prolongations!A:C,2,)," ")</f>
        <v>январь 2023</v>
      </c>
      <c r="I1570" s="10">
        <f>IF(Таблицаx_2[[#This Row],[Месяц окончания]]=Таблицаx_2[[#This Row],[Месяц]],Таблицаx_2[[#This Row],[Значения числа]],0)</f>
        <v>0</v>
      </c>
      <c r="J1570" s="8">
        <f>IF(AND(Таблицаx_2[[#This Row],[Месяц окончания]]=Таблицаx_2[[#This Row],[Месяц]],Таблицаx_2[[#This Row],[id]]=A1571,EDATE(Таблицаx_2[[#This Row],[Месяц]],1)=D1571),F1571,0)</f>
        <v>0</v>
      </c>
      <c r="K1570" s="8">
        <f>IF(AND(Таблицаx_2[[#This Row],[Месяц окончания]]=Таблицаx_2[[#This Row],[Месяц]],Таблицаx_2[[#This Row],[id]]=A1571,EDATE(Таблицаx_2[[#This Row],[Месяц]],2)=D1571),F1571,0)</f>
        <v>0</v>
      </c>
    </row>
    <row r="1571" spans="1:11" ht="12.75" hidden="1" customHeight="1" x14ac:dyDescent="0.2">
      <c r="A1571" s="8">
        <v>519</v>
      </c>
      <c r="B1571" s="8" t="s">
        <v>47</v>
      </c>
      <c r="C1571" s="8" t="s">
        <v>11</v>
      </c>
      <c r="D1571" s="12">
        <v>45200</v>
      </c>
      <c r="E1571" s="8">
        <v>44750</v>
      </c>
      <c r="F1571" s="10">
        <f>IF(ISTEXT(Таблицаx_2[[#This Row],[Значение]]), 0, Таблицаx_2[[#This Row],[Значение]])</f>
        <v>44750</v>
      </c>
      <c r="G1571" s="12">
        <v>44927</v>
      </c>
      <c r="H1571" s="10" t="str">
        <f>IFERROR(VLOOKUP(Таблицаx_2[[#This Row],[id]],prolongations!A:C,2,)," ")</f>
        <v>январь 2023</v>
      </c>
      <c r="I1571" s="10">
        <f>IF(Таблицаx_2[[#This Row],[Месяц окончания]]=Таблицаx_2[[#This Row],[Месяц]],Таблицаx_2[[#This Row],[Значения числа]],0)</f>
        <v>0</v>
      </c>
      <c r="J1571" s="8">
        <f>IF(AND(Таблицаx_2[[#This Row],[Месяц окончания]]=Таблицаx_2[[#This Row],[Месяц]],Таблицаx_2[[#This Row],[id]]=A1572,EDATE(Таблицаx_2[[#This Row],[Месяц]],1)=D1572),F1572,0)</f>
        <v>0</v>
      </c>
      <c r="K1571" s="8">
        <f>IF(AND(Таблицаx_2[[#This Row],[Месяц окончания]]=Таблицаx_2[[#This Row],[Месяц]],Таблицаx_2[[#This Row],[id]]=A1572,EDATE(Таблицаx_2[[#This Row],[Месяц]],2)=D1572),F1572,0)</f>
        <v>0</v>
      </c>
    </row>
    <row r="1572" spans="1:11" ht="12.75" hidden="1" customHeight="1" x14ac:dyDescent="0.2">
      <c r="A1572" s="8">
        <v>519</v>
      </c>
      <c r="B1572" s="8" t="s">
        <v>47</v>
      </c>
      <c r="C1572" s="8" t="s">
        <v>11</v>
      </c>
      <c r="D1572" s="12">
        <v>45231</v>
      </c>
      <c r="E1572" s="8" t="s">
        <v>46</v>
      </c>
      <c r="F1572" s="10">
        <f>IF(ISTEXT(Таблицаx_2[[#This Row],[Значение]]), 0, Таблицаx_2[[#This Row],[Значение]])</f>
        <v>0</v>
      </c>
      <c r="G1572" s="12">
        <v>44927</v>
      </c>
      <c r="H1572" s="10" t="str">
        <f>IFERROR(VLOOKUP(Таблицаx_2[[#This Row],[id]],prolongations!A:C,2,)," ")</f>
        <v>январь 2023</v>
      </c>
      <c r="I1572" s="10">
        <f>IF(Таблицаx_2[[#This Row],[Месяц окончания]]=Таблицаx_2[[#This Row],[Месяц]],Таблицаx_2[[#This Row],[Значения числа]],0)</f>
        <v>0</v>
      </c>
      <c r="J1572" s="8">
        <f>IF(AND(Таблицаx_2[[#This Row],[Месяц окончания]]=Таблицаx_2[[#This Row],[Месяц]],Таблицаx_2[[#This Row],[id]]=A1573,EDATE(Таблицаx_2[[#This Row],[Месяц]],1)=D1573),F1573,0)</f>
        <v>0</v>
      </c>
      <c r="K1572" s="8">
        <f>IF(AND(Таблицаx_2[[#This Row],[Месяц окончания]]=Таблицаx_2[[#This Row],[Месяц]],Таблицаx_2[[#This Row],[id]]=A1573,EDATE(Таблицаx_2[[#This Row],[Месяц]],2)=D1573),F1573,0)</f>
        <v>0</v>
      </c>
    </row>
    <row r="1573" spans="1:11" ht="12.75" hidden="1" customHeight="1" x14ac:dyDescent="0.2">
      <c r="A1573" s="8">
        <v>889</v>
      </c>
      <c r="B1573" s="8"/>
      <c r="C1573" s="8" t="s">
        <v>4</v>
      </c>
      <c r="D1573" s="12">
        <v>45078</v>
      </c>
      <c r="E1573" s="8">
        <v>32075</v>
      </c>
      <c r="F1573" s="10">
        <f>IF(ISTEXT(Таблицаx_2[[#This Row],[Значение]]), 0, Таблицаx_2[[#This Row],[Значение]])</f>
        <v>32075</v>
      </c>
      <c r="G1573" s="12">
        <v>45139</v>
      </c>
      <c r="H1573" s="10" t="str">
        <f>IFERROR(VLOOKUP(Таблицаx_2[[#This Row],[id]],prolongations!A:C,2,)," ")</f>
        <v>август 2023</v>
      </c>
      <c r="I1573" s="10">
        <f>IF(Таблицаx_2[[#This Row],[Месяц окончания]]=Таблицаx_2[[#This Row],[Месяц]],Таблицаx_2[[#This Row],[Значения числа]],0)</f>
        <v>0</v>
      </c>
      <c r="J1573" s="8">
        <f>IF(AND(Таблицаx_2[[#This Row],[Месяц окончания]]=Таблицаx_2[[#This Row],[Месяц]],Таблицаx_2[[#This Row],[id]]=A1574,EDATE(Таблицаx_2[[#This Row],[Месяц]],1)=D1574),F1574,0)</f>
        <v>0</v>
      </c>
      <c r="K1573" s="8">
        <f>IF(AND(Таблицаx_2[[#This Row],[Месяц окончания]]=Таблицаx_2[[#This Row],[Месяц]],Таблицаx_2[[#This Row],[id]]=A1574,EDATE(Таблицаx_2[[#This Row],[Месяц]],2)=D1574),F1574,0)</f>
        <v>0</v>
      </c>
    </row>
    <row r="1574" spans="1:11" ht="12.75" hidden="1" customHeight="1" x14ac:dyDescent="0.2">
      <c r="A1574" s="8">
        <v>889</v>
      </c>
      <c r="B1574" s="8"/>
      <c r="C1574" s="8" t="s">
        <v>4</v>
      </c>
      <c r="D1574" s="12">
        <v>45108</v>
      </c>
      <c r="E1574" s="8">
        <v>63190</v>
      </c>
      <c r="F1574" s="10">
        <f>IF(ISTEXT(Таблицаx_2[[#This Row],[Значение]]), 0, Таблицаx_2[[#This Row],[Значение]])</f>
        <v>63190</v>
      </c>
      <c r="G1574" s="12">
        <v>45139</v>
      </c>
      <c r="H1574" s="10" t="str">
        <f>IFERROR(VLOOKUP(Таблицаx_2[[#This Row],[id]],prolongations!A:C,2,)," ")</f>
        <v>август 2023</v>
      </c>
      <c r="I1574" s="10">
        <f>IF(Таблицаx_2[[#This Row],[Месяц окончания]]=Таблицаx_2[[#This Row],[Месяц]],Таблицаx_2[[#This Row],[Значения числа]],0)</f>
        <v>0</v>
      </c>
      <c r="J1574" s="8">
        <f>IF(AND(Таблицаx_2[[#This Row],[Месяц окончания]]=Таблицаx_2[[#This Row],[Месяц]],Таблицаx_2[[#This Row],[id]]=A1575,EDATE(Таблицаx_2[[#This Row],[Месяц]],1)=D1575),F1575,0)</f>
        <v>0</v>
      </c>
      <c r="K1574" s="8">
        <f>IF(AND(Таблицаx_2[[#This Row],[Месяц окончания]]=Таблицаx_2[[#This Row],[Месяц]],Таблицаx_2[[#This Row],[id]]=A1575,EDATE(Таблицаx_2[[#This Row],[Месяц]],2)=D1575),F1575,0)</f>
        <v>0</v>
      </c>
    </row>
    <row r="1575" spans="1:11" ht="12.75" hidden="1" customHeight="1" x14ac:dyDescent="0.2">
      <c r="A1575" s="8">
        <v>889</v>
      </c>
      <c r="B1575" s="8"/>
      <c r="C1575" s="8" t="s">
        <v>4</v>
      </c>
      <c r="D1575" s="12">
        <v>45139</v>
      </c>
      <c r="E1575" s="8">
        <v>64940</v>
      </c>
      <c r="F1575" s="10">
        <f>IF(ISTEXT(Таблицаx_2[[#This Row],[Значение]]), 0, Таблицаx_2[[#This Row],[Значение]])</f>
        <v>64940</v>
      </c>
      <c r="G1575" s="12">
        <v>45139</v>
      </c>
      <c r="H1575" s="10" t="str">
        <f>IFERROR(VLOOKUP(Таблицаx_2[[#This Row],[id]],prolongations!A:C,2,)," ")</f>
        <v>август 2023</v>
      </c>
      <c r="I1575" s="10">
        <f>IF(Таблицаx_2[[#This Row],[Месяц окончания]]=Таблицаx_2[[#This Row],[Месяц]],Таблицаx_2[[#This Row],[Значения числа]],0)</f>
        <v>64940</v>
      </c>
      <c r="J1575" s="8">
        <f>IF(AND(Таблицаx_2[[#This Row],[Месяц окончания]]=Таблицаx_2[[#This Row],[Месяц]],Таблицаx_2[[#This Row],[id]]=A1576,EDATE(Таблицаx_2[[#This Row],[Месяц]],1)=D1576),F1576,0)</f>
        <v>0</v>
      </c>
      <c r="K1575" s="8">
        <f>IF(AND(Таблицаx_2[[#This Row],[Месяц окончания]]=Таблицаx_2[[#This Row],[Месяц]],Таблицаx_2[[#This Row],[id]]=A1576,EDATE(Таблицаx_2[[#This Row],[Месяц]],2)=D1576),F1576,0)</f>
        <v>0</v>
      </c>
    </row>
    <row r="1576" spans="1:11" ht="12.75" hidden="1" customHeight="1" x14ac:dyDescent="0.2">
      <c r="A1576" s="8">
        <v>889</v>
      </c>
      <c r="B1576" s="8"/>
      <c r="C1576" s="8" t="s">
        <v>4</v>
      </c>
      <c r="D1576" s="12">
        <v>45231</v>
      </c>
      <c r="E1576" s="8">
        <v>64620</v>
      </c>
      <c r="F1576" s="10">
        <f>IF(ISTEXT(Таблицаx_2[[#This Row],[Значение]]), 0, Таблицаx_2[[#This Row],[Значение]])</f>
        <v>64620</v>
      </c>
      <c r="G1576" s="12">
        <v>45139</v>
      </c>
      <c r="H1576" s="10" t="str">
        <f>IFERROR(VLOOKUP(Таблицаx_2[[#This Row],[id]],prolongations!A:C,2,)," ")</f>
        <v>август 2023</v>
      </c>
      <c r="I1576" s="10">
        <f>IF(Таблицаx_2[[#This Row],[Месяц окончания]]=Таблицаx_2[[#This Row],[Месяц]],Таблицаx_2[[#This Row],[Значения числа]],0)</f>
        <v>0</v>
      </c>
      <c r="J1576" s="8">
        <f>IF(AND(Таблицаx_2[[#This Row],[Месяц окончания]]=Таблицаx_2[[#This Row],[Месяц]],Таблицаx_2[[#This Row],[id]]=A1577,EDATE(Таблицаx_2[[#This Row],[Месяц]],1)=D1577),F1577,0)</f>
        <v>0</v>
      </c>
      <c r="K1576" s="8">
        <f>IF(AND(Таблицаx_2[[#This Row],[Месяц окончания]]=Таблицаx_2[[#This Row],[Месяц]],Таблицаx_2[[#This Row],[id]]=A1577,EDATE(Таблицаx_2[[#This Row],[Месяц]],2)=D1577),F1577,0)</f>
        <v>0</v>
      </c>
    </row>
    <row r="1577" spans="1:11" ht="12.75" hidden="1" customHeight="1" x14ac:dyDescent="0.2">
      <c r="A1577" s="8">
        <v>956</v>
      </c>
      <c r="B1577" s="8"/>
      <c r="C1577" s="8" t="s">
        <v>4</v>
      </c>
      <c r="D1577" s="12">
        <v>45170</v>
      </c>
      <c r="E1577" s="8">
        <v>61000</v>
      </c>
      <c r="F1577" s="10">
        <f>IF(ISTEXT(Таблицаx_2[[#This Row],[Значение]]), 0, Таблицаx_2[[#This Row],[Значение]])</f>
        <v>61000</v>
      </c>
      <c r="G1577" s="12">
        <v>45200</v>
      </c>
      <c r="H1577" s="10" t="str">
        <f>IFERROR(VLOOKUP(Таблицаx_2[[#This Row],[id]],prolongations!A:C,2,)," ")</f>
        <v>октябрь 2023</v>
      </c>
      <c r="I1577" s="10">
        <f>IF(Таблицаx_2[[#This Row],[Месяц окончания]]=Таблицаx_2[[#This Row],[Месяц]],Таблицаx_2[[#This Row],[Значения числа]],0)</f>
        <v>0</v>
      </c>
      <c r="J1577" s="8">
        <f>IF(AND(Таблицаx_2[[#This Row],[Месяц окончания]]=Таблицаx_2[[#This Row],[Месяц]],Таблицаx_2[[#This Row],[id]]=A1578,EDATE(Таблицаx_2[[#This Row],[Месяц]],1)=D1578),F1578,0)</f>
        <v>0</v>
      </c>
      <c r="K1577" s="8">
        <f>IF(AND(Таблицаx_2[[#This Row],[Месяц окончания]]=Таблицаx_2[[#This Row],[Месяц]],Таблицаx_2[[#This Row],[id]]=A1578,EDATE(Таблицаx_2[[#This Row],[Месяц]],2)=D1578),F1578,0)</f>
        <v>0</v>
      </c>
    </row>
    <row r="1578" spans="1:11" ht="12.75" hidden="1" customHeight="1" x14ac:dyDescent="0.2">
      <c r="A1578" s="8">
        <v>956</v>
      </c>
      <c r="B1578" s="8"/>
      <c r="C1578" s="8" t="s">
        <v>4</v>
      </c>
      <c r="D1578" s="12">
        <v>45200</v>
      </c>
      <c r="E1578" s="8">
        <v>61000</v>
      </c>
      <c r="F1578" s="10">
        <f>IF(ISTEXT(Таблицаx_2[[#This Row],[Значение]]), 0, Таблицаx_2[[#This Row],[Значение]])</f>
        <v>61000</v>
      </c>
      <c r="G1578" s="12">
        <v>45200</v>
      </c>
      <c r="H1578" s="10" t="str">
        <f>IFERROR(VLOOKUP(Таблицаx_2[[#This Row],[id]],prolongations!A:C,2,)," ")</f>
        <v>октябрь 2023</v>
      </c>
      <c r="I1578" s="10">
        <f>IF(Таблицаx_2[[#This Row],[Месяц окончания]]=Таблицаx_2[[#This Row],[Месяц]],Таблицаx_2[[#This Row],[Значения числа]],0)</f>
        <v>61000</v>
      </c>
      <c r="J1578" s="8">
        <f>IF(AND(Таблицаx_2[[#This Row],[Месяц окончания]]=Таблицаx_2[[#This Row],[Месяц]],Таблицаx_2[[#This Row],[id]]=A1579,EDATE(Таблицаx_2[[#This Row],[Месяц]],1)=D1579),F1579,0)</f>
        <v>61000</v>
      </c>
      <c r="K1578" s="8">
        <f>IF(AND(Таблицаx_2[[#This Row],[Месяц окончания]]=Таблицаx_2[[#This Row],[Месяц]],Таблицаx_2[[#This Row],[id]]=A1579,EDATE(Таблицаx_2[[#This Row],[Месяц]],2)=D1579),F1579,0)</f>
        <v>0</v>
      </c>
    </row>
    <row r="1579" spans="1:11" ht="12.75" hidden="1" customHeight="1" x14ac:dyDescent="0.2">
      <c r="A1579" s="8">
        <v>956</v>
      </c>
      <c r="B1579" s="8"/>
      <c r="C1579" s="8" t="s">
        <v>4</v>
      </c>
      <c r="D1579" s="12">
        <v>45231</v>
      </c>
      <c r="E1579" s="8">
        <v>61000</v>
      </c>
      <c r="F1579" s="10">
        <f>IF(ISTEXT(Таблицаx_2[[#This Row],[Значение]]), 0, Таблицаx_2[[#This Row],[Значение]])</f>
        <v>61000</v>
      </c>
      <c r="G1579" s="12">
        <v>45200</v>
      </c>
      <c r="H1579" s="10" t="str">
        <f>IFERROR(VLOOKUP(Таблицаx_2[[#This Row],[id]],prolongations!A:C,2,)," ")</f>
        <v>октябрь 2023</v>
      </c>
      <c r="I1579" s="10">
        <f>IF(Таблицаx_2[[#This Row],[Месяц окончания]]=Таблицаx_2[[#This Row],[Месяц]],Таблицаx_2[[#This Row],[Значения числа]],0)</f>
        <v>0</v>
      </c>
      <c r="J1579" s="8">
        <f>IF(AND(Таблицаx_2[[#This Row],[Месяц окончания]]=Таблицаx_2[[#This Row],[Месяц]],Таблицаx_2[[#This Row],[id]]=A1580,EDATE(Таблицаx_2[[#This Row],[Месяц]],1)=D1580),F1580,0)</f>
        <v>0</v>
      </c>
      <c r="K1579" s="8">
        <f>IF(AND(Таблицаx_2[[#This Row],[Месяц окончания]]=Таблицаx_2[[#This Row],[Месяц]],Таблицаx_2[[#This Row],[id]]=A1580,EDATE(Таблицаx_2[[#This Row],[Месяц]],2)=D1580),F1580,0)</f>
        <v>0</v>
      </c>
    </row>
    <row r="1580" spans="1:11" ht="12.75" hidden="1" customHeight="1" x14ac:dyDescent="0.2">
      <c r="A1580" s="8">
        <v>956</v>
      </c>
      <c r="B1580" s="8"/>
      <c r="C1580" s="8" t="s">
        <v>4</v>
      </c>
      <c r="D1580" s="12">
        <v>45261</v>
      </c>
      <c r="E1580" s="8">
        <v>55000</v>
      </c>
      <c r="F1580" s="10">
        <f>IF(ISTEXT(Таблицаx_2[[#This Row],[Значение]]), 0, Таблицаx_2[[#This Row],[Значение]])</f>
        <v>55000</v>
      </c>
      <c r="G1580" s="12">
        <v>45200</v>
      </c>
      <c r="H1580" s="10" t="str">
        <f>IFERROR(VLOOKUP(Таблицаx_2[[#This Row],[id]],prolongations!A:C,2,)," ")</f>
        <v>октябрь 2023</v>
      </c>
      <c r="I1580" s="10">
        <f>IF(Таблицаx_2[[#This Row],[Месяц окончания]]=Таблицаx_2[[#This Row],[Месяц]],Таблицаx_2[[#This Row],[Значения числа]],0)</f>
        <v>0</v>
      </c>
      <c r="J1580" s="8">
        <f>IF(AND(Таблицаx_2[[#This Row],[Месяц окончания]]=Таблицаx_2[[#This Row],[Месяц]],Таблицаx_2[[#This Row],[id]]=A1581,EDATE(Таблицаx_2[[#This Row],[Месяц]],1)=D1581),F1581,0)</f>
        <v>0</v>
      </c>
      <c r="K1580" s="8">
        <f>IF(AND(Таблицаx_2[[#This Row],[Месяц окончания]]=Таблицаx_2[[#This Row],[Месяц]],Таблицаx_2[[#This Row],[id]]=A1581,EDATE(Таблицаx_2[[#This Row],[Месяц]],2)=D1581),F1581,0)</f>
        <v>0</v>
      </c>
    </row>
    <row r="1581" spans="1:11" ht="12.75" hidden="1" customHeight="1" x14ac:dyDescent="0.2">
      <c r="A1581" s="8">
        <v>851</v>
      </c>
      <c r="B1581" s="8"/>
      <c r="C1581" s="8" t="s">
        <v>10</v>
      </c>
      <c r="D1581" s="12">
        <v>45047</v>
      </c>
      <c r="E1581" s="8">
        <v>65980</v>
      </c>
      <c r="F1581" s="10">
        <f>IF(ISTEXT(Таблицаx_2[[#This Row],[Значение]]), 0, Таблицаx_2[[#This Row],[Значение]])</f>
        <v>65980</v>
      </c>
      <c r="G1581" s="12">
        <v>45108</v>
      </c>
      <c r="H1581" s="10" t="str">
        <f>IFERROR(VLOOKUP(Таблицаx_2[[#This Row],[id]],prolongations!A:C,2,)," ")</f>
        <v>июль 2023</v>
      </c>
      <c r="I1581" s="10">
        <f>IF(Таблицаx_2[[#This Row],[Месяц окончания]]=Таблицаx_2[[#This Row],[Месяц]],Таблицаx_2[[#This Row],[Значения числа]],0)</f>
        <v>0</v>
      </c>
      <c r="J1581" s="8">
        <f>IF(AND(Таблицаx_2[[#This Row],[Месяц окончания]]=Таблицаx_2[[#This Row],[Месяц]],Таблицаx_2[[#This Row],[id]]=A1582,EDATE(Таблицаx_2[[#This Row],[Месяц]],1)=D1582),F1582,0)</f>
        <v>0</v>
      </c>
      <c r="K1581" s="8">
        <f>IF(AND(Таблицаx_2[[#This Row],[Месяц окончания]]=Таблицаx_2[[#This Row],[Месяц]],Таблицаx_2[[#This Row],[id]]=A1582,EDATE(Таблицаx_2[[#This Row],[Месяц]],2)=D1582),F1582,0)</f>
        <v>0</v>
      </c>
    </row>
    <row r="1582" spans="1:11" ht="12.75" hidden="1" customHeight="1" x14ac:dyDescent="0.2">
      <c r="A1582" s="8">
        <v>851</v>
      </c>
      <c r="B1582" s="8"/>
      <c r="C1582" s="8" t="s">
        <v>10</v>
      </c>
      <c r="D1582" s="12">
        <v>45078</v>
      </c>
      <c r="E1582" s="8">
        <v>70400</v>
      </c>
      <c r="F1582" s="10">
        <f>IF(ISTEXT(Таблицаx_2[[#This Row],[Значение]]), 0, Таблицаx_2[[#This Row],[Значение]])</f>
        <v>70400</v>
      </c>
      <c r="G1582" s="12">
        <v>45108</v>
      </c>
      <c r="H1582" s="10" t="str">
        <f>IFERROR(VLOOKUP(Таблицаx_2[[#This Row],[id]],prolongations!A:C,2,)," ")</f>
        <v>июль 2023</v>
      </c>
      <c r="I1582" s="10">
        <f>IF(Таблицаx_2[[#This Row],[Месяц окончания]]=Таблицаx_2[[#This Row],[Месяц]],Таблицаx_2[[#This Row],[Значения числа]],0)</f>
        <v>0</v>
      </c>
      <c r="J1582" s="8">
        <f>IF(AND(Таблицаx_2[[#This Row],[Месяц окончания]]=Таблицаx_2[[#This Row],[Месяц]],Таблицаx_2[[#This Row],[id]]=A1583,EDATE(Таблицаx_2[[#This Row],[Месяц]],1)=D1583),F1583,0)</f>
        <v>0</v>
      </c>
      <c r="K1582" s="8">
        <f>IF(AND(Таблицаx_2[[#This Row],[Месяц окончания]]=Таблицаx_2[[#This Row],[Месяц]],Таблицаx_2[[#This Row],[id]]=A1583,EDATE(Таблицаx_2[[#This Row],[Месяц]],2)=D1583),F1583,0)</f>
        <v>0</v>
      </c>
    </row>
    <row r="1583" spans="1:11" ht="12.75" hidden="1" customHeight="1" x14ac:dyDescent="0.2">
      <c r="A1583" s="8">
        <v>851</v>
      </c>
      <c r="B1583" s="8"/>
      <c r="C1583" s="8" t="s">
        <v>10</v>
      </c>
      <c r="D1583" s="12">
        <v>45108</v>
      </c>
      <c r="E1583" s="8">
        <v>71410</v>
      </c>
      <c r="F1583" s="10">
        <f>IF(ISTEXT(Таблицаx_2[[#This Row],[Значение]]), 0, Таблицаx_2[[#This Row],[Значение]])</f>
        <v>71410</v>
      </c>
      <c r="G1583" s="12">
        <v>45108</v>
      </c>
      <c r="H1583" s="10" t="str">
        <f>IFERROR(VLOOKUP(Таблицаx_2[[#This Row],[id]],prolongations!A:C,2,)," ")</f>
        <v>июль 2023</v>
      </c>
      <c r="I1583" s="10">
        <f>IF(Таблицаx_2[[#This Row],[Месяц окончания]]=Таблицаx_2[[#This Row],[Месяц]],Таблицаx_2[[#This Row],[Значения числа]],0)</f>
        <v>71410</v>
      </c>
      <c r="J1583" s="8">
        <f>IF(AND(Таблицаx_2[[#This Row],[Месяц окончания]]=Таблицаx_2[[#This Row],[Месяц]],Таблицаx_2[[#This Row],[id]]=A1584,EDATE(Таблицаx_2[[#This Row],[Месяц]],1)=D1584),F1584,0)</f>
        <v>0</v>
      </c>
      <c r="K1583" s="8">
        <f>IF(AND(Таблицаx_2[[#This Row],[Месяц окончания]]=Таблицаx_2[[#This Row],[Месяц]],Таблицаx_2[[#This Row],[id]]=A1584,EDATE(Таблицаx_2[[#This Row],[Месяц]],2)=D1584),F1584,0)</f>
        <v>0</v>
      </c>
    </row>
    <row r="1584" spans="1:11" ht="12.75" hidden="1" customHeight="1" x14ac:dyDescent="0.2">
      <c r="A1584" s="8">
        <v>851</v>
      </c>
      <c r="B1584" s="8"/>
      <c r="C1584" s="8" t="s">
        <v>10</v>
      </c>
      <c r="D1584" s="12">
        <v>45231</v>
      </c>
      <c r="E1584" s="8">
        <v>71410</v>
      </c>
      <c r="F1584" s="10">
        <f>IF(ISTEXT(Таблицаx_2[[#This Row],[Значение]]), 0, Таблицаx_2[[#This Row],[Значение]])</f>
        <v>71410</v>
      </c>
      <c r="G1584" s="12">
        <v>45108</v>
      </c>
      <c r="H1584" s="10" t="str">
        <f>IFERROR(VLOOKUP(Таблицаx_2[[#This Row],[id]],prolongations!A:C,2,)," ")</f>
        <v>июль 2023</v>
      </c>
      <c r="I1584" s="10">
        <f>IF(Таблицаx_2[[#This Row],[Месяц окончания]]=Таблицаx_2[[#This Row],[Месяц]],Таблицаx_2[[#This Row],[Значения числа]],0)</f>
        <v>0</v>
      </c>
      <c r="J1584" s="8">
        <f>IF(AND(Таблицаx_2[[#This Row],[Месяц окончания]]=Таблицаx_2[[#This Row],[Месяц]],Таблицаx_2[[#This Row],[id]]=A1585,EDATE(Таблицаx_2[[#This Row],[Месяц]],1)=D1585),F1585,0)</f>
        <v>0</v>
      </c>
      <c r="K1584" s="8">
        <f>IF(AND(Таблицаx_2[[#This Row],[Месяц окончания]]=Таблицаx_2[[#This Row],[Месяц]],Таблицаx_2[[#This Row],[id]]=A1585,EDATE(Таблицаx_2[[#This Row],[Месяц]],2)=D1585),F1585,0)</f>
        <v>0</v>
      </c>
    </row>
    <row r="1585" spans="1:11" ht="12.75" hidden="1" customHeight="1" x14ac:dyDescent="0.2">
      <c r="A1585" s="8">
        <v>851</v>
      </c>
      <c r="B1585" s="8"/>
      <c r="C1585" s="8" t="s">
        <v>10</v>
      </c>
      <c r="D1585" s="12">
        <v>45261</v>
      </c>
      <c r="E1585" s="8">
        <v>40825</v>
      </c>
      <c r="F1585" s="10">
        <f>IF(ISTEXT(Таблицаx_2[[#This Row],[Значение]]), 0, Таблицаx_2[[#This Row],[Значение]])</f>
        <v>40825</v>
      </c>
      <c r="G1585" s="12">
        <v>45108</v>
      </c>
      <c r="H1585" s="10" t="str">
        <f>IFERROR(VLOOKUP(Таблицаx_2[[#This Row],[id]],prolongations!A:C,2,)," ")</f>
        <v>июль 2023</v>
      </c>
      <c r="I1585" s="10">
        <f>IF(Таблицаx_2[[#This Row],[Месяц окончания]]=Таблицаx_2[[#This Row],[Месяц]],Таблицаx_2[[#This Row],[Значения числа]],0)</f>
        <v>0</v>
      </c>
      <c r="J1585" s="8">
        <f>IF(AND(Таблицаx_2[[#This Row],[Месяц окончания]]=Таблицаx_2[[#This Row],[Месяц]],Таблицаx_2[[#This Row],[id]]=A1586,EDATE(Таблицаx_2[[#This Row],[Месяц]],1)=D1586),F1586,0)</f>
        <v>0</v>
      </c>
      <c r="K1585" s="8">
        <f>IF(AND(Таблицаx_2[[#This Row],[Месяц окончания]]=Таблицаx_2[[#This Row],[Месяц]],Таблицаx_2[[#This Row],[id]]=A1586,EDATE(Таблицаx_2[[#This Row],[Месяц]],2)=D1586),F1586,0)</f>
        <v>0</v>
      </c>
    </row>
    <row r="1586" spans="1:11" ht="12.75" hidden="1" customHeight="1" x14ac:dyDescent="0.2">
      <c r="A1586" s="8">
        <v>851</v>
      </c>
      <c r="B1586" s="8"/>
      <c r="C1586" s="8" t="s">
        <v>10</v>
      </c>
      <c r="D1586" s="12">
        <v>45292</v>
      </c>
      <c r="E1586" s="8">
        <v>40825</v>
      </c>
      <c r="F1586" s="10">
        <f>IF(ISTEXT(Таблицаx_2[[#This Row],[Значение]]), 0, Таблицаx_2[[#This Row],[Значение]])</f>
        <v>40825</v>
      </c>
      <c r="G1586" s="12">
        <v>45108</v>
      </c>
      <c r="H1586" s="10" t="str">
        <f>IFERROR(VLOOKUP(Таблицаx_2[[#This Row],[id]],prolongations!A:C,2,)," ")</f>
        <v>июль 2023</v>
      </c>
      <c r="I1586" s="10">
        <f>IF(Таблицаx_2[[#This Row],[Месяц окончания]]=Таблицаx_2[[#This Row],[Месяц]],Таблицаx_2[[#This Row],[Значения числа]],0)</f>
        <v>0</v>
      </c>
      <c r="J1586" s="8">
        <f>IF(AND(Таблицаx_2[[#This Row],[Месяц окончания]]=Таблицаx_2[[#This Row],[Месяц]],Таблицаx_2[[#This Row],[id]]=A1587,EDATE(Таблицаx_2[[#This Row],[Месяц]],1)=D1587),F1587,0)</f>
        <v>0</v>
      </c>
      <c r="K1586" s="8">
        <f>IF(AND(Таблицаx_2[[#This Row],[Месяц окончания]]=Таблицаx_2[[#This Row],[Месяц]],Таблицаx_2[[#This Row],[id]]=A1587,EDATE(Таблицаx_2[[#This Row],[Месяц]],2)=D1587),F1587,0)</f>
        <v>0</v>
      </c>
    </row>
    <row r="1587" spans="1:11" ht="12.75" hidden="1" customHeight="1" x14ac:dyDescent="0.2">
      <c r="A1587" s="8">
        <v>851</v>
      </c>
      <c r="B1587" s="8"/>
      <c r="C1587" s="8" t="s">
        <v>10</v>
      </c>
      <c r="D1587" s="12">
        <v>45323</v>
      </c>
      <c r="E1587" s="8">
        <v>40825</v>
      </c>
      <c r="F1587" s="10">
        <f>IF(ISTEXT(Таблицаx_2[[#This Row],[Значение]]), 0, Таблицаx_2[[#This Row],[Значение]])</f>
        <v>40825</v>
      </c>
      <c r="G1587" s="12">
        <v>45108</v>
      </c>
      <c r="H1587" s="10" t="str">
        <f>IFERROR(VLOOKUP(Таблицаx_2[[#This Row],[id]],prolongations!A:C,2,)," ")</f>
        <v>июль 2023</v>
      </c>
      <c r="I1587" s="10">
        <f>IF(Таблицаx_2[[#This Row],[Месяц окончания]]=Таблицаx_2[[#This Row],[Месяц]],Таблицаx_2[[#This Row],[Значения числа]],0)</f>
        <v>0</v>
      </c>
      <c r="J1587" s="8">
        <f>IF(AND(Таблицаx_2[[#This Row],[Месяц окончания]]=Таблицаx_2[[#This Row],[Месяц]],Таблицаx_2[[#This Row],[id]]=A1588,EDATE(Таблицаx_2[[#This Row],[Месяц]],1)=D1588),F1588,0)</f>
        <v>0</v>
      </c>
      <c r="K1587" s="8">
        <f>IF(AND(Таблицаx_2[[#This Row],[Месяц окончания]]=Таблицаx_2[[#This Row],[Месяц]],Таблицаx_2[[#This Row],[id]]=A1588,EDATE(Таблицаx_2[[#This Row],[Месяц]],2)=D1588),F1588,0)</f>
        <v>0</v>
      </c>
    </row>
    <row r="1588" spans="1:11" ht="12.75" hidden="1" customHeight="1" x14ac:dyDescent="0.2">
      <c r="A1588" s="8">
        <v>1001</v>
      </c>
      <c r="B1588" s="8"/>
      <c r="C1588" s="8" t="s">
        <v>11</v>
      </c>
      <c r="D1588" s="12">
        <v>45231</v>
      </c>
      <c r="E1588" s="8">
        <v>290000</v>
      </c>
      <c r="F1588" s="10">
        <f>IF(ISTEXT(Таблицаx_2[[#This Row],[Значение]]), 0, Таблицаx_2[[#This Row],[Значение]])</f>
        <v>290000</v>
      </c>
      <c r="G1588" s="12">
        <v>45231</v>
      </c>
      <c r="H1588" s="10" t="str">
        <f>IFERROR(VLOOKUP(Таблицаx_2[[#This Row],[id]],prolongations!A:C,2,)," ")</f>
        <v>ноябрь 2023</v>
      </c>
      <c r="I1588" s="10">
        <f>IF(Таблицаx_2[[#This Row],[Месяц окончания]]=Таблицаx_2[[#This Row],[Месяц]],Таблицаx_2[[#This Row],[Значения числа]],0)</f>
        <v>290000</v>
      </c>
      <c r="J1588" s="8">
        <f>IF(AND(Таблицаx_2[[#This Row],[Месяц окончания]]=Таблицаx_2[[#This Row],[Месяц]],Таблицаx_2[[#This Row],[id]]=A1589,EDATE(Таблицаx_2[[#This Row],[Месяц]],1)=D1589),F1589,0)</f>
        <v>0</v>
      </c>
      <c r="K1588" s="8">
        <f>IF(AND(Таблицаx_2[[#This Row],[Месяц окончания]]=Таблицаx_2[[#This Row],[Месяц]],Таблицаx_2[[#This Row],[id]]=A1589,EDATE(Таблицаx_2[[#This Row],[Месяц]],2)=D1589),F1589,0)</f>
        <v>0</v>
      </c>
    </row>
    <row r="1589" spans="1:11" ht="12.75" hidden="1" customHeight="1" x14ac:dyDescent="0.2">
      <c r="A1589" s="8">
        <v>448</v>
      </c>
      <c r="B1589" s="8" t="s">
        <v>45</v>
      </c>
      <c r="C1589" s="8" t="s">
        <v>11</v>
      </c>
      <c r="D1589" s="12">
        <v>44866</v>
      </c>
      <c r="E1589" s="8">
        <v>64755.5</v>
      </c>
      <c r="F1589" s="10">
        <f>IF(ISTEXT(Таблицаx_2[[#This Row],[Значение]]), 0, Таблицаx_2[[#This Row],[Значение]])</f>
        <v>64755.5</v>
      </c>
      <c r="G1589" s="12">
        <v>44896</v>
      </c>
      <c r="H1589" s="10" t="str">
        <f>IFERROR(VLOOKUP(Таблицаx_2[[#This Row],[id]],prolongations!A:C,2,)," ")</f>
        <v>декабрь 2022</v>
      </c>
      <c r="I1589" s="10">
        <f>IF(Таблицаx_2[[#This Row],[Месяц окончания]]=Таблицаx_2[[#This Row],[Месяц]],Таблицаx_2[[#This Row],[Значения числа]],0)</f>
        <v>0</v>
      </c>
      <c r="J1589" s="8">
        <f>IF(AND(Таблицаx_2[[#This Row],[Месяц окончания]]=Таблицаx_2[[#This Row],[Месяц]],Таблицаx_2[[#This Row],[id]]=A1590,EDATE(Таблицаx_2[[#This Row],[Месяц]],1)=D1590),F1590,0)</f>
        <v>0</v>
      </c>
      <c r="K1589" s="8">
        <f>IF(AND(Таблицаx_2[[#This Row],[Месяц окончания]]=Таблицаx_2[[#This Row],[Месяц]],Таблицаx_2[[#This Row],[id]]=A1590,EDATE(Таблицаx_2[[#This Row],[Месяц]],2)=D1590),F1590,0)</f>
        <v>0</v>
      </c>
    </row>
    <row r="1590" spans="1:11" hidden="1" x14ac:dyDescent="0.2">
      <c r="A1590" s="8">
        <v>448</v>
      </c>
      <c r="B1590" s="8" t="s">
        <v>45</v>
      </c>
      <c r="C1590" s="8" t="s">
        <v>11</v>
      </c>
      <c r="D1590" s="12">
        <v>44896</v>
      </c>
      <c r="E1590" s="8">
        <v>64755.5</v>
      </c>
      <c r="F1590" s="10">
        <f>IF(ISTEXT(Таблицаx_2[[#This Row],[Значение]]), 0, Таблицаx_2[[#This Row],[Значение]])</f>
        <v>64755.5</v>
      </c>
      <c r="G1590" s="12">
        <v>44896</v>
      </c>
      <c r="H1590" s="10" t="str">
        <f>IFERROR(VLOOKUP(Таблицаx_2[[#This Row],[id]],prolongations!A:C,2,)," ")</f>
        <v>декабрь 2022</v>
      </c>
      <c r="I1590" s="10">
        <f>IF(Таблицаx_2[[#This Row],[Месяц окончания]]=Таблицаx_2[[#This Row],[Месяц]],Таблицаx_2[[#This Row],[Значения числа]],0)</f>
        <v>64755.5</v>
      </c>
      <c r="J1590" s="8">
        <f>IF(AND(Таблицаx_2[[#This Row],[Месяц окончания]]=Таблицаx_2[[#This Row],[Месяц]],Таблицаx_2[[#This Row],[id]]=A1591,EDATE(Таблицаx_2[[#This Row],[Месяц]],1)=D1591),F1591,0)</f>
        <v>64743</v>
      </c>
      <c r="K1590" s="8">
        <f>IF(AND(Таблицаx_2[[#This Row],[Месяц окончания]]=Таблицаx_2[[#This Row],[Месяц]],Таблицаx_2[[#This Row],[id]]=A1591,EDATE(Таблицаx_2[[#This Row],[Месяц]],2)=D1591),F1591,0)</f>
        <v>0</v>
      </c>
    </row>
    <row r="1591" spans="1:11" ht="12.75" hidden="1" customHeight="1" x14ac:dyDescent="0.2">
      <c r="A1591" s="8">
        <v>448</v>
      </c>
      <c r="B1591" s="8" t="s">
        <v>45</v>
      </c>
      <c r="C1591" s="8" t="s">
        <v>11</v>
      </c>
      <c r="D1591" s="12">
        <v>44927</v>
      </c>
      <c r="E1591" s="8">
        <v>64743</v>
      </c>
      <c r="F1591" s="10">
        <f>IF(ISTEXT(Таблицаx_2[[#This Row],[Значение]]), 0, Таблицаx_2[[#This Row],[Значение]])</f>
        <v>64743</v>
      </c>
      <c r="G1591" s="12">
        <v>44896</v>
      </c>
      <c r="H1591" s="10" t="str">
        <f>IFERROR(VLOOKUP(Таблицаx_2[[#This Row],[id]],prolongations!A:C,2,)," ")</f>
        <v>декабрь 2022</v>
      </c>
      <c r="I1591" s="10">
        <f>IF(Таблицаx_2[[#This Row],[Месяц окончания]]=Таблицаx_2[[#This Row],[Месяц]],Таблицаx_2[[#This Row],[Значения числа]],0)</f>
        <v>0</v>
      </c>
      <c r="J1591" s="8">
        <f>IF(AND(Таблицаx_2[[#This Row],[Месяц окончания]]=Таблицаx_2[[#This Row],[Месяц]],Таблицаx_2[[#This Row],[id]]=A1592,EDATE(Таблицаx_2[[#This Row],[Месяц]],1)=D1592),F1592,0)</f>
        <v>0</v>
      </c>
      <c r="K1591" s="8">
        <f>IF(AND(Таблицаx_2[[#This Row],[Месяц окончания]]=Таблицаx_2[[#This Row],[Месяц]],Таблицаx_2[[#This Row],[id]]=A1592,EDATE(Таблицаx_2[[#This Row],[Месяц]],2)=D1592),F1592,0)</f>
        <v>0</v>
      </c>
    </row>
    <row r="1592" spans="1:11" ht="12.75" hidden="1" customHeight="1" x14ac:dyDescent="0.2">
      <c r="A1592" s="8">
        <v>448</v>
      </c>
      <c r="B1592" s="8" t="s">
        <v>45</v>
      </c>
      <c r="C1592" s="8" t="s">
        <v>11</v>
      </c>
      <c r="D1592" s="12">
        <v>44958</v>
      </c>
      <c r="E1592" s="8">
        <v>64743</v>
      </c>
      <c r="F1592" s="10">
        <f>IF(ISTEXT(Таблицаx_2[[#This Row],[Значение]]), 0, Таблицаx_2[[#This Row],[Значение]])</f>
        <v>64743</v>
      </c>
      <c r="G1592" s="12">
        <v>44896</v>
      </c>
      <c r="H1592" s="10" t="str">
        <f>IFERROR(VLOOKUP(Таблицаx_2[[#This Row],[id]],prolongations!A:C,2,)," ")</f>
        <v>декабрь 2022</v>
      </c>
      <c r="I1592" s="10">
        <f>IF(Таблицаx_2[[#This Row],[Месяц окончания]]=Таблицаx_2[[#This Row],[Месяц]],Таблицаx_2[[#This Row],[Значения числа]],0)</f>
        <v>0</v>
      </c>
      <c r="J1592" s="8">
        <f>IF(AND(Таблицаx_2[[#This Row],[Месяц окончания]]=Таблицаx_2[[#This Row],[Месяц]],Таблицаx_2[[#This Row],[id]]=A1593,EDATE(Таблицаx_2[[#This Row],[Месяц]],1)=D1593),F1593,0)</f>
        <v>0</v>
      </c>
      <c r="K1592" s="8">
        <f>IF(AND(Таблицаx_2[[#This Row],[Месяц окончания]]=Таблицаx_2[[#This Row],[Месяц]],Таблицаx_2[[#This Row],[id]]=A1593,EDATE(Таблицаx_2[[#This Row],[Месяц]],2)=D1593),F1593,0)</f>
        <v>0</v>
      </c>
    </row>
    <row r="1593" spans="1:11" ht="12.75" hidden="1" customHeight="1" x14ac:dyDescent="0.2">
      <c r="A1593" s="8">
        <v>448</v>
      </c>
      <c r="B1593" s="8" t="s">
        <v>45</v>
      </c>
      <c r="C1593" s="8" t="s">
        <v>11</v>
      </c>
      <c r="D1593" s="12">
        <v>44986</v>
      </c>
      <c r="E1593" s="8">
        <v>64743</v>
      </c>
      <c r="F1593" s="10">
        <f>IF(ISTEXT(Таблицаx_2[[#This Row],[Значение]]), 0, Таблицаx_2[[#This Row],[Значение]])</f>
        <v>64743</v>
      </c>
      <c r="G1593" s="12">
        <v>44896</v>
      </c>
      <c r="H1593" s="10" t="str">
        <f>IFERROR(VLOOKUP(Таблицаx_2[[#This Row],[id]],prolongations!A:C,2,)," ")</f>
        <v>декабрь 2022</v>
      </c>
      <c r="I1593" s="10">
        <f>IF(Таблицаx_2[[#This Row],[Месяц окончания]]=Таблицаx_2[[#This Row],[Месяц]],Таблицаx_2[[#This Row],[Значения числа]],0)</f>
        <v>0</v>
      </c>
      <c r="J1593" s="8">
        <f>IF(AND(Таблицаx_2[[#This Row],[Месяц окончания]]=Таблицаx_2[[#This Row],[Месяц]],Таблицаx_2[[#This Row],[id]]=A1594,EDATE(Таблицаx_2[[#This Row],[Месяц]],1)=D1594),F1594,0)</f>
        <v>0</v>
      </c>
      <c r="K1593" s="8">
        <f>IF(AND(Таблицаx_2[[#This Row],[Месяц окончания]]=Таблицаx_2[[#This Row],[Месяц]],Таблицаx_2[[#This Row],[id]]=A1594,EDATE(Таблицаx_2[[#This Row],[Месяц]],2)=D1594),F1594,0)</f>
        <v>0</v>
      </c>
    </row>
    <row r="1594" spans="1:11" ht="12.75" hidden="1" customHeight="1" x14ac:dyDescent="0.2">
      <c r="A1594" s="8">
        <v>448</v>
      </c>
      <c r="B1594" s="8" t="s">
        <v>45</v>
      </c>
      <c r="C1594" s="8" t="s">
        <v>11</v>
      </c>
      <c r="D1594" s="12">
        <v>45017</v>
      </c>
      <c r="E1594" s="8">
        <v>64743</v>
      </c>
      <c r="F1594" s="10">
        <f>IF(ISTEXT(Таблицаx_2[[#This Row],[Значение]]), 0, Таблицаx_2[[#This Row],[Значение]])</f>
        <v>64743</v>
      </c>
      <c r="G1594" s="12">
        <v>44896</v>
      </c>
      <c r="H1594" s="10" t="str">
        <f>IFERROR(VLOOKUP(Таблицаx_2[[#This Row],[id]],prolongations!A:C,2,)," ")</f>
        <v>декабрь 2022</v>
      </c>
      <c r="I1594" s="10">
        <f>IF(Таблицаx_2[[#This Row],[Месяц окончания]]=Таблицаx_2[[#This Row],[Месяц]],Таблицаx_2[[#This Row],[Значения числа]],0)</f>
        <v>0</v>
      </c>
      <c r="J1594" s="8">
        <f>IF(AND(Таблицаx_2[[#This Row],[Месяц окончания]]=Таблицаx_2[[#This Row],[Месяц]],Таблицаx_2[[#This Row],[id]]=A1595,EDATE(Таблицаx_2[[#This Row],[Месяц]],1)=D1595),F1595,0)</f>
        <v>0</v>
      </c>
      <c r="K1594" s="8">
        <f>IF(AND(Таблицаx_2[[#This Row],[Месяц окончания]]=Таблицаx_2[[#This Row],[Месяц]],Таблицаx_2[[#This Row],[id]]=A1595,EDATE(Таблицаx_2[[#This Row],[Месяц]],2)=D1595),F1595,0)</f>
        <v>0</v>
      </c>
    </row>
    <row r="1595" spans="1:11" ht="12.75" hidden="1" customHeight="1" x14ac:dyDescent="0.2">
      <c r="A1595" s="8">
        <v>448</v>
      </c>
      <c r="B1595" s="8" t="s">
        <v>45</v>
      </c>
      <c r="C1595" s="8" t="s">
        <v>11</v>
      </c>
      <c r="D1595" s="12">
        <v>45047</v>
      </c>
      <c r="E1595" s="8">
        <v>64743</v>
      </c>
      <c r="F1595" s="10">
        <f>IF(ISTEXT(Таблицаx_2[[#This Row],[Значение]]), 0, Таблицаx_2[[#This Row],[Значение]])</f>
        <v>64743</v>
      </c>
      <c r="G1595" s="12">
        <v>44896</v>
      </c>
      <c r="H1595" s="10" t="str">
        <f>IFERROR(VLOOKUP(Таблицаx_2[[#This Row],[id]],prolongations!A:C,2,)," ")</f>
        <v>декабрь 2022</v>
      </c>
      <c r="I1595" s="10">
        <f>IF(Таблицаx_2[[#This Row],[Месяц окончания]]=Таблицаx_2[[#This Row],[Месяц]],Таблицаx_2[[#This Row],[Значения числа]],0)</f>
        <v>0</v>
      </c>
      <c r="J1595" s="8">
        <f>IF(AND(Таблицаx_2[[#This Row],[Месяц окончания]]=Таблицаx_2[[#This Row],[Месяц]],Таблицаx_2[[#This Row],[id]]=A1596,EDATE(Таблицаx_2[[#This Row],[Месяц]],1)=D1596),F1596,0)</f>
        <v>0</v>
      </c>
      <c r="K1595" s="8">
        <f>IF(AND(Таблицаx_2[[#This Row],[Месяц окончания]]=Таблицаx_2[[#This Row],[Месяц]],Таблицаx_2[[#This Row],[id]]=A1596,EDATE(Таблицаx_2[[#This Row],[Месяц]],2)=D1596),F1596,0)</f>
        <v>0</v>
      </c>
    </row>
    <row r="1596" spans="1:11" ht="12.75" hidden="1" customHeight="1" x14ac:dyDescent="0.2">
      <c r="A1596" s="8">
        <v>448</v>
      </c>
      <c r="B1596" s="8" t="s">
        <v>45</v>
      </c>
      <c r="C1596" s="8" t="s">
        <v>11</v>
      </c>
      <c r="D1596" s="12">
        <v>45078</v>
      </c>
      <c r="E1596" s="8">
        <v>64743</v>
      </c>
      <c r="F1596" s="10">
        <f>IF(ISTEXT(Таблицаx_2[[#This Row],[Значение]]), 0, Таблицаx_2[[#This Row],[Значение]])</f>
        <v>64743</v>
      </c>
      <c r="G1596" s="12">
        <v>44896</v>
      </c>
      <c r="H1596" s="10" t="str">
        <f>IFERROR(VLOOKUP(Таблицаx_2[[#This Row],[id]],prolongations!A:C,2,)," ")</f>
        <v>декабрь 2022</v>
      </c>
      <c r="I1596" s="10">
        <f>IF(Таблицаx_2[[#This Row],[Месяц окончания]]=Таблицаx_2[[#This Row],[Месяц]],Таблицаx_2[[#This Row],[Значения числа]],0)</f>
        <v>0</v>
      </c>
      <c r="J1596" s="8">
        <f>IF(AND(Таблицаx_2[[#This Row],[Месяц окончания]]=Таблицаx_2[[#This Row],[Месяц]],Таблицаx_2[[#This Row],[id]]=A1597,EDATE(Таблицаx_2[[#This Row],[Месяц]],1)=D1597),F1597,0)</f>
        <v>0</v>
      </c>
      <c r="K1596" s="8">
        <f>IF(AND(Таблицаx_2[[#This Row],[Месяц окончания]]=Таблицаx_2[[#This Row],[Месяц]],Таблицаx_2[[#This Row],[id]]=A1597,EDATE(Таблицаx_2[[#This Row],[Месяц]],2)=D1597),F1597,0)</f>
        <v>0</v>
      </c>
    </row>
    <row r="1597" spans="1:11" ht="12.75" hidden="1" customHeight="1" x14ac:dyDescent="0.2">
      <c r="A1597" s="8">
        <v>448</v>
      </c>
      <c r="B1597" s="8" t="s">
        <v>45</v>
      </c>
      <c r="C1597" s="8" t="s">
        <v>11</v>
      </c>
      <c r="D1597" s="12">
        <v>45108</v>
      </c>
      <c r="E1597" s="8">
        <v>64743</v>
      </c>
      <c r="F1597" s="10">
        <f>IF(ISTEXT(Таблицаx_2[[#This Row],[Значение]]), 0, Таблицаx_2[[#This Row],[Значение]])</f>
        <v>64743</v>
      </c>
      <c r="G1597" s="12">
        <v>44896</v>
      </c>
      <c r="H1597" s="10" t="str">
        <f>IFERROR(VLOOKUP(Таблицаx_2[[#This Row],[id]],prolongations!A:C,2,)," ")</f>
        <v>декабрь 2022</v>
      </c>
      <c r="I1597" s="10">
        <f>IF(Таблицаx_2[[#This Row],[Месяц окончания]]=Таблицаx_2[[#This Row],[Месяц]],Таблицаx_2[[#This Row],[Значения числа]],0)</f>
        <v>0</v>
      </c>
      <c r="J1597" s="8">
        <f>IF(AND(Таблицаx_2[[#This Row],[Месяц окончания]]=Таблицаx_2[[#This Row],[Месяц]],Таблицаx_2[[#This Row],[id]]=A1598,EDATE(Таблицаx_2[[#This Row],[Месяц]],1)=D1598),F1598,0)</f>
        <v>0</v>
      </c>
      <c r="K1597" s="8">
        <f>IF(AND(Таблицаx_2[[#This Row],[Месяц окончания]]=Таблицаx_2[[#This Row],[Месяц]],Таблицаx_2[[#This Row],[id]]=A1598,EDATE(Таблицаx_2[[#This Row],[Месяц]],2)=D1598),F1598,0)</f>
        <v>0</v>
      </c>
    </row>
    <row r="1598" spans="1:11" ht="12.75" hidden="1" customHeight="1" x14ac:dyDescent="0.2">
      <c r="A1598" s="8">
        <v>448</v>
      </c>
      <c r="B1598" s="8" t="s">
        <v>45</v>
      </c>
      <c r="C1598" s="8" t="s">
        <v>11</v>
      </c>
      <c r="D1598" s="12">
        <v>45139</v>
      </c>
      <c r="E1598" s="8">
        <v>64743</v>
      </c>
      <c r="F1598" s="10">
        <f>IF(ISTEXT(Таблицаx_2[[#This Row],[Значение]]), 0, Таблицаx_2[[#This Row],[Значение]])</f>
        <v>64743</v>
      </c>
      <c r="G1598" s="12">
        <v>44896</v>
      </c>
      <c r="H1598" s="10" t="str">
        <f>IFERROR(VLOOKUP(Таблицаx_2[[#This Row],[id]],prolongations!A:C,2,)," ")</f>
        <v>декабрь 2022</v>
      </c>
      <c r="I1598" s="10">
        <f>IF(Таблицаx_2[[#This Row],[Месяц окончания]]=Таблицаx_2[[#This Row],[Месяц]],Таблицаx_2[[#This Row],[Значения числа]],0)</f>
        <v>0</v>
      </c>
      <c r="J1598" s="8">
        <f>IF(AND(Таблицаx_2[[#This Row],[Месяц окончания]]=Таблицаx_2[[#This Row],[Месяц]],Таблицаx_2[[#This Row],[id]]=A1599,EDATE(Таблицаx_2[[#This Row],[Месяц]],1)=D1599),F1599,0)</f>
        <v>0</v>
      </c>
      <c r="K1598" s="8">
        <f>IF(AND(Таблицаx_2[[#This Row],[Месяц окончания]]=Таблицаx_2[[#This Row],[Месяц]],Таблицаx_2[[#This Row],[id]]=A1599,EDATE(Таблицаx_2[[#This Row],[Месяц]],2)=D1599),F1599,0)</f>
        <v>0</v>
      </c>
    </row>
    <row r="1599" spans="1:11" ht="12.75" hidden="1" customHeight="1" x14ac:dyDescent="0.2">
      <c r="A1599" s="8">
        <v>448</v>
      </c>
      <c r="B1599" s="8" t="s">
        <v>45</v>
      </c>
      <c r="C1599" s="8" t="s">
        <v>11</v>
      </c>
      <c r="D1599" s="12">
        <v>45170</v>
      </c>
      <c r="E1599" s="8">
        <v>64743</v>
      </c>
      <c r="F1599" s="10">
        <f>IF(ISTEXT(Таблицаx_2[[#This Row],[Значение]]), 0, Таблицаx_2[[#This Row],[Значение]])</f>
        <v>64743</v>
      </c>
      <c r="G1599" s="12">
        <v>44896</v>
      </c>
      <c r="H1599" s="10" t="str">
        <f>IFERROR(VLOOKUP(Таблицаx_2[[#This Row],[id]],prolongations!A:C,2,)," ")</f>
        <v>декабрь 2022</v>
      </c>
      <c r="I1599" s="10">
        <f>IF(Таблицаx_2[[#This Row],[Месяц окончания]]=Таблицаx_2[[#This Row],[Месяц]],Таблицаx_2[[#This Row],[Значения числа]],0)</f>
        <v>0</v>
      </c>
      <c r="J1599" s="8">
        <f>IF(AND(Таблицаx_2[[#This Row],[Месяц окончания]]=Таблицаx_2[[#This Row],[Месяц]],Таблицаx_2[[#This Row],[id]]=A1600,EDATE(Таблицаx_2[[#This Row],[Месяц]],1)=D1600),F1600,0)</f>
        <v>0</v>
      </c>
      <c r="K1599" s="8">
        <f>IF(AND(Таблицаx_2[[#This Row],[Месяц окончания]]=Таблицаx_2[[#This Row],[Месяц]],Таблицаx_2[[#This Row],[id]]=A1600,EDATE(Таблицаx_2[[#This Row],[Месяц]],2)=D1600),F1600,0)</f>
        <v>0</v>
      </c>
    </row>
    <row r="1600" spans="1:11" ht="12.75" hidden="1" customHeight="1" x14ac:dyDescent="0.2">
      <c r="A1600" s="8">
        <v>448</v>
      </c>
      <c r="B1600" s="8" t="s">
        <v>45</v>
      </c>
      <c r="C1600" s="8" t="s">
        <v>11</v>
      </c>
      <c r="D1600" s="12">
        <v>45200</v>
      </c>
      <c r="E1600" s="8">
        <v>64743</v>
      </c>
      <c r="F1600" s="10">
        <f>IF(ISTEXT(Таблицаx_2[[#This Row],[Значение]]), 0, Таблицаx_2[[#This Row],[Значение]])</f>
        <v>64743</v>
      </c>
      <c r="G1600" s="12">
        <v>44896</v>
      </c>
      <c r="H1600" s="10" t="str">
        <f>IFERROR(VLOOKUP(Таблицаx_2[[#This Row],[id]],prolongations!A:C,2,)," ")</f>
        <v>декабрь 2022</v>
      </c>
      <c r="I1600" s="10">
        <f>IF(Таблицаx_2[[#This Row],[Месяц окончания]]=Таблицаx_2[[#This Row],[Месяц]],Таблицаx_2[[#This Row],[Значения числа]],0)</f>
        <v>0</v>
      </c>
      <c r="J1600" s="8">
        <f>IF(AND(Таблицаx_2[[#This Row],[Месяц окончания]]=Таблицаx_2[[#This Row],[Месяц]],Таблицаx_2[[#This Row],[id]]=A1601,EDATE(Таблицаx_2[[#This Row],[Месяц]],1)=D1601),F1601,0)</f>
        <v>0</v>
      </c>
      <c r="K1600" s="8">
        <f>IF(AND(Таблицаx_2[[#This Row],[Месяц окончания]]=Таблицаx_2[[#This Row],[Месяц]],Таблицаx_2[[#This Row],[id]]=A1601,EDATE(Таблицаx_2[[#This Row],[Месяц]],2)=D1601),F1601,0)</f>
        <v>0</v>
      </c>
    </row>
    <row r="1601" spans="1:11" ht="12.75" hidden="1" customHeight="1" x14ac:dyDescent="0.2">
      <c r="A1601" s="8">
        <v>448</v>
      </c>
      <c r="B1601" s="8" t="s">
        <v>45</v>
      </c>
      <c r="C1601" s="8" t="s">
        <v>11</v>
      </c>
      <c r="D1601" s="12">
        <v>45231</v>
      </c>
      <c r="E1601" s="8">
        <v>64743</v>
      </c>
      <c r="F1601" s="10">
        <f>IF(ISTEXT(Таблицаx_2[[#This Row],[Значение]]), 0, Таблицаx_2[[#This Row],[Значение]])</f>
        <v>64743</v>
      </c>
      <c r="G1601" s="12">
        <v>44896</v>
      </c>
      <c r="H1601" s="10" t="str">
        <f>IFERROR(VLOOKUP(Таблицаx_2[[#This Row],[id]],prolongations!A:C,2,)," ")</f>
        <v>декабрь 2022</v>
      </c>
      <c r="I1601" s="10">
        <f>IF(Таблицаx_2[[#This Row],[Месяц окончания]]=Таблицаx_2[[#This Row],[Месяц]],Таблицаx_2[[#This Row],[Значения числа]],0)</f>
        <v>0</v>
      </c>
      <c r="J1601" s="8">
        <f>IF(AND(Таблицаx_2[[#This Row],[Месяц окончания]]=Таблицаx_2[[#This Row],[Месяц]],Таблицаx_2[[#This Row],[id]]=A1602,EDATE(Таблицаx_2[[#This Row],[Месяц]],1)=D1602),F1602,0)</f>
        <v>0</v>
      </c>
      <c r="K1601" s="8">
        <f>IF(AND(Таблицаx_2[[#This Row],[Месяц окончания]]=Таблицаx_2[[#This Row],[Месяц]],Таблицаx_2[[#This Row],[id]]=A1602,EDATE(Таблицаx_2[[#This Row],[Месяц]],2)=D1602),F1602,0)</f>
        <v>0</v>
      </c>
    </row>
    <row r="1602" spans="1:11" ht="12.75" hidden="1" customHeight="1" x14ac:dyDescent="0.2">
      <c r="A1602" s="8">
        <v>448</v>
      </c>
      <c r="B1602" s="8" t="s">
        <v>45</v>
      </c>
      <c r="C1602" s="8" t="s">
        <v>11</v>
      </c>
      <c r="D1602" s="12">
        <v>45261</v>
      </c>
      <c r="E1602" s="8">
        <v>64743</v>
      </c>
      <c r="F1602" s="10">
        <f>IF(ISTEXT(Таблицаx_2[[#This Row],[Значение]]), 0, Таблицаx_2[[#This Row],[Значение]])</f>
        <v>64743</v>
      </c>
      <c r="G1602" s="12">
        <v>44896</v>
      </c>
      <c r="H1602" s="10" t="str">
        <f>IFERROR(VLOOKUP(Таблицаx_2[[#This Row],[id]],prolongations!A:C,2,)," ")</f>
        <v>декабрь 2022</v>
      </c>
      <c r="I1602" s="10">
        <f>IF(Таблицаx_2[[#This Row],[Месяц окончания]]=Таблицаx_2[[#This Row],[Месяц]],Таблицаx_2[[#This Row],[Значения числа]],0)</f>
        <v>0</v>
      </c>
      <c r="J1602" s="8">
        <f>IF(AND(Таблицаx_2[[#This Row],[Месяц окончания]]=Таблицаx_2[[#This Row],[Месяц]],Таблицаx_2[[#This Row],[id]]=A1603,EDATE(Таблицаx_2[[#This Row],[Месяц]],1)=D1603),F1603,0)</f>
        <v>0</v>
      </c>
      <c r="K1602" s="8">
        <f>IF(AND(Таблицаx_2[[#This Row],[Месяц окончания]]=Таблицаx_2[[#This Row],[Месяц]],Таблицаx_2[[#This Row],[id]]=A1603,EDATE(Таблицаx_2[[#This Row],[Месяц]],2)=D1603),F1603,0)</f>
        <v>0</v>
      </c>
    </row>
    <row r="1603" spans="1:11" ht="12.75" hidden="1" customHeight="1" x14ac:dyDescent="0.2">
      <c r="A1603" s="8">
        <v>448</v>
      </c>
      <c r="B1603" s="8" t="s">
        <v>45</v>
      </c>
      <c r="C1603" s="8" t="s">
        <v>11</v>
      </c>
      <c r="D1603" s="12">
        <v>45292</v>
      </c>
      <c r="E1603" s="8">
        <v>75540</v>
      </c>
      <c r="F1603" s="10">
        <f>IF(ISTEXT(Таблицаx_2[[#This Row],[Значение]]), 0, Таблицаx_2[[#This Row],[Значение]])</f>
        <v>75540</v>
      </c>
      <c r="G1603" s="12">
        <v>44896</v>
      </c>
      <c r="H1603" s="10" t="str">
        <f>IFERROR(VLOOKUP(Таблицаx_2[[#This Row],[id]],prolongations!A:C,2,)," ")</f>
        <v>декабрь 2022</v>
      </c>
      <c r="I1603" s="10">
        <f>IF(Таблицаx_2[[#This Row],[Месяц окончания]]=Таблицаx_2[[#This Row],[Месяц]],Таблицаx_2[[#This Row],[Значения числа]],0)</f>
        <v>0</v>
      </c>
      <c r="J1603" s="8">
        <f>IF(AND(Таблицаx_2[[#This Row],[Месяц окончания]]=Таблицаx_2[[#This Row],[Месяц]],Таблицаx_2[[#This Row],[id]]=A1604,EDATE(Таблицаx_2[[#This Row],[Месяц]],1)=D1604),F1604,0)</f>
        <v>0</v>
      </c>
      <c r="K1603" s="8">
        <f>IF(AND(Таблицаx_2[[#This Row],[Месяц окончания]]=Таблицаx_2[[#This Row],[Месяц]],Таблицаx_2[[#This Row],[id]]=A1604,EDATE(Таблицаx_2[[#This Row],[Месяц]],2)=D1604),F1604,0)</f>
        <v>0</v>
      </c>
    </row>
    <row r="1604" spans="1:11" ht="12.75" hidden="1" customHeight="1" x14ac:dyDescent="0.2">
      <c r="A1604" s="8">
        <v>448</v>
      </c>
      <c r="B1604" s="8" t="s">
        <v>45</v>
      </c>
      <c r="C1604" s="8" t="s">
        <v>11</v>
      </c>
      <c r="D1604" s="12">
        <v>45323</v>
      </c>
      <c r="E1604" s="8">
        <v>108035</v>
      </c>
      <c r="F1604" s="10">
        <f>IF(ISTEXT(Таблицаx_2[[#This Row],[Значение]]), 0, Таблицаx_2[[#This Row],[Значение]])</f>
        <v>108035</v>
      </c>
      <c r="G1604" s="12">
        <v>44896</v>
      </c>
      <c r="H1604" s="10" t="str">
        <f>IFERROR(VLOOKUP(Таблицаx_2[[#This Row],[id]],prolongations!A:C,2,)," ")</f>
        <v>декабрь 2022</v>
      </c>
      <c r="I1604" s="10">
        <f>IF(Таблицаx_2[[#This Row],[Месяц окончания]]=Таблицаx_2[[#This Row],[Месяц]],Таблицаx_2[[#This Row],[Значения числа]],0)</f>
        <v>0</v>
      </c>
      <c r="J1604" s="8">
        <f>IF(AND(Таблицаx_2[[#This Row],[Месяц окончания]]=Таблицаx_2[[#This Row],[Месяц]],Таблицаx_2[[#This Row],[id]]=A1605,EDATE(Таблицаx_2[[#This Row],[Месяц]],1)=D1605),F1605,0)</f>
        <v>0</v>
      </c>
      <c r="K1604" s="8">
        <f>IF(AND(Таблицаx_2[[#This Row],[Месяц окончания]]=Таблицаx_2[[#This Row],[Месяц]],Таблицаx_2[[#This Row],[id]]=A1605,EDATE(Таблицаx_2[[#This Row],[Месяц]],2)=D1605),F1605,0)</f>
        <v>0</v>
      </c>
    </row>
    <row r="1605" spans="1:11" ht="12.75" hidden="1" customHeight="1" x14ac:dyDescent="0.2">
      <c r="A1605" s="8">
        <v>448</v>
      </c>
      <c r="B1605" s="8" t="s">
        <v>47</v>
      </c>
      <c r="C1605" s="8" t="s">
        <v>11</v>
      </c>
      <c r="D1605" s="12">
        <v>44866</v>
      </c>
      <c r="E1605" s="8">
        <v>76533.5</v>
      </c>
      <c r="F1605" s="10">
        <f>IF(ISTEXT(Таблицаx_2[[#This Row],[Значение]]), 0, Таблицаx_2[[#This Row],[Значение]])</f>
        <v>76533.5</v>
      </c>
      <c r="G1605" s="12">
        <v>44896</v>
      </c>
      <c r="H1605" s="10" t="str">
        <f>IFERROR(VLOOKUP(Таблицаx_2[[#This Row],[id]],prolongations!A:C,2,)," ")</f>
        <v>декабрь 2022</v>
      </c>
      <c r="I1605" s="10">
        <f>IF(Таблицаx_2[[#This Row],[Месяц окончания]]=Таблицаx_2[[#This Row],[Месяц]],Таблицаx_2[[#This Row],[Значения числа]],0)</f>
        <v>0</v>
      </c>
      <c r="J1605" s="8">
        <f>IF(AND(Таблицаx_2[[#This Row],[Месяц окончания]]=Таблицаx_2[[#This Row],[Месяц]],Таблицаx_2[[#This Row],[id]]=A1606,EDATE(Таблицаx_2[[#This Row],[Месяц]],1)=D1606),F1606,0)</f>
        <v>0</v>
      </c>
      <c r="K1605" s="8">
        <f>IF(AND(Таблицаx_2[[#This Row],[Месяц окончания]]=Таблицаx_2[[#This Row],[Месяц]],Таблицаx_2[[#This Row],[id]]=A1606,EDATE(Таблицаx_2[[#This Row],[Месяц]],2)=D1606),F1606,0)</f>
        <v>0</v>
      </c>
    </row>
    <row r="1606" spans="1:11" hidden="1" x14ac:dyDescent="0.2">
      <c r="A1606" s="8">
        <v>448</v>
      </c>
      <c r="B1606" s="8" t="s">
        <v>47</v>
      </c>
      <c r="C1606" s="8" t="s">
        <v>11</v>
      </c>
      <c r="D1606" s="12">
        <v>44896</v>
      </c>
      <c r="E1606" s="8">
        <v>72807</v>
      </c>
      <c r="F1606" s="10">
        <f>IF(ISTEXT(Таблицаx_2[[#This Row],[Значение]]), 0, Таблицаx_2[[#This Row],[Значение]])</f>
        <v>72807</v>
      </c>
      <c r="G1606" s="12">
        <v>44896</v>
      </c>
      <c r="H1606" s="10" t="str">
        <f>IFERROR(VLOOKUP(Таблицаx_2[[#This Row],[id]],prolongations!A:C,2,)," ")</f>
        <v>декабрь 2022</v>
      </c>
      <c r="I1606" s="10">
        <f>IF(Таблицаx_2[[#This Row],[Месяц окончания]]=Таблицаx_2[[#This Row],[Месяц]],Таблицаx_2[[#This Row],[Значения числа]],0)</f>
        <v>72807</v>
      </c>
      <c r="J1606" s="8">
        <f>IF(AND(Таблицаx_2[[#This Row],[Месяц окончания]]=Таблицаx_2[[#This Row],[Месяц]],Таблицаx_2[[#This Row],[id]]=A1607,EDATE(Таблицаx_2[[#This Row],[Месяц]],1)=D1607),F1607,0)</f>
        <v>19158</v>
      </c>
      <c r="K1606" s="8">
        <f>IF(AND(Таблицаx_2[[#This Row],[Месяц окончания]]=Таблицаx_2[[#This Row],[Месяц]],Таблицаx_2[[#This Row],[id]]=A1607,EDATE(Таблицаx_2[[#This Row],[Месяц]],2)=D1607),F1607,0)</f>
        <v>0</v>
      </c>
    </row>
    <row r="1607" spans="1:11" ht="12.75" hidden="1" customHeight="1" x14ac:dyDescent="0.2">
      <c r="A1607" s="8">
        <v>448</v>
      </c>
      <c r="B1607" s="8" t="s">
        <v>47</v>
      </c>
      <c r="C1607" s="8" t="s">
        <v>11</v>
      </c>
      <c r="D1607" s="12">
        <v>44927</v>
      </c>
      <c r="E1607" s="8">
        <v>19158</v>
      </c>
      <c r="F1607" s="10">
        <f>IF(ISTEXT(Таблицаx_2[[#This Row],[Значение]]), 0, Таблицаx_2[[#This Row],[Значение]])</f>
        <v>19158</v>
      </c>
      <c r="G1607" s="12">
        <v>44896</v>
      </c>
      <c r="H1607" s="10" t="str">
        <f>IFERROR(VLOOKUP(Таблицаx_2[[#This Row],[id]],prolongations!A:C,2,)," ")</f>
        <v>декабрь 2022</v>
      </c>
      <c r="I1607" s="10">
        <f>IF(Таблицаx_2[[#This Row],[Месяц окончания]]=Таблицаx_2[[#This Row],[Месяц]],Таблицаx_2[[#This Row],[Значения числа]],0)</f>
        <v>0</v>
      </c>
      <c r="J1607" s="8">
        <f>IF(AND(Таблицаx_2[[#This Row],[Месяц окончания]]=Таблицаx_2[[#This Row],[Месяц]],Таблицаx_2[[#This Row],[id]]=A1608,EDATE(Таблицаx_2[[#This Row],[Месяц]],1)=D1608),F1608,0)</f>
        <v>0</v>
      </c>
      <c r="K1607" s="8">
        <f>IF(AND(Таблицаx_2[[#This Row],[Месяц окончания]]=Таблицаx_2[[#This Row],[Месяц]],Таблицаx_2[[#This Row],[id]]=A1608,EDATE(Таблицаx_2[[#This Row],[Месяц]],2)=D1608),F1608,0)</f>
        <v>0</v>
      </c>
    </row>
    <row r="1608" spans="1:11" ht="12.75" hidden="1" customHeight="1" x14ac:dyDescent="0.2">
      <c r="A1608" s="8">
        <v>448</v>
      </c>
      <c r="B1608" s="8" t="s">
        <v>47</v>
      </c>
      <c r="C1608" s="8" t="s">
        <v>11</v>
      </c>
      <c r="D1608" s="12">
        <v>44958</v>
      </c>
      <c r="E1608" s="8">
        <v>70540</v>
      </c>
      <c r="F1608" s="10">
        <f>IF(ISTEXT(Таблицаx_2[[#This Row],[Значение]]), 0, Таблицаx_2[[#This Row],[Значение]])</f>
        <v>70540</v>
      </c>
      <c r="G1608" s="12">
        <v>44896</v>
      </c>
      <c r="H1608" s="10" t="str">
        <f>IFERROR(VLOOKUP(Таблицаx_2[[#This Row],[id]],prolongations!A:C,2,)," ")</f>
        <v>декабрь 2022</v>
      </c>
      <c r="I1608" s="10">
        <f>IF(Таблицаx_2[[#This Row],[Месяц окончания]]=Таблицаx_2[[#This Row],[Месяц]],Таблицаx_2[[#This Row],[Значения числа]],0)</f>
        <v>0</v>
      </c>
      <c r="J1608" s="8">
        <f>IF(AND(Таблицаx_2[[#This Row],[Месяц окончания]]=Таблицаx_2[[#This Row],[Месяц]],Таблицаx_2[[#This Row],[id]]=A1609,EDATE(Таблицаx_2[[#This Row],[Месяц]],1)=D1609),F1609,0)</f>
        <v>0</v>
      </c>
      <c r="K1608" s="8">
        <f>IF(AND(Таблицаx_2[[#This Row],[Месяц окончания]]=Таблицаx_2[[#This Row],[Месяц]],Таблицаx_2[[#This Row],[id]]=A1609,EDATE(Таблицаx_2[[#This Row],[Месяц]],2)=D1609),F1609,0)</f>
        <v>0</v>
      </c>
    </row>
    <row r="1609" spans="1:11" ht="12.75" hidden="1" customHeight="1" x14ac:dyDescent="0.2">
      <c r="A1609" s="8">
        <v>448</v>
      </c>
      <c r="B1609" s="8" t="s">
        <v>47</v>
      </c>
      <c r="C1609" s="8" t="s">
        <v>11</v>
      </c>
      <c r="D1609" s="12">
        <v>44986</v>
      </c>
      <c r="E1609" s="8">
        <v>72844</v>
      </c>
      <c r="F1609" s="10">
        <f>IF(ISTEXT(Таблицаx_2[[#This Row],[Значение]]), 0, Таблицаx_2[[#This Row],[Значение]])</f>
        <v>72844</v>
      </c>
      <c r="G1609" s="12">
        <v>44896</v>
      </c>
      <c r="H1609" s="10" t="str">
        <f>IFERROR(VLOOKUP(Таблицаx_2[[#This Row],[id]],prolongations!A:C,2,)," ")</f>
        <v>декабрь 2022</v>
      </c>
      <c r="I1609" s="10">
        <f>IF(Таблицаx_2[[#This Row],[Месяц окончания]]=Таблицаx_2[[#This Row],[Месяц]],Таблицаx_2[[#This Row],[Значения числа]],0)</f>
        <v>0</v>
      </c>
      <c r="J1609" s="8">
        <f>IF(AND(Таблицаx_2[[#This Row],[Месяц окончания]]=Таблицаx_2[[#This Row],[Месяц]],Таблицаx_2[[#This Row],[id]]=A1610,EDATE(Таблицаx_2[[#This Row],[Месяц]],1)=D1610),F1610,0)</f>
        <v>0</v>
      </c>
      <c r="K1609" s="8">
        <f>IF(AND(Таблицаx_2[[#This Row],[Месяц окончания]]=Таблицаx_2[[#This Row],[Месяц]],Таблицаx_2[[#This Row],[id]]=A1610,EDATE(Таблицаx_2[[#This Row],[Месяц]],2)=D1610),F1610,0)</f>
        <v>0</v>
      </c>
    </row>
    <row r="1610" spans="1:11" ht="12.75" hidden="1" customHeight="1" x14ac:dyDescent="0.2">
      <c r="A1610" s="8">
        <v>448</v>
      </c>
      <c r="B1610" s="8" t="s">
        <v>47</v>
      </c>
      <c r="C1610" s="8" t="s">
        <v>11</v>
      </c>
      <c r="D1610" s="12">
        <v>45017</v>
      </c>
      <c r="E1610" s="8">
        <v>69870</v>
      </c>
      <c r="F1610" s="10">
        <f>IF(ISTEXT(Таблицаx_2[[#This Row],[Значение]]), 0, Таблицаx_2[[#This Row],[Значение]])</f>
        <v>69870</v>
      </c>
      <c r="G1610" s="12">
        <v>44896</v>
      </c>
      <c r="H1610" s="10" t="str">
        <f>IFERROR(VLOOKUP(Таблицаx_2[[#This Row],[id]],prolongations!A:C,2,)," ")</f>
        <v>декабрь 2022</v>
      </c>
      <c r="I1610" s="10">
        <f>IF(Таблицаx_2[[#This Row],[Месяц окончания]]=Таблицаx_2[[#This Row],[Месяц]],Таблицаx_2[[#This Row],[Значения числа]],0)</f>
        <v>0</v>
      </c>
      <c r="J1610" s="8">
        <f>IF(AND(Таблицаx_2[[#This Row],[Месяц окончания]]=Таблицаx_2[[#This Row],[Месяц]],Таблицаx_2[[#This Row],[id]]=A1611,EDATE(Таблицаx_2[[#This Row],[Месяц]],1)=D1611),F1611,0)</f>
        <v>0</v>
      </c>
      <c r="K1610" s="8">
        <f>IF(AND(Таблицаx_2[[#This Row],[Месяц окончания]]=Таблицаx_2[[#This Row],[Месяц]],Таблицаx_2[[#This Row],[id]]=A1611,EDATE(Таблицаx_2[[#This Row],[Месяц]],2)=D1611),F1611,0)</f>
        <v>0</v>
      </c>
    </row>
    <row r="1611" spans="1:11" ht="12.75" hidden="1" customHeight="1" x14ac:dyDescent="0.2">
      <c r="A1611" s="8">
        <v>448</v>
      </c>
      <c r="B1611" s="8" t="s">
        <v>47</v>
      </c>
      <c r="C1611" s="8" t="s">
        <v>11</v>
      </c>
      <c r="D1611" s="12">
        <v>45047</v>
      </c>
      <c r="E1611" s="8">
        <v>75012</v>
      </c>
      <c r="F1611" s="10">
        <f>IF(ISTEXT(Таблицаx_2[[#This Row],[Значение]]), 0, Таблицаx_2[[#This Row],[Значение]])</f>
        <v>75012</v>
      </c>
      <c r="G1611" s="12">
        <v>44896</v>
      </c>
      <c r="H1611" s="10" t="str">
        <f>IFERROR(VLOOKUP(Таблицаx_2[[#This Row],[id]],prolongations!A:C,2,)," ")</f>
        <v>декабрь 2022</v>
      </c>
      <c r="I1611" s="10">
        <f>IF(Таблицаx_2[[#This Row],[Месяц окончания]]=Таблицаx_2[[#This Row],[Месяц]],Таблицаx_2[[#This Row],[Значения числа]],0)</f>
        <v>0</v>
      </c>
      <c r="J1611" s="8">
        <f>IF(AND(Таблицаx_2[[#This Row],[Месяц окончания]]=Таблицаx_2[[#This Row],[Месяц]],Таблицаx_2[[#This Row],[id]]=A1612,EDATE(Таблицаx_2[[#This Row],[Месяц]],1)=D1612),F1612,0)</f>
        <v>0</v>
      </c>
      <c r="K1611" s="8">
        <f>IF(AND(Таблицаx_2[[#This Row],[Месяц окончания]]=Таблицаx_2[[#This Row],[Месяц]],Таблицаx_2[[#This Row],[id]]=A1612,EDATE(Таблицаx_2[[#This Row],[Месяц]],2)=D1612),F1612,0)</f>
        <v>0</v>
      </c>
    </row>
    <row r="1612" spans="1:11" ht="12.75" hidden="1" customHeight="1" x14ac:dyDescent="0.2">
      <c r="A1612" s="8">
        <v>448</v>
      </c>
      <c r="B1612" s="8" t="s">
        <v>47</v>
      </c>
      <c r="C1612" s="8" t="s">
        <v>11</v>
      </c>
      <c r="D1612" s="12">
        <v>45078</v>
      </c>
      <c r="E1612" s="8">
        <v>76020</v>
      </c>
      <c r="F1612" s="10">
        <f>IF(ISTEXT(Таблицаx_2[[#This Row],[Значение]]), 0, Таблицаx_2[[#This Row],[Значение]])</f>
        <v>76020</v>
      </c>
      <c r="G1612" s="12">
        <v>44896</v>
      </c>
      <c r="H1612" s="10" t="str">
        <f>IFERROR(VLOOKUP(Таблицаx_2[[#This Row],[id]],prolongations!A:C,2,)," ")</f>
        <v>декабрь 2022</v>
      </c>
      <c r="I1612" s="10">
        <f>IF(Таблицаx_2[[#This Row],[Месяц окончания]]=Таблицаx_2[[#This Row],[Месяц]],Таблицаx_2[[#This Row],[Значения числа]],0)</f>
        <v>0</v>
      </c>
      <c r="J1612" s="8">
        <f>IF(AND(Таблицаx_2[[#This Row],[Месяц окончания]]=Таблицаx_2[[#This Row],[Месяц]],Таблицаx_2[[#This Row],[id]]=A1613,EDATE(Таблицаx_2[[#This Row],[Месяц]],1)=D1613),F1613,0)</f>
        <v>0</v>
      </c>
      <c r="K1612" s="8">
        <f>IF(AND(Таблицаx_2[[#This Row],[Месяц окончания]]=Таблицаx_2[[#This Row],[Месяц]],Таблицаx_2[[#This Row],[id]]=A1613,EDATE(Таблицаx_2[[#This Row],[Месяц]],2)=D1613),F1613,0)</f>
        <v>0</v>
      </c>
    </row>
    <row r="1613" spans="1:11" ht="12.75" hidden="1" customHeight="1" x14ac:dyDescent="0.2">
      <c r="A1613" s="8">
        <v>448</v>
      </c>
      <c r="B1613" s="8" t="s">
        <v>47</v>
      </c>
      <c r="C1613" s="8" t="s">
        <v>11</v>
      </c>
      <c r="D1613" s="12">
        <v>45108</v>
      </c>
      <c r="E1613" s="8">
        <v>87496.85</v>
      </c>
      <c r="F1613" s="10">
        <f>IF(ISTEXT(Таблицаx_2[[#This Row],[Значение]]), 0, Таблицаx_2[[#This Row],[Значение]])</f>
        <v>87496.85</v>
      </c>
      <c r="G1613" s="12">
        <v>44896</v>
      </c>
      <c r="H1613" s="10" t="str">
        <f>IFERROR(VLOOKUP(Таблицаx_2[[#This Row],[id]],prolongations!A:C,2,)," ")</f>
        <v>декабрь 2022</v>
      </c>
      <c r="I1613" s="10">
        <f>IF(Таблицаx_2[[#This Row],[Месяц окончания]]=Таблицаx_2[[#This Row],[Месяц]],Таблицаx_2[[#This Row],[Значения числа]],0)</f>
        <v>0</v>
      </c>
      <c r="J1613" s="8">
        <f>IF(AND(Таблицаx_2[[#This Row],[Месяц окончания]]=Таблицаx_2[[#This Row],[Месяц]],Таблицаx_2[[#This Row],[id]]=A1614,EDATE(Таблицаx_2[[#This Row],[Месяц]],1)=D1614),F1614,0)</f>
        <v>0</v>
      </c>
      <c r="K1613" s="8">
        <f>IF(AND(Таблицаx_2[[#This Row],[Месяц окончания]]=Таблицаx_2[[#This Row],[Месяц]],Таблицаx_2[[#This Row],[id]]=A1614,EDATE(Таблицаx_2[[#This Row],[Месяц]],2)=D1614),F1614,0)</f>
        <v>0</v>
      </c>
    </row>
    <row r="1614" spans="1:11" ht="12.75" hidden="1" customHeight="1" x14ac:dyDescent="0.2">
      <c r="A1614" s="8">
        <v>448</v>
      </c>
      <c r="B1614" s="8" t="s">
        <v>47</v>
      </c>
      <c r="C1614" s="8" t="s">
        <v>11</v>
      </c>
      <c r="D1614" s="12">
        <v>45139</v>
      </c>
      <c r="E1614" s="8">
        <v>83707.5</v>
      </c>
      <c r="F1614" s="10">
        <f>IF(ISTEXT(Таблицаx_2[[#This Row],[Значение]]), 0, Таблицаx_2[[#This Row],[Значение]])</f>
        <v>83707.5</v>
      </c>
      <c r="G1614" s="12">
        <v>44896</v>
      </c>
      <c r="H1614" s="10" t="str">
        <f>IFERROR(VLOOKUP(Таблицаx_2[[#This Row],[id]],prolongations!A:C,2,)," ")</f>
        <v>декабрь 2022</v>
      </c>
      <c r="I1614" s="10">
        <f>IF(Таблицаx_2[[#This Row],[Месяц окончания]]=Таблицаx_2[[#This Row],[Месяц]],Таблицаx_2[[#This Row],[Значения числа]],0)</f>
        <v>0</v>
      </c>
      <c r="J1614" s="8">
        <f>IF(AND(Таблицаx_2[[#This Row],[Месяц окончания]]=Таблицаx_2[[#This Row],[Месяц]],Таблицаx_2[[#This Row],[id]]=A1615,EDATE(Таблицаx_2[[#This Row],[Месяц]],1)=D1615),F1615,0)</f>
        <v>0</v>
      </c>
      <c r="K1614" s="8">
        <f>IF(AND(Таблицаx_2[[#This Row],[Месяц окончания]]=Таблицаx_2[[#This Row],[Месяц]],Таблицаx_2[[#This Row],[id]]=A1615,EDATE(Таблицаx_2[[#This Row],[Месяц]],2)=D1615),F1615,0)</f>
        <v>0</v>
      </c>
    </row>
    <row r="1615" spans="1:11" ht="12.75" hidden="1" customHeight="1" x14ac:dyDescent="0.2">
      <c r="A1615" s="8">
        <v>448</v>
      </c>
      <c r="B1615" s="8" t="s">
        <v>47</v>
      </c>
      <c r="C1615" s="8" t="s">
        <v>11</v>
      </c>
      <c r="D1615" s="12">
        <v>45170</v>
      </c>
      <c r="E1615" s="8">
        <v>90966</v>
      </c>
      <c r="F1615" s="10">
        <f>IF(ISTEXT(Таблицаx_2[[#This Row],[Значение]]), 0, Таблицаx_2[[#This Row],[Значение]])</f>
        <v>90966</v>
      </c>
      <c r="G1615" s="12">
        <v>44896</v>
      </c>
      <c r="H1615" s="10" t="str">
        <f>IFERROR(VLOOKUP(Таблицаx_2[[#This Row],[id]],prolongations!A:C,2,)," ")</f>
        <v>декабрь 2022</v>
      </c>
      <c r="I1615" s="10">
        <f>IF(Таблицаx_2[[#This Row],[Месяц окончания]]=Таблицаx_2[[#This Row],[Месяц]],Таблицаx_2[[#This Row],[Значения числа]],0)</f>
        <v>0</v>
      </c>
      <c r="J1615" s="8">
        <f>IF(AND(Таблицаx_2[[#This Row],[Месяц окончания]]=Таблицаx_2[[#This Row],[Месяц]],Таблицаx_2[[#This Row],[id]]=A1616,EDATE(Таблицаx_2[[#This Row],[Месяц]],1)=D1616),F1616,0)</f>
        <v>0</v>
      </c>
      <c r="K1615" s="8">
        <f>IF(AND(Таблицаx_2[[#This Row],[Месяц окончания]]=Таблицаx_2[[#This Row],[Месяц]],Таблицаx_2[[#This Row],[id]]=A1616,EDATE(Таблицаx_2[[#This Row],[Месяц]],2)=D1616),F1616,0)</f>
        <v>0</v>
      </c>
    </row>
    <row r="1616" spans="1:11" ht="12.75" hidden="1" customHeight="1" x14ac:dyDescent="0.2">
      <c r="A1616" s="8">
        <v>448</v>
      </c>
      <c r="B1616" s="8" t="s">
        <v>47</v>
      </c>
      <c r="C1616" s="8" t="s">
        <v>11</v>
      </c>
      <c r="D1616" s="12">
        <v>45200</v>
      </c>
      <c r="E1616" s="8">
        <v>89246.65</v>
      </c>
      <c r="F1616" s="10">
        <f>IF(ISTEXT(Таблицаx_2[[#This Row],[Значение]]), 0, Таблицаx_2[[#This Row],[Значение]])</f>
        <v>89246.65</v>
      </c>
      <c r="G1616" s="12">
        <v>44896</v>
      </c>
      <c r="H1616" s="10" t="str">
        <f>IFERROR(VLOOKUP(Таблицаx_2[[#This Row],[id]],prolongations!A:C,2,)," ")</f>
        <v>декабрь 2022</v>
      </c>
      <c r="I1616" s="10">
        <f>IF(Таблицаx_2[[#This Row],[Месяц окончания]]=Таблицаx_2[[#This Row],[Месяц]],Таблицаx_2[[#This Row],[Значения числа]],0)</f>
        <v>0</v>
      </c>
      <c r="J1616" s="8">
        <f>IF(AND(Таблицаx_2[[#This Row],[Месяц окончания]]=Таблицаx_2[[#This Row],[Месяц]],Таблицаx_2[[#This Row],[id]]=A1617,EDATE(Таблицаx_2[[#This Row],[Месяц]],1)=D1617),F1617,0)</f>
        <v>0</v>
      </c>
      <c r="K1616" s="8">
        <f>IF(AND(Таблицаx_2[[#This Row],[Месяц окончания]]=Таблицаx_2[[#This Row],[Месяц]],Таблицаx_2[[#This Row],[id]]=A1617,EDATE(Таблицаx_2[[#This Row],[Месяц]],2)=D1617),F1617,0)</f>
        <v>0</v>
      </c>
    </row>
    <row r="1617" spans="1:11" ht="12.75" hidden="1" customHeight="1" x14ac:dyDescent="0.2">
      <c r="A1617" s="8">
        <v>448</v>
      </c>
      <c r="B1617" s="8" t="s">
        <v>47</v>
      </c>
      <c r="C1617" s="8" t="s">
        <v>11</v>
      </c>
      <c r="D1617" s="12">
        <v>45231</v>
      </c>
      <c r="E1617" s="8">
        <v>92657.1</v>
      </c>
      <c r="F1617" s="10">
        <f>IF(ISTEXT(Таблицаx_2[[#This Row],[Значение]]), 0, Таблицаx_2[[#This Row],[Значение]])</f>
        <v>92657.1</v>
      </c>
      <c r="G1617" s="12">
        <v>44896</v>
      </c>
      <c r="H1617" s="10" t="str">
        <f>IFERROR(VLOOKUP(Таблицаx_2[[#This Row],[id]],prolongations!A:C,2,)," ")</f>
        <v>декабрь 2022</v>
      </c>
      <c r="I1617" s="10">
        <f>IF(Таблицаx_2[[#This Row],[Месяц окончания]]=Таблицаx_2[[#This Row],[Месяц]],Таблицаx_2[[#This Row],[Значения числа]],0)</f>
        <v>0</v>
      </c>
      <c r="J1617" s="8">
        <f>IF(AND(Таблицаx_2[[#This Row],[Месяц окончания]]=Таблицаx_2[[#This Row],[Месяц]],Таблицаx_2[[#This Row],[id]]=A1618,EDATE(Таблицаx_2[[#This Row],[Месяц]],1)=D1618),F1618,0)</f>
        <v>0</v>
      </c>
      <c r="K1617" s="8">
        <f>IF(AND(Таблицаx_2[[#This Row],[Месяц окончания]]=Таблицаx_2[[#This Row],[Месяц]],Таблицаx_2[[#This Row],[id]]=A1618,EDATE(Таблицаx_2[[#This Row],[Месяц]],2)=D1618),F1618,0)</f>
        <v>0</v>
      </c>
    </row>
    <row r="1618" spans="1:11" ht="12.75" hidden="1" customHeight="1" x14ac:dyDescent="0.2">
      <c r="A1618" s="8">
        <v>448</v>
      </c>
      <c r="B1618" s="8" t="s">
        <v>47</v>
      </c>
      <c r="C1618" s="8" t="s">
        <v>11</v>
      </c>
      <c r="D1618" s="12">
        <v>45261</v>
      </c>
      <c r="E1618" s="8">
        <v>91132.95</v>
      </c>
      <c r="F1618" s="10">
        <f>IF(ISTEXT(Таблицаx_2[[#This Row],[Значение]]), 0, Таблицаx_2[[#This Row],[Значение]])</f>
        <v>91132.95</v>
      </c>
      <c r="G1618" s="12">
        <v>44896</v>
      </c>
      <c r="H1618" s="10" t="str">
        <f>IFERROR(VLOOKUP(Таблицаx_2[[#This Row],[id]],prolongations!A:C,2,)," ")</f>
        <v>декабрь 2022</v>
      </c>
      <c r="I1618" s="10">
        <f>IF(Таблицаx_2[[#This Row],[Месяц окончания]]=Таблицаx_2[[#This Row],[Месяц]],Таблицаx_2[[#This Row],[Значения числа]],0)</f>
        <v>0</v>
      </c>
      <c r="J1618" s="8">
        <f>IF(AND(Таблицаx_2[[#This Row],[Месяц окончания]]=Таблицаx_2[[#This Row],[Месяц]],Таблицаx_2[[#This Row],[id]]=A1619,EDATE(Таблицаx_2[[#This Row],[Месяц]],1)=D1619),F1619,0)</f>
        <v>0</v>
      </c>
      <c r="K1618" s="8">
        <f>IF(AND(Таблицаx_2[[#This Row],[Месяц окончания]]=Таблицаx_2[[#This Row],[Месяц]],Таблицаx_2[[#This Row],[id]]=A1619,EDATE(Таблицаx_2[[#This Row],[Месяц]],2)=D1619),F1619,0)</f>
        <v>0</v>
      </c>
    </row>
    <row r="1619" spans="1:11" ht="12.75" hidden="1" customHeight="1" x14ac:dyDescent="0.2">
      <c r="A1619" s="8">
        <v>448</v>
      </c>
      <c r="B1619" s="8" t="s">
        <v>47</v>
      </c>
      <c r="C1619" s="8" t="s">
        <v>11</v>
      </c>
      <c r="D1619" s="12">
        <v>45292</v>
      </c>
      <c r="E1619" s="8">
        <v>12203</v>
      </c>
      <c r="F1619" s="10">
        <f>IF(ISTEXT(Таблицаx_2[[#This Row],[Значение]]), 0, Таблицаx_2[[#This Row],[Значение]])</f>
        <v>12203</v>
      </c>
      <c r="G1619" s="12">
        <v>44896</v>
      </c>
      <c r="H1619" s="10" t="str">
        <f>IFERROR(VLOOKUP(Таблицаx_2[[#This Row],[id]],prolongations!A:C,2,)," ")</f>
        <v>декабрь 2022</v>
      </c>
      <c r="I1619" s="10">
        <f>IF(Таблицаx_2[[#This Row],[Месяц окончания]]=Таблицаx_2[[#This Row],[Месяц]],Таблицаx_2[[#This Row],[Значения числа]],0)</f>
        <v>0</v>
      </c>
      <c r="J1619" s="8">
        <f>IF(AND(Таблицаx_2[[#This Row],[Месяц окончания]]=Таблицаx_2[[#This Row],[Месяц]],Таблицаx_2[[#This Row],[id]]=A1620,EDATE(Таблицаx_2[[#This Row],[Месяц]],1)=D1620),F1620,0)</f>
        <v>0</v>
      </c>
      <c r="K1619" s="8">
        <f>IF(AND(Таблицаx_2[[#This Row],[Месяц окончания]]=Таблицаx_2[[#This Row],[Месяц]],Таблицаx_2[[#This Row],[id]]=A1620,EDATE(Таблицаx_2[[#This Row],[Месяц]],2)=D1620),F1620,0)</f>
        <v>0</v>
      </c>
    </row>
    <row r="1620" spans="1:11" ht="12.75" hidden="1" customHeight="1" x14ac:dyDescent="0.2">
      <c r="A1620" s="8">
        <v>448</v>
      </c>
      <c r="B1620" s="8" t="s">
        <v>47</v>
      </c>
      <c r="C1620" s="8" t="s">
        <v>11</v>
      </c>
      <c r="D1620" s="12">
        <v>45323</v>
      </c>
      <c r="E1620" s="8">
        <v>26386.5</v>
      </c>
      <c r="F1620" s="10">
        <f>IF(ISTEXT(Таблицаx_2[[#This Row],[Значение]]), 0, Таблицаx_2[[#This Row],[Значение]])</f>
        <v>26386.5</v>
      </c>
      <c r="G1620" s="12">
        <v>44896</v>
      </c>
      <c r="H1620" s="10" t="str">
        <f>IFERROR(VLOOKUP(Таблицаx_2[[#This Row],[id]],prolongations!A:C,2,)," ")</f>
        <v>декабрь 2022</v>
      </c>
      <c r="I1620" s="10">
        <f>IF(Таблицаx_2[[#This Row],[Месяц окончания]]=Таблицаx_2[[#This Row],[Месяц]],Таблицаx_2[[#This Row],[Значения числа]],0)</f>
        <v>0</v>
      </c>
      <c r="J1620" s="8">
        <f>IF(AND(Таблицаx_2[[#This Row],[Месяц окончания]]=Таблицаx_2[[#This Row],[Месяц]],Таблицаx_2[[#This Row],[id]]=A1621,EDATE(Таблицаx_2[[#This Row],[Месяц]],1)=D1621),F1621,0)</f>
        <v>0</v>
      </c>
      <c r="K1620" s="8">
        <f>IF(AND(Таблицаx_2[[#This Row],[Месяц окончания]]=Таблицаx_2[[#This Row],[Месяц]],Таблицаx_2[[#This Row],[id]]=A1621,EDATE(Таблицаx_2[[#This Row],[Месяц]],2)=D1621),F1621,0)</f>
        <v>0</v>
      </c>
    </row>
    <row r="1621" spans="1:11" ht="12.75" hidden="1" customHeight="1" x14ac:dyDescent="0.2">
      <c r="A1621" s="8">
        <v>569</v>
      </c>
      <c r="B1621" s="8" t="s">
        <v>52</v>
      </c>
      <c r="C1621" s="8" t="s">
        <v>11</v>
      </c>
      <c r="D1621" s="12">
        <v>44927</v>
      </c>
      <c r="E1621" s="8">
        <v>36415</v>
      </c>
      <c r="F1621" s="10">
        <f>IF(ISTEXT(Таблицаx_2[[#This Row],[Значение]]), 0, Таблицаx_2[[#This Row],[Значение]])</f>
        <v>36415</v>
      </c>
      <c r="G1621" s="12">
        <v>45078</v>
      </c>
      <c r="H1621" s="10" t="str">
        <f>IFERROR(VLOOKUP(Таблицаx_2[[#This Row],[id]],prolongations!A:C,2,)," ")</f>
        <v>июнь 2023</v>
      </c>
      <c r="I1621" s="10">
        <f>IF(Таблицаx_2[[#This Row],[Месяц окончания]]=Таблицаx_2[[#This Row],[Месяц]],Таблицаx_2[[#This Row],[Значения числа]],0)</f>
        <v>0</v>
      </c>
      <c r="J1621" s="8">
        <f>IF(AND(Таблицаx_2[[#This Row],[Месяц окончания]]=Таблицаx_2[[#This Row],[Месяц]],Таблицаx_2[[#This Row],[id]]=A1622,EDATE(Таблицаx_2[[#This Row],[Месяц]],1)=D1622),F1622,0)</f>
        <v>0</v>
      </c>
      <c r="K1621" s="8">
        <f>IF(AND(Таблицаx_2[[#This Row],[Месяц окончания]]=Таблицаx_2[[#This Row],[Месяц]],Таблицаx_2[[#This Row],[id]]=A1622,EDATE(Таблицаx_2[[#This Row],[Месяц]],2)=D1622),F1622,0)</f>
        <v>0</v>
      </c>
    </row>
    <row r="1622" spans="1:11" ht="12.75" hidden="1" customHeight="1" x14ac:dyDescent="0.2">
      <c r="A1622" s="8">
        <v>569</v>
      </c>
      <c r="B1622" s="8" t="s">
        <v>52</v>
      </c>
      <c r="C1622" s="8" t="s">
        <v>11</v>
      </c>
      <c r="D1622" s="12">
        <v>44958</v>
      </c>
      <c r="E1622" s="8">
        <v>36415</v>
      </c>
      <c r="F1622" s="10">
        <f>IF(ISTEXT(Таблицаx_2[[#This Row],[Значение]]), 0, Таблицаx_2[[#This Row],[Значение]])</f>
        <v>36415</v>
      </c>
      <c r="G1622" s="12">
        <v>45078</v>
      </c>
      <c r="H1622" s="10" t="str">
        <f>IFERROR(VLOOKUP(Таблицаx_2[[#This Row],[id]],prolongations!A:C,2,)," ")</f>
        <v>июнь 2023</v>
      </c>
      <c r="I1622" s="10">
        <f>IF(Таблицаx_2[[#This Row],[Месяц окончания]]=Таблицаx_2[[#This Row],[Месяц]],Таблицаx_2[[#This Row],[Значения числа]],0)</f>
        <v>0</v>
      </c>
      <c r="J1622" s="8">
        <f>IF(AND(Таблицаx_2[[#This Row],[Месяц окончания]]=Таблицаx_2[[#This Row],[Месяц]],Таблицаx_2[[#This Row],[id]]=A1623,EDATE(Таблицаx_2[[#This Row],[Месяц]],1)=D1623),F1623,0)</f>
        <v>0</v>
      </c>
      <c r="K1622" s="8">
        <f>IF(AND(Таблицаx_2[[#This Row],[Месяц окончания]]=Таблицаx_2[[#This Row],[Месяц]],Таблицаx_2[[#This Row],[id]]=A1623,EDATE(Таблицаx_2[[#This Row],[Месяц]],2)=D1623),F1623,0)</f>
        <v>0</v>
      </c>
    </row>
    <row r="1623" spans="1:11" ht="12.75" hidden="1" customHeight="1" x14ac:dyDescent="0.2">
      <c r="A1623" s="8">
        <v>569</v>
      </c>
      <c r="B1623" s="8" t="s">
        <v>52</v>
      </c>
      <c r="C1623" s="8" t="s">
        <v>11</v>
      </c>
      <c r="D1623" s="12">
        <v>44986</v>
      </c>
      <c r="E1623" s="8">
        <v>36415</v>
      </c>
      <c r="F1623" s="10">
        <f>IF(ISTEXT(Таблицаx_2[[#This Row],[Значение]]), 0, Таблицаx_2[[#This Row],[Значение]])</f>
        <v>36415</v>
      </c>
      <c r="G1623" s="12">
        <v>45078</v>
      </c>
      <c r="H1623" s="10" t="str">
        <f>IFERROR(VLOOKUP(Таблицаx_2[[#This Row],[id]],prolongations!A:C,2,)," ")</f>
        <v>июнь 2023</v>
      </c>
      <c r="I1623" s="10">
        <f>IF(Таблицаx_2[[#This Row],[Месяц окончания]]=Таблицаx_2[[#This Row],[Месяц]],Таблицаx_2[[#This Row],[Значения числа]],0)</f>
        <v>0</v>
      </c>
      <c r="J1623" s="8">
        <f>IF(AND(Таблицаx_2[[#This Row],[Месяц окончания]]=Таблицаx_2[[#This Row],[Месяц]],Таблицаx_2[[#This Row],[id]]=A1624,EDATE(Таблицаx_2[[#This Row],[Месяц]],1)=D1624),F1624,0)</f>
        <v>0</v>
      </c>
      <c r="K1623" s="8">
        <f>IF(AND(Таблицаx_2[[#This Row],[Месяц окончания]]=Таблицаx_2[[#This Row],[Месяц]],Таблицаx_2[[#This Row],[id]]=A1624,EDATE(Таблицаx_2[[#This Row],[Месяц]],2)=D1624),F1624,0)</f>
        <v>0</v>
      </c>
    </row>
    <row r="1624" spans="1:11" ht="12.75" hidden="1" customHeight="1" x14ac:dyDescent="0.2">
      <c r="A1624" s="8">
        <v>569</v>
      </c>
      <c r="B1624" s="8" t="s">
        <v>52</v>
      </c>
      <c r="C1624" s="8" t="s">
        <v>11</v>
      </c>
      <c r="D1624" s="12">
        <v>45017</v>
      </c>
      <c r="E1624" s="8">
        <v>36415</v>
      </c>
      <c r="F1624" s="10">
        <f>IF(ISTEXT(Таблицаx_2[[#This Row],[Значение]]), 0, Таблицаx_2[[#This Row],[Значение]])</f>
        <v>36415</v>
      </c>
      <c r="G1624" s="12">
        <v>45078</v>
      </c>
      <c r="H1624" s="10" t="str">
        <f>IFERROR(VLOOKUP(Таблицаx_2[[#This Row],[id]],prolongations!A:C,2,)," ")</f>
        <v>июнь 2023</v>
      </c>
      <c r="I1624" s="10">
        <f>IF(Таблицаx_2[[#This Row],[Месяц окончания]]=Таблицаx_2[[#This Row],[Месяц]],Таблицаx_2[[#This Row],[Значения числа]],0)</f>
        <v>0</v>
      </c>
      <c r="J1624" s="8">
        <f>IF(AND(Таблицаx_2[[#This Row],[Месяц окончания]]=Таблицаx_2[[#This Row],[Месяц]],Таблицаx_2[[#This Row],[id]]=A1625,EDATE(Таблицаx_2[[#This Row],[Месяц]],1)=D1625),F1625,0)</f>
        <v>0</v>
      </c>
      <c r="K1624" s="8">
        <f>IF(AND(Таблицаx_2[[#This Row],[Месяц окончания]]=Таблицаx_2[[#This Row],[Месяц]],Таблицаx_2[[#This Row],[id]]=A1625,EDATE(Таблицаx_2[[#This Row],[Месяц]],2)=D1625),F1625,0)</f>
        <v>0</v>
      </c>
    </row>
    <row r="1625" spans="1:11" ht="12.75" hidden="1" customHeight="1" x14ac:dyDescent="0.2">
      <c r="A1625" s="8">
        <v>569</v>
      </c>
      <c r="B1625" s="8" t="s">
        <v>52</v>
      </c>
      <c r="C1625" s="8" t="s">
        <v>11</v>
      </c>
      <c r="D1625" s="12">
        <v>45047</v>
      </c>
      <c r="E1625" s="8">
        <v>36415</v>
      </c>
      <c r="F1625" s="10">
        <f>IF(ISTEXT(Таблицаx_2[[#This Row],[Значение]]), 0, Таблицаx_2[[#This Row],[Значение]])</f>
        <v>36415</v>
      </c>
      <c r="G1625" s="12">
        <v>45078</v>
      </c>
      <c r="H1625" s="10" t="str">
        <f>IFERROR(VLOOKUP(Таблицаx_2[[#This Row],[id]],prolongations!A:C,2,)," ")</f>
        <v>июнь 2023</v>
      </c>
      <c r="I1625" s="10">
        <f>IF(Таблицаx_2[[#This Row],[Месяц окончания]]=Таблицаx_2[[#This Row],[Месяц]],Таблицаx_2[[#This Row],[Значения числа]],0)</f>
        <v>0</v>
      </c>
      <c r="J1625" s="8">
        <f>IF(AND(Таблицаx_2[[#This Row],[Месяц окончания]]=Таблицаx_2[[#This Row],[Месяц]],Таблицаx_2[[#This Row],[id]]=A1626,EDATE(Таблицаx_2[[#This Row],[Месяц]],1)=D1626),F1626,0)</f>
        <v>0</v>
      </c>
      <c r="K1625" s="8">
        <f>IF(AND(Таблицаx_2[[#This Row],[Месяц окончания]]=Таблицаx_2[[#This Row],[Месяц]],Таблицаx_2[[#This Row],[id]]=A1626,EDATE(Таблицаx_2[[#This Row],[Месяц]],2)=D1626),F1626,0)</f>
        <v>0</v>
      </c>
    </row>
    <row r="1626" spans="1:11" ht="12.75" hidden="1" customHeight="1" x14ac:dyDescent="0.2">
      <c r="A1626" s="8">
        <v>569</v>
      </c>
      <c r="B1626" s="8" t="s">
        <v>52</v>
      </c>
      <c r="C1626" s="8" t="s">
        <v>11</v>
      </c>
      <c r="D1626" s="12">
        <v>45078</v>
      </c>
      <c r="E1626" s="8">
        <v>36415</v>
      </c>
      <c r="F1626" s="10">
        <f>IF(ISTEXT(Таблицаx_2[[#This Row],[Значение]]), 0, Таблицаx_2[[#This Row],[Значение]])</f>
        <v>36415</v>
      </c>
      <c r="G1626" s="12">
        <v>45078</v>
      </c>
      <c r="H1626" s="10" t="str">
        <f>IFERROR(VLOOKUP(Таблицаx_2[[#This Row],[id]],prolongations!A:C,2,)," ")</f>
        <v>июнь 2023</v>
      </c>
      <c r="I1626" s="10">
        <f>IF(Таблицаx_2[[#This Row],[Месяц окончания]]=Таблицаx_2[[#This Row],[Месяц]],Таблицаx_2[[#This Row],[Значения числа]],0)</f>
        <v>36415</v>
      </c>
      <c r="J1626" s="8">
        <f>IF(AND(Таблицаx_2[[#This Row],[Месяц окончания]]=Таблицаx_2[[#This Row],[Месяц]],Таблицаx_2[[#This Row],[id]]=A1627,EDATE(Таблицаx_2[[#This Row],[Месяц]],1)=D1627),F1627,0)</f>
        <v>34225</v>
      </c>
      <c r="K1626" s="8">
        <f>IF(AND(Таблицаx_2[[#This Row],[Месяц окончания]]=Таблицаx_2[[#This Row],[Месяц]],Таблицаx_2[[#This Row],[id]]=A1627,EDATE(Таблицаx_2[[#This Row],[Месяц]],2)=D1627),F1627,0)</f>
        <v>0</v>
      </c>
    </row>
    <row r="1627" spans="1:11" ht="12.75" hidden="1" customHeight="1" x14ac:dyDescent="0.2">
      <c r="A1627" s="8">
        <v>569</v>
      </c>
      <c r="B1627" s="8" t="s">
        <v>52</v>
      </c>
      <c r="C1627" s="8" t="s">
        <v>11</v>
      </c>
      <c r="D1627" s="12">
        <v>45108</v>
      </c>
      <c r="E1627" s="8">
        <v>34225</v>
      </c>
      <c r="F1627" s="10">
        <f>IF(ISTEXT(Таблицаx_2[[#This Row],[Значение]]), 0, Таблицаx_2[[#This Row],[Значение]])</f>
        <v>34225</v>
      </c>
      <c r="G1627" s="12">
        <v>45078</v>
      </c>
      <c r="H1627" s="10" t="str">
        <f>IFERROR(VLOOKUP(Таблицаx_2[[#This Row],[id]],prolongations!A:C,2,)," ")</f>
        <v>июнь 2023</v>
      </c>
      <c r="I1627" s="10">
        <f>IF(Таблицаx_2[[#This Row],[Месяц окончания]]=Таблицаx_2[[#This Row],[Месяц]],Таблицаx_2[[#This Row],[Значения числа]],0)</f>
        <v>0</v>
      </c>
      <c r="J1627" s="8">
        <f>IF(AND(Таблицаx_2[[#This Row],[Месяц окончания]]=Таблицаx_2[[#This Row],[Месяц]],Таблицаx_2[[#This Row],[id]]=A1628,EDATE(Таблицаx_2[[#This Row],[Месяц]],1)=D1628),F1628,0)</f>
        <v>0</v>
      </c>
      <c r="K1627" s="8">
        <f>IF(AND(Таблицаx_2[[#This Row],[Месяц окончания]]=Таблицаx_2[[#This Row],[Месяц]],Таблицаx_2[[#This Row],[id]]=A1628,EDATE(Таблицаx_2[[#This Row],[Месяц]],2)=D1628),F1628,0)</f>
        <v>0</v>
      </c>
    </row>
    <row r="1628" spans="1:11" ht="12.75" hidden="1" customHeight="1" x14ac:dyDescent="0.2">
      <c r="A1628" s="8">
        <v>569</v>
      </c>
      <c r="B1628" s="8" t="s">
        <v>52</v>
      </c>
      <c r="C1628" s="8" t="s">
        <v>11</v>
      </c>
      <c r="D1628" s="12">
        <v>45139</v>
      </c>
      <c r="E1628" s="8">
        <v>34225</v>
      </c>
      <c r="F1628" s="10">
        <f>IF(ISTEXT(Таблицаx_2[[#This Row],[Значение]]), 0, Таблицаx_2[[#This Row],[Значение]])</f>
        <v>34225</v>
      </c>
      <c r="G1628" s="12">
        <v>45078</v>
      </c>
      <c r="H1628" s="10" t="str">
        <f>IFERROR(VLOOKUP(Таблицаx_2[[#This Row],[id]],prolongations!A:C,2,)," ")</f>
        <v>июнь 2023</v>
      </c>
      <c r="I1628" s="10">
        <f>IF(Таблицаx_2[[#This Row],[Месяц окончания]]=Таблицаx_2[[#This Row],[Месяц]],Таблицаx_2[[#This Row],[Значения числа]],0)</f>
        <v>0</v>
      </c>
      <c r="J1628" s="8">
        <f>IF(AND(Таблицаx_2[[#This Row],[Месяц окончания]]=Таблицаx_2[[#This Row],[Месяц]],Таблицаx_2[[#This Row],[id]]=A1629,EDATE(Таблицаx_2[[#This Row],[Месяц]],1)=D1629),F1629,0)</f>
        <v>0</v>
      </c>
      <c r="K1628" s="8">
        <f>IF(AND(Таблицаx_2[[#This Row],[Месяц окончания]]=Таблицаx_2[[#This Row],[Месяц]],Таблицаx_2[[#This Row],[id]]=A1629,EDATE(Таблицаx_2[[#This Row],[Месяц]],2)=D1629),F1629,0)</f>
        <v>0</v>
      </c>
    </row>
    <row r="1629" spans="1:11" ht="12.75" hidden="1" customHeight="1" x14ac:dyDescent="0.2">
      <c r="A1629" s="8">
        <v>569</v>
      </c>
      <c r="B1629" s="8" t="s">
        <v>52</v>
      </c>
      <c r="C1629" s="8" t="s">
        <v>11</v>
      </c>
      <c r="D1629" s="12">
        <v>45170</v>
      </c>
      <c r="E1629" s="8">
        <v>34225</v>
      </c>
      <c r="F1629" s="10">
        <f>IF(ISTEXT(Таблицаx_2[[#This Row],[Значение]]), 0, Таблицаx_2[[#This Row],[Значение]])</f>
        <v>34225</v>
      </c>
      <c r="G1629" s="12">
        <v>45078</v>
      </c>
      <c r="H1629" s="10" t="str">
        <f>IFERROR(VLOOKUP(Таблицаx_2[[#This Row],[id]],prolongations!A:C,2,)," ")</f>
        <v>июнь 2023</v>
      </c>
      <c r="I1629" s="10">
        <f>IF(Таблицаx_2[[#This Row],[Месяц окончания]]=Таблицаx_2[[#This Row],[Месяц]],Таблицаx_2[[#This Row],[Значения числа]],0)</f>
        <v>0</v>
      </c>
      <c r="J1629" s="8">
        <f>IF(AND(Таблицаx_2[[#This Row],[Месяц окончания]]=Таблицаx_2[[#This Row],[Месяц]],Таблицаx_2[[#This Row],[id]]=A1630,EDATE(Таблицаx_2[[#This Row],[Месяц]],1)=D1630),F1630,0)</f>
        <v>0</v>
      </c>
      <c r="K1629" s="8">
        <f>IF(AND(Таблицаx_2[[#This Row],[Месяц окончания]]=Таблицаx_2[[#This Row],[Месяц]],Таблицаx_2[[#This Row],[id]]=A1630,EDATE(Таблицаx_2[[#This Row],[Месяц]],2)=D1630),F1630,0)</f>
        <v>0</v>
      </c>
    </row>
    <row r="1630" spans="1:11" ht="12.75" hidden="1" customHeight="1" x14ac:dyDescent="0.2">
      <c r="A1630" s="8">
        <v>569</v>
      </c>
      <c r="B1630" s="8" t="s">
        <v>52</v>
      </c>
      <c r="C1630" s="8" t="s">
        <v>11</v>
      </c>
      <c r="D1630" s="12">
        <v>45200</v>
      </c>
      <c r="E1630" s="8">
        <v>34225</v>
      </c>
      <c r="F1630" s="10">
        <f>IF(ISTEXT(Таблицаx_2[[#This Row],[Значение]]), 0, Таблицаx_2[[#This Row],[Значение]])</f>
        <v>34225</v>
      </c>
      <c r="G1630" s="12">
        <v>45078</v>
      </c>
      <c r="H1630" s="10" t="str">
        <f>IFERROR(VLOOKUP(Таблицаx_2[[#This Row],[id]],prolongations!A:C,2,)," ")</f>
        <v>июнь 2023</v>
      </c>
      <c r="I1630" s="10">
        <f>IF(Таблицаx_2[[#This Row],[Месяц окончания]]=Таблицаx_2[[#This Row],[Месяц]],Таблицаx_2[[#This Row],[Значения числа]],0)</f>
        <v>0</v>
      </c>
      <c r="J1630" s="8">
        <f>IF(AND(Таблицаx_2[[#This Row],[Месяц окончания]]=Таблицаx_2[[#This Row],[Месяц]],Таблицаx_2[[#This Row],[id]]=A1631,EDATE(Таблицаx_2[[#This Row],[Месяц]],1)=D1631),F1631,0)</f>
        <v>0</v>
      </c>
      <c r="K1630" s="8">
        <f>IF(AND(Таблицаx_2[[#This Row],[Месяц окончания]]=Таблицаx_2[[#This Row],[Месяц]],Таблицаx_2[[#This Row],[id]]=A1631,EDATE(Таблицаx_2[[#This Row],[Месяц]],2)=D1631),F1631,0)</f>
        <v>0</v>
      </c>
    </row>
    <row r="1631" spans="1:11" ht="12.75" hidden="1" customHeight="1" x14ac:dyDescent="0.2">
      <c r="A1631" s="8">
        <v>569</v>
      </c>
      <c r="B1631" s="8" t="s">
        <v>52</v>
      </c>
      <c r="C1631" s="8" t="s">
        <v>11</v>
      </c>
      <c r="D1631" s="12">
        <v>45231</v>
      </c>
      <c r="E1631" s="8">
        <v>34225</v>
      </c>
      <c r="F1631" s="10">
        <f>IF(ISTEXT(Таблицаx_2[[#This Row],[Значение]]), 0, Таблицаx_2[[#This Row],[Значение]])</f>
        <v>34225</v>
      </c>
      <c r="G1631" s="12">
        <v>45078</v>
      </c>
      <c r="H1631" s="10" t="str">
        <f>IFERROR(VLOOKUP(Таблицаx_2[[#This Row],[id]],prolongations!A:C,2,)," ")</f>
        <v>июнь 2023</v>
      </c>
      <c r="I1631" s="10">
        <f>IF(Таблицаx_2[[#This Row],[Месяц окончания]]=Таблицаx_2[[#This Row],[Месяц]],Таблицаx_2[[#This Row],[Значения числа]],0)</f>
        <v>0</v>
      </c>
      <c r="J1631" s="8">
        <f>IF(AND(Таблицаx_2[[#This Row],[Месяц окончания]]=Таблицаx_2[[#This Row],[Месяц]],Таблицаx_2[[#This Row],[id]]=A1632,EDATE(Таблицаx_2[[#This Row],[Месяц]],1)=D1632),F1632,0)</f>
        <v>0</v>
      </c>
      <c r="K1631" s="8">
        <f>IF(AND(Таблицаx_2[[#This Row],[Месяц окончания]]=Таблицаx_2[[#This Row],[Месяц]],Таблицаx_2[[#This Row],[id]]=A1632,EDATE(Таблицаx_2[[#This Row],[Месяц]],2)=D1632),F1632,0)</f>
        <v>0</v>
      </c>
    </row>
    <row r="1632" spans="1:11" ht="12.75" hidden="1" customHeight="1" x14ac:dyDescent="0.2">
      <c r="A1632" s="8">
        <v>569</v>
      </c>
      <c r="B1632" s="8" t="s">
        <v>52</v>
      </c>
      <c r="C1632" s="8" t="s">
        <v>11</v>
      </c>
      <c r="D1632" s="12">
        <v>45261</v>
      </c>
      <c r="E1632" s="8">
        <v>34225</v>
      </c>
      <c r="F1632" s="10">
        <f>IF(ISTEXT(Таблицаx_2[[#This Row],[Значение]]), 0, Таблицаx_2[[#This Row],[Значение]])</f>
        <v>34225</v>
      </c>
      <c r="G1632" s="12">
        <v>45078</v>
      </c>
      <c r="H1632" s="10" t="str">
        <f>IFERROR(VLOOKUP(Таблицаx_2[[#This Row],[id]],prolongations!A:C,2,)," ")</f>
        <v>июнь 2023</v>
      </c>
      <c r="I1632" s="10">
        <f>IF(Таблицаx_2[[#This Row],[Месяц окончания]]=Таблицаx_2[[#This Row],[Месяц]],Таблицаx_2[[#This Row],[Значения числа]],0)</f>
        <v>0</v>
      </c>
      <c r="J1632" s="8">
        <f>IF(AND(Таблицаx_2[[#This Row],[Месяц окончания]]=Таблицаx_2[[#This Row],[Месяц]],Таблицаx_2[[#This Row],[id]]=A1633,EDATE(Таблицаx_2[[#This Row],[Месяц]],1)=D1633),F1633,0)</f>
        <v>0</v>
      </c>
      <c r="K1632" s="8">
        <f>IF(AND(Таблицаx_2[[#This Row],[Месяц окончания]]=Таблицаx_2[[#This Row],[Месяц]],Таблицаx_2[[#This Row],[id]]=A1633,EDATE(Таблицаx_2[[#This Row],[Месяц]],2)=D1633),F1633,0)</f>
        <v>0</v>
      </c>
    </row>
    <row r="1633" spans="1:11" ht="12.75" hidden="1" customHeight="1" x14ac:dyDescent="0.2">
      <c r="A1633" s="8">
        <v>569</v>
      </c>
      <c r="B1633" s="8" t="s">
        <v>52</v>
      </c>
      <c r="C1633" s="8" t="s">
        <v>11</v>
      </c>
      <c r="D1633" s="12">
        <v>45292</v>
      </c>
      <c r="E1633" s="8">
        <v>40200</v>
      </c>
      <c r="F1633" s="10">
        <f>IF(ISTEXT(Таблицаx_2[[#This Row],[Значение]]), 0, Таблицаx_2[[#This Row],[Значение]])</f>
        <v>40200</v>
      </c>
      <c r="G1633" s="12">
        <v>45078</v>
      </c>
      <c r="H1633" s="10" t="str">
        <f>IFERROR(VLOOKUP(Таблицаx_2[[#This Row],[id]],prolongations!A:C,2,)," ")</f>
        <v>июнь 2023</v>
      </c>
      <c r="I1633" s="10">
        <f>IF(Таблицаx_2[[#This Row],[Месяц окончания]]=Таблицаx_2[[#This Row],[Месяц]],Таблицаx_2[[#This Row],[Значения числа]],0)</f>
        <v>0</v>
      </c>
      <c r="J1633" s="8">
        <f>IF(AND(Таблицаx_2[[#This Row],[Месяц окончания]]=Таблицаx_2[[#This Row],[Месяц]],Таблицаx_2[[#This Row],[id]]=A1634,EDATE(Таблицаx_2[[#This Row],[Месяц]],1)=D1634),F1634,0)</f>
        <v>0</v>
      </c>
      <c r="K1633" s="8">
        <f>IF(AND(Таблицаx_2[[#This Row],[Месяц окончания]]=Таблицаx_2[[#This Row],[Месяц]],Таблицаx_2[[#This Row],[id]]=A1634,EDATE(Таблицаx_2[[#This Row],[Месяц]],2)=D1634),F1634,0)</f>
        <v>0</v>
      </c>
    </row>
    <row r="1634" spans="1:11" ht="12.75" hidden="1" customHeight="1" x14ac:dyDescent="0.2">
      <c r="A1634" s="8">
        <v>569</v>
      </c>
      <c r="B1634" s="8" t="s">
        <v>52</v>
      </c>
      <c r="C1634" s="8" t="s">
        <v>11</v>
      </c>
      <c r="D1634" s="12">
        <v>45323</v>
      </c>
      <c r="E1634" s="8">
        <v>40200</v>
      </c>
      <c r="F1634" s="10">
        <f>IF(ISTEXT(Таблицаx_2[[#This Row],[Значение]]), 0, Таблицаx_2[[#This Row],[Значение]])</f>
        <v>40200</v>
      </c>
      <c r="G1634" s="12">
        <v>45078</v>
      </c>
      <c r="H1634" s="10" t="str">
        <f>IFERROR(VLOOKUP(Таблицаx_2[[#This Row],[id]],prolongations!A:C,2,)," ")</f>
        <v>июнь 2023</v>
      </c>
      <c r="I1634" s="10">
        <f>IF(Таблицаx_2[[#This Row],[Месяц окончания]]=Таблицаx_2[[#This Row],[Месяц]],Таблицаx_2[[#This Row],[Значения числа]],0)</f>
        <v>0</v>
      </c>
      <c r="J1634" s="8">
        <f>IF(AND(Таблицаx_2[[#This Row],[Месяц окончания]]=Таблицаx_2[[#This Row],[Месяц]],Таблицаx_2[[#This Row],[id]]=A1635,EDATE(Таблицаx_2[[#This Row],[Месяц]],1)=D1635),F1635,0)</f>
        <v>0</v>
      </c>
      <c r="K1634" s="8">
        <f>IF(AND(Таблицаx_2[[#This Row],[Месяц окончания]]=Таблицаx_2[[#This Row],[Месяц]],Таблицаx_2[[#This Row],[id]]=A1635,EDATE(Таблицаx_2[[#This Row],[Месяц]],2)=D1635),F1635,0)</f>
        <v>0</v>
      </c>
    </row>
    <row r="1635" spans="1:11" ht="12.75" hidden="1" customHeight="1" x14ac:dyDescent="0.2">
      <c r="A1635" s="8">
        <v>569</v>
      </c>
      <c r="B1635" s="8" t="s">
        <v>50</v>
      </c>
      <c r="C1635" s="8" t="s">
        <v>11</v>
      </c>
      <c r="D1635" s="12">
        <v>45108</v>
      </c>
      <c r="E1635" s="8">
        <v>11210</v>
      </c>
      <c r="F1635" s="10">
        <f>IF(ISTEXT(Таблицаx_2[[#This Row],[Значение]]), 0, Таблицаx_2[[#This Row],[Значение]])</f>
        <v>11210</v>
      </c>
      <c r="G1635" s="12">
        <v>45078</v>
      </c>
      <c r="H1635" s="10" t="str">
        <f>IFERROR(VLOOKUP(Таблицаx_2[[#This Row],[id]],prolongations!A:C,2,)," ")</f>
        <v>июнь 2023</v>
      </c>
      <c r="I1635" s="10">
        <f>IF(Таблицаx_2[[#This Row],[Месяц окончания]]=Таблицаx_2[[#This Row],[Месяц]],Таблицаx_2[[#This Row],[Значения числа]],0)</f>
        <v>0</v>
      </c>
      <c r="J1635" s="8">
        <f>IF(AND(Таблицаx_2[[#This Row],[Месяц окончания]]=Таблицаx_2[[#This Row],[Месяц]],Таблицаx_2[[#This Row],[id]]=A1636,EDATE(Таблицаx_2[[#This Row],[Месяц]],1)=D1636),F1636,0)</f>
        <v>0</v>
      </c>
      <c r="K1635" s="8">
        <f>IF(AND(Таблицаx_2[[#This Row],[Месяц окончания]]=Таблицаx_2[[#This Row],[Месяц]],Таблицаx_2[[#This Row],[id]]=A1636,EDATE(Таблицаx_2[[#This Row],[Месяц]],2)=D1636),F1636,0)</f>
        <v>0</v>
      </c>
    </row>
    <row r="1636" spans="1:11" ht="12.75" hidden="1" customHeight="1" x14ac:dyDescent="0.2">
      <c r="A1636" s="8">
        <v>569</v>
      </c>
      <c r="B1636" s="8" t="s">
        <v>50</v>
      </c>
      <c r="C1636" s="8" t="s">
        <v>11</v>
      </c>
      <c r="D1636" s="12">
        <v>45139</v>
      </c>
      <c r="E1636" s="8">
        <v>17540</v>
      </c>
      <c r="F1636" s="10">
        <f>IF(ISTEXT(Таблицаx_2[[#This Row],[Значение]]), 0, Таблицаx_2[[#This Row],[Значение]])</f>
        <v>17540</v>
      </c>
      <c r="G1636" s="12">
        <v>45078</v>
      </c>
      <c r="H1636" s="10" t="str">
        <f>IFERROR(VLOOKUP(Таблицаx_2[[#This Row],[id]],prolongations!A:C,2,)," ")</f>
        <v>июнь 2023</v>
      </c>
      <c r="I1636" s="10">
        <f>IF(Таблицаx_2[[#This Row],[Месяц окончания]]=Таблицаx_2[[#This Row],[Месяц]],Таблицаx_2[[#This Row],[Значения числа]],0)</f>
        <v>0</v>
      </c>
      <c r="J1636" s="8">
        <f>IF(AND(Таблицаx_2[[#This Row],[Месяц окончания]]=Таблицаx_2[[#This Row],[Месяц]],Таблицаx_2[[#This Row],[id]]=A1637,EDATE(Таблицаx_2[[#This Row],[Месяц]],1)=D1637),F1637,0)</f>
        <v>0</v>
      </c>
      <c r="K1636" s="8">
        <f>IF(AND(Таблицаx_2[[#This Row],[Месяц окончания]]=Таблицаx_2[[#This Row],[Месяц]],Таблицаx_2[[#This Row],[id]]=A1637,EDATE(Таблицаx_2[[#This Row],[Месяц]],2)=D1637),F1637,0)</f>
        <v>0</v>
      </c>
    </row>
    <row r="1637" spans="1:11" ht="12.75" hidden="1" customHeight="1" x14ac:dyDescent="0.2">
      <c r="A1637" s="8">
        <v>569</v>
      </c>
      <c r="B1637" s="8" t="s">
        <v>50</v>
      </c>
      <c r="C1637" s="8" t="s">
        <v>11</v>
      </c>
      <c r="D1637" s="12">
        <v>45170</v>
      </c>
      <c r="E1637" s="8">
        <v>12875</v>
      </c>
      <c r="F1637" s="10">
        <f>IF(ISTEXT(Таблицаx_2[[#This Row],[Значение]]), 0, Таблицаx_2[[#This Row],[Значение]])</f>
        <v>12875</v>
      </c>
      <c r="G1637" s="12">
        <v>45078</v>
      </c>
      <c r="H1637" s="10" t="str">
        <f>IFERROR(VLOOKUP(Таблицаx_2[[#This Row],[id]],prolongations!A:C,2,)," ")</f>
        <v>июнь 2023</v>
      </c>
      <c r="I1637" s="10">
        <f>IF(Таблицаx_2[[#This Row],[Месяц окончания]]=Таблицаx_2[[#This Row],[Месяц]],Таблицаx_2[[#This Row],[Значения числа]],0)</f>
        <v>0</v>
      </c>
      <c r="J1637" s="8">
        <f>IF(AND(Таблицаx_2[[#This Row],[Месяц окончания]]=Таблицаx_2[[#This Row],[Месяц]],Таблицаx_2[[#This Row],[id]]=A1638,EDATE(Таблицаx_2[[#This Row],[Месяц]],1)=D1638),F1638,0)</f>
        <v>0</v>
      </c>
      <c r="K1637" s="8">
        <f>IF(AND(Таблицаx_2[[#This Row],[Месяц окончания]]=Таблицаx_2[[#This Row],[Месяц]],Таблицаx_2[[#This Row],[id]]=A1638,EDATE(Таблицаx_2[[#This Row],[Месяц]],2)=D1638),F1638,0)</f>
        <v>0</v>
      </c>
    </row>
    <row r="1638" spans="1:11" ht="12.75" hidden="1" customHeight="1" x14ac:dyDescent="0.2">
      <c r="A1638" s="8">
        <v>569</v>
      </c>
      <c r="B1638" s="8" t="s">
        <v>50</v>
      </c>
      <c r="C1638" s="8" t="s">
        <v>11</v>
      </c>
      <c r="D1638" s="12">
        <v>45200</v>
      </c>
      <c r="E1638" s="8">
        <v>10765</v>
      </c>
      <c r="F1638" s="10">
        <f>IF(ISTEXT(Таблицаx_2[[#This Row],[Значение]]), 0, Таблицаx_2[[#This Row],[Значение]])</f>
        <v>10765</v>
      </c>
      <c r="G1638" s="12">
        <v>45078</v>
      </c>
      <c r="H1638" s="10" t="str">
        <f>IFERROR(VLOOKUP(Таблицаx_2[[#This Row],[id]],prolongations!A:C,2,)," ")</f>
        <v>июнь 2023</v>
      </c>
      <c r="I1638" s="10">
        <f>IF(Таблицаx_2[[#This Row],[Месяц окончания]]=Таблицаx_2[[#This Row],[Месяц]],Таблицаx_2[[#This Row],[Значения числа]],0)</f>
        <v>0</v>
      </c>
      <c r="J1638" s="8">
        <f>IF(AND(Таблицаx_2[[#This Row],[Месяц окончания]]=Таблицаx_2[[#This Row],[Месяц]],Таблицаx_2[[#This Row],[id]]=A1639,EDATE(Таблицаx_2[[#This Row],[Месяц]],1)=D1639),F1639,0)</f>
        <v>0</v>
      </c>
      <c r="K1638" s="8">
        <f>IF(AND(Таблицаx_2[[#This Row],[Месяц окончания]]=Таблицаx_2[[#This Row],[Месяц]],Таблицаx_2[[#This Row],[id]]=A1639,EDATE(Таблицаx_2[[#This Row],[Месяц]],2)=D1639),F1639,0)</f>
        <v>0</v>
      </c>
    </row>
    <row r="1639" spans="1:11" ht="12.75" hidden="1" customHeight="1" x14ac:dyDescent="0.2">
      <c r="A1639" s="8">
        <v>569</v>
      </c>
      <c r="B1639" s="8" t="s">
        <v>50</v>
      </c>
      <c r="C1639" s="8" t="s">
        <v>11</v>
      </c>
      <c r="D1639" s="12">
        <v>45231</v>
      </c>
      <c r="E1639" s="8">
        <v>14985</v>
      </c>
      <c r="F1639" s="10">
        <f>IF(ISTEXT(Таблицаx_2[[#This Row],[Значение]]), 0, Таблицаx_2[[#This Row],[Значение]])</f>
        <v>14985</v>
      </c>
      <c r="G1639" s="12">
        <v>45078</v>
      </c>
      <c r="H1639" s="10" t="str">
        <f>IFERROR(VLOOKUP(Таблицаx_2[[#This Row],[id]],prolongations!A:C,2,)," ")</f>
        <v>июнь 2023</v>
      </c>
      <c r="I1639" s="10">
        <f>IF(Таблицаx_2[[#This Row],[Месяц окончания]]=Таблицаx_2[[#This Row],[Месяц]],Таблицаx_2[[#This Row],[Значения числа]],0)</f>
        <v>0</v>
      </c>
      <c r="J1639" s="8">
        <f>IF(AND(Таблицаx_2[[#This Row],[Месяц окончания]]=Таблицаx_2[[#This Row],[Месяц]],Таблицаx_2[[#This Row],[id]]=A1640,EDATE(Таблицаx_2[[#This Row],[Месяц]],1)=D1640),F1640,0)</f>
        <v>0</v>
      </c>
      <c r="K1639" s="8">
        <f>IF(AND(Таблицаx_2[[#This Row],[Месяц окончания]]=Таблицаx_2[[#This Row],[Месяц]],Таблицаx_2[[#This Row],[id]]=A1640,EDATE(Таблицаx_2[[#This Row],[Месяц]],2)=D1640),F1640,0)</f>
        <v>0</v>
      </c>
    </row>
    <row r="1640" spans="1:11" ht="12.75" hidden="1" customHeight="1" x14ac:dyDescent="0.2">
      <c r="A1640" s="8">
        <v>569</v>
      </c>
      <c r="B1640" s="8" t="s">
        <v>50</v>
      </c>
      <c r="C1640" s="8" t="s">
        <v>11</v>
      </c>
      <c r="D1640" s="12">
        <v>45261</v>
      </c>
      <c r="E1640" s="8">
        <v>12875</v>
      </c>
      <c r="F1640" s="10">
        <f>IF(ISTEXT(Таблицаx_2[[#This Row],[Значение]]), 0, Таблицаx_2[[#This Row],[Значение]])</f>
        <v>12875</v>
      </c>
      <c r="G1640" s="12">
        <v>45078</v>
      </c>
      <c r="H1640" s="10" t="str">
        <f>IFERROR(VLOOKUP(Таблицаx_2[[#This Row],[id]],prolongations!A:C,2,)," ")</f>
        <v>июнь 2023</v>
      </c>
      <c r="I1640" s="10">
        <f>IF(Таблицаx_2[[#This Row],[Месяц окончания]]=Таблицаx_2[[#This Row],[Месяц]],Таблицаx_2[[#This Row],[Значения числа]],0)</f>
        <v>0</v>
      </c>
      <c r="J1640" s="8">
        <f>IF(AND(Таблицаx_2[[#This Row],[Месяц окончания]]=Таблицаx_2[[#This Row],[Месяц]],Таблицаx_2[[#This Row],[id]]=A1641,EDATE(Таблицаx_2[[#This Row],[Месяц]],1)=D1641),F1641,0)</f>
        <v>0</v>
      </c>
      <c r="K1640" s="8">
        <f>IF(AND(Таблицаx_2[[#This Row],[Месяц окончания]]=Таблицаx_2[[#This Row],[Месяц]],Таблицаx_2[[#This Row],[id]]=A1641,EDATE(Таблицаx_2[[#This Row],[Месяц]],2)=D1641),F1641,0)</f>
        <v>0</v>
      </c>
    </row>
    <row r="1641" spans="1:11" ht="12.75" hidden="1" customHeight="1" x14ac:dyDescent="0.2">
      <c r="A1641" s="8">
        <v>569</v>
      </c>
      <c r="B1641" s="8" t="s">
        <v>50</v>
      </c>
      <c r="C1641" s="8" t="s">
        <v>11</v>
      </c>
      <c r="D1641" s="12">
        <v>45292</v>
      </c>
      <c r="E1641" s="8">
        <v>16700</v>
      </c>
      <c r="F1641" s="10">
        <f>IF(ISTEXT(Таблицаx_2[[#This Row],[Значение]]), 0, Таблицаx_2[[#This Row],[Значение]])</f>
        <v>16700</v>
      </c>
      <c r="G1641" s="12">
        <v>45078</v>
      </c>
      <c r="H1641" s="10" t="str">
        <f>IFERROR(VLOOKUP(Таблицаx_2[[#This Row],[id]],prolongations!A:C,2,)," ")</f>
        <v>июнь 2023</v>
      </c>
      <c r="I1641" s="10">
        <f>IF(Таблицаx_2[[#This Row],[Месяц окончания]]=Таблицаx_2[[#This Row],[Месяц]],Таблицаx_2[[#This Row],[Значения числа]],0)</f>
        <v>0</v>
      </c>
      <c r="J1641" s="8">
        <f>IF(AND(Таблицаx_2[[#This Row],[Месяц окончания]]=Таблицаx_2[[#This Row],[Месяц]],Таблицаx_2[[#This Row],[id]]=A1642,EDATE(Таблицаx_2[[#This Row],[Месяц]],1)=D1642),F1642,0)</f>
        <v>0</v>
      </c>
      <c r="K1641" s="8">
        <f>IF(AND(Таблицаx_2[[#This Row],[Месяц окончания]]=Таблицаx_2[[#This Row],[Месяц]],Таблицаx_2[[#This Row],[id]]=A1642,EDATE(Таблицаx_2[[#This Row],[Месяц]],2)=D1642),F1642,0)</f>
        <v>0</v>
      </c>
    </row>
    <row r="1642" spans="1:11" ht="12.75" hidden="1" customHeight="1" x14ac:dyDescent="0.2">
      <c r="A1642" s="8">
        <v>569</v>
      </c>
      <c r="B1642" s="8" t="s">
        <v>50</v>
      </c>
      <c r="C1642" s="8" t="s">
        <v>11</v>
      </c>
      <c r="D1642" s="12">
        <v>45323</v>
      </c>
      <c r="E1642" s="8">
        <v>19500</v>
      </c>
      <c r="F1642" s="10">
        <f>IF(ISTEXT(Таблицаx_2[[#This Row],[Значение]]), 0, Таблицаx_2[[#This Row],[Значение]])</f>
        <v>19500</v>
      </c>
      <c r="G1642" s="12">
        <v>45078</v>
      </c>
      <c r="H1642" s="10" t="str">
        <f>IFERROR(VLOOKUP(Таблицаx_2[[#This Row],[id]],prolongations!A:C,2,)," ")</f>
        <v>июнь 2023</v>
      </c>
      <c r="I1642" s="10">
        <f>IF(Таблицаx_2[[#This Row],[Месяц окончания]]=Таблицаx_2[[#This Row],[Месяц]],Таблицаx_2[[#This Row],[Значения числа]],0)</f>
        <v>0</v>
      </c>
      <c r="J1642" s="8">
        <f>IF(AND(Таблицаx_2[[#This Row],[Месяц окончания]]=Таблицаx_2[[#This Row],[Месяц]],Таблицаx_2[[#This Row],[id]]=A1643,EDATE(Таблицаx_2[[#This Row],[Месяц]],1)=D1643),F1643,0)</f>
        <v>0</v>
      </c>
      <c r="K1642" s="8">
        <f>IF(AND(Таблицаx_2[[#This Row],[Месяц окончания]]=Таблицаx_2[[#This Row],[Месяц]],Таблицаx_2[[#This Row],[id]]=A1643,EDATE(Таблицаx_2[[#This Row],[Месяц]],2)=D1643),F1643,0)</f>
        <v>0</v>
      </c>
    </row>
    <row r="1643" spans="1:11" ht="12.75" hidden="1" customHeight="1" x14ac:dyDescent="0.2">
      <c r="A1643" s="8">
        <v>597</v>
      </c>
      <c r="B1643" s="8" t="s">
        <v>45</v>
      </c>
      <c r="C1643" s="8" t="s">
        <v>4</v>
      </c>
      <c r="D1643" s="12">
        <v>44866</v>
      </c>
      <c r="E1643" s="8">
        <v>194850</v>
      </c>
      <c r="F1643" s="10">
        <f>IF(ISTEXT(Таблицаx_2[[#This Row],[Значение]]), 0, Таблицаx_2[[#This Row],[Значение]])</f>
        <v>194850</v>
      </c>
      <c r="G1643" s="12">
        <v>44896</v>
      </c>
      <c r="H1643" s="10" t="str">
        <f>IFERROR(VLOOKUP(Таблицаx_2[[#This Row],[id]],prolongations!A:C,2,)," ")</f>
        <v>декабрь 2022</v>
      </c>
      <c r="I1643" s="10">
        <f>IF(Таблицаx_2[[#This Row],[Месяц окончания]]=Таблицаx_2[[#This Row],[Месяц]],Таблицаx_2[[#This Row],[Значения числа]],0)</f>
        <v>0</v>
      </c>
      <c r="J1643" s="8">
        <f>IF(AND(Таблицаx_2[[#This Row],[Месяц окончания]]=Таблицаx_2[[#This Row],[Месяц]],Таблицаx_2[[#This Row],[id]]=A1644,EDATE(Таблицаx_2[[#This Row],[Месяц]],1)=D1644),F1644,0)</f>
        <v>0</v>
      </c>
      <c r="K1643" s="8">
        <f>IF(AND(Таблицаx_2[[#This Row],[Месяц окончания]]=Таблицаx_2[[#This Row],[Месяц]],Таблицаx_2[[#This Row],[id]]=A1644,EDATE(Таблицаx_2[[#This Row],[Месяц]],2)=D1644),F1644,0)</f>
        <v>0</v>
      </c>
    </row>
    <row r="1644" spans="1:11" hidden="1" x14ac:dyDescent="0.2">
      <c r="A1644" s="8">
        <v>597</v>
      </c>
      <c r="B1644" s="8" t="s">
        <v>45</v>
      </c>
      <c r="C1644" s="8" t="s">
        <v>4</v>
      </c>
      <c r="D1644" s="12">
        <v>44896</v>
      </c>
      <c r="E1644" s="8">
        <v>190675</v>
      </c>
      <c r="F1644" s="10">
        <f>IF(ISTEXT(Таблицаx_2[[#This Row],[Значение]]), 0, Таблицаx_2[[#This Row],[Значение]])</f>
        <v>190675</v>
      </c>
      <c r="G1644" s="12">
        <v>44896</v>
      </c>
      <c r="H1644" s="10" t="str">
        <f>IFERROR(VLOOKUP(Таблицаx_2[[#This Row],[id]],prolongations!A:C,2,)," ")</f>
        <v>декабрь 2022</v>
      </c>
      <c r="I1644" s="10">
        <f>IF(Таблицаx_2[[#This Row],[Месяц окончания]]=Таблицаx_2[[#This Row],[Месяц]],Таблицаx_2[[#This Row],[Значения числа]],0)</f>
        <v>190675</v>
      </c>
      <c r="J1644" s="8">
        <f>IF(AND(Таблицаx_2[[#This Row],[Месяц окончания]]=Таблицаx_2[[#This Row],[Месяц]],Таблицаx_2[[#This Row],[id]]=A1645,EDATE(Таблицаx_2[[#This Row],[Месяц]],1)=D1645),F1645,0)</f>
        <v>184016</v>
      </c>
      <c r="K1644" s="8">
        <f>IF(AND(Таблицаx_2[[#This Row],[Месяц окончания]]=Таблицаx_2[[#This Row],[Месяц]],Таблицаx_2[[#This Row],[id]]=A1645,EDATE(Таблицаx_2[[#This Row],[Месяц]],2)=D1645),F1645,0)</f>
        <v>0</v>
      </c>
    </row>
    <row r="1645" spans="1:11" ht="12.75" hidden="1" customHeight="1" x14ac:dyDescent="0.2">
      <c r="A1645" s="8">
        <v>597</v>
      </c>
      <c r="B1645" s="8" t="s">
        <v>45</v>
      </c>
      <c r="C1645" s="8" t="s">
        <v>4</v>
      </c>
      <c r="D1645" s="12">
        <v>44927</v>
      </c>
      <c r="E1645" s="8">
        <v>184016</v>
      </c>
      <c r="F1645" s="10">
        <f>IF(ISTEXT(Таблицаx_2[[#This Row],[Значение]]), 0, Таблицаx_2[[#This Row],[Значение]])</f>
        <v>184016</v>
      </c>
      <c r="G1645" s="12">
        <v>44896</v>
      </c>
      <c r="H1645" s="10" t="str">
        <f>IFERROR(VLOOKUP(Таблицаx_2[[#This Row],[id]],prolongations!A:C,2,)," ")</f>
        <v>декабрь 2022</v>
      </c>
      <c r="I1645" s="10">
        <f>IF(Таблицаx_2[[#This Row],[Месяц окончания]]=Таблицаx_2[[#This Row],[Месяц]],Таблицаx_2[[#This Row],[Значения числа]],0)</f>
        <v>0</v>
      </c>
      <c r="J1645" s="8">
        <f>IF(AND(Таблицаx_2[[#This Row],[Месяц окончания]]=Таблицаx_2[[#This Row],[Месяц]],Таблицаx_2[[#This Row],[id]]=A1646,EDATE(Таблицаx_2[[#This Row],[Месяц]],1)=D1646),F1646,0)</f>
        <v>0</v>
      </c>
      <c r="K1645" s="8">
        <f>IF(AND(Таблицаx_2[[#This Row],[Месяц окончания]]=Таблицаx_2[[#This Row],[Месяц]],Таблицаx_2[[#This Row],[id]]=A1646,EDATE(Таблицаx_2[[#This Row],[Месяц]],2)=D1646),F1646,0)</f>
        <v>0</v>
      </c>
    </row>
    <row r="1646" spans="1:11" ht="12.75" hidden="1" customHeight="1" x14ac:dyDescent="0.2">
      <c r="A1646" s="8">
        <v>597</v>
      </c>
      <c r="B1646" s="8" t="s">
        <v>45</v>
      </c>
      <c r="C1646" s="8" t="s">
        <v>4</v>
      </c>
      <c r="D1646" s="12">
        <v>44958</v>
      </c>
      <c r="E1646" s="8">
        <v>184016</v>
      </c>
      <c r="F1646" s="10">
        <f>IF(ISTEXT(Таблицаx_2[[#This Row],[Значение]]), 0, Таблицаx_2[[#This Row],[Значение]])</f>
        <v>184016</v>
      </c>
      <c r="G1646" s="12">
        <v>44896</v>
      </c>
      <c r="H1646" s="10" t="str">
        <f>IFERROR(VLOOKUP(Таблицаx_2[[#This Row],[id]],prolongations!A:C,2,)," ")</f>
        <v>декабрь 2022</v>
      </c>
      <c r="I1646" s="10">
        <f>IF(Таблицаx_2[[#This Row],[Месяц окончания]]=Таблицаx_2[[#This Row],[Месяц]],Таблицаx_2[[#This Row],[Значения числа]],0)</f>
        <v>0</v>
      </c>
      <c r="J1646" s="8">
        <f>IF(AND(Таблицаx_2[[#This Row],[Месяц окончания]]=Таблицаx_2[[#This Row],[Месяц]],Таблицаx_2[[#This Row],[id]]=A1647,EDATE(Таблицаx_2[[#This Row],[Месяц]],1)=D1647),F1647,0)</f>
        <v>0</v>
      </c>
      <c r="K1646" s="8">
        <f>IF(AND(Таблицаx_2[[#This Row],[Месяц окончания]]=Таблицаx_2[[#This Row],[Месяц]],Таблицаx_2[[#This Row],[id]]=A1647,EDATE(Таблицаx_2[[#This Row],[Месяц]],2)=D1647),F1647,0)</f>
        <v>0</v>
      </c>
    </row>
    <row r="1647" spans="1:11" ht="12.75" hidden="1" customHeight="1" x14ac:dyDescent="0.2">
      <c r="A1647" s="8">
        <v>597</v>
      </c>
      <c r="B1647" s="8" t="s">
        <v>45</v>
      </c>
      <c r="C1647" s="8" t="s">
        <v>4</v>
      </c>
      <c r="D1647" s="12">
        <v>44986</v>
      </c>
      <c r="E1647" s="8">
        <v>184016</v>
      </c>
      <c r="F1647" s="10">
        <f>IF(ISTEXT(Таблицаx_2[[#This Row],[Значение]]), 0, Таблицаx_2[[#This Row],[Значение]])</f>
        <v>184016</v>
      </c>
      <c r="G1647" s="12">
        <v>44896</v>
      </c>
      <c r="H1647" s="10" t="str">
        <f>IFERROR(VLOOKUP(Таблицаx_2[[#This Row],[id]],prolongations!A:C,2,)," ")</f>
        <v>декабрь 2022</v>
      </c>
      <c r="I1647" s="10">
        <f>IF(Таблицаx_2[[#This Row],[Месяц окончания]]=Таблицаx_2[[#This Row],[Месяц]],Таблицаx_2[[#This Row],[Значения числа]],0)</f>
        <v>0</v>
      </c>
      <c r="J1647" s="8">
        <f>IF(AND(Таблицаx_2[[#This Row],[Месяц окончания]]=Таблицаx_2[[#This Row],[Месяц]],Таблицаx_2[[#This Row],[id]]=A1648,EDATE(Таблицаx_2[[#This Row],[Месяц]],1)=D1648),F1648,0)</f>
        <v>0</v>
      </c>
      <c r="K1647" s="8">
        <f>IF(AND(Таблицаx_2[[#This Row],[Месяц окончания]]=Таблицаx_2[[#This Row],[Месяц]],Таблицаx_2[[#This Row],[id]]=A1648,EDATE(Таблицаx_2[[#This Row],[Месяц]],2)=D1648),F1648,0)</f>
        <v>0</v>
      </c>
    </row>
    <row r="1648" spans="1:11" ht="12.75" hidden="1" customHeight="1" x14ac:dyDescent="0.2">
      <c r="A1648" s="8">
        <v>597</v>
      </c>
      <c r="B1648" s="8" t="s">
        <v>45</v>
      </c>
      <c r="C1648" s="8" t="s">
        <v>4</v>
      </c>
      <c r="D1648" s="12">
        <v>45017</v>
      </c>
      <c r="E1648" s="8">
        <v>184016</v>
      </c>
      <c r="F1648" s="10">
        <f>IF(ISTEXT(Таблицаx_2[[#This Row],[Значение]]), 0, Таблицаx_2[[#This Row],[Значение]])</f>
        <v>184016</v>
      </c>
      <c r="G1648" s="12">
        <v>44896</v>
      </c>
      <c r="H1648" s="10" t="str">
        <f>IFERROR(VLOOKUP(Таблицаx_2[[#This Row],[id]],prolongations!A:C,2,)," ")</f>
        <v>декабрь 2022</v>
      </c>
      <c r="I1648" s="10">
        <f>IF(Таблицаx_2[[#This Row],[Месяц окончания]]=Таблицаx_2[[#This Row],[Месяц]],Таблицаx_2[[#This Row],[Значения числа]],0)</f>
        <v>0</v>
      </c>
      <c r="J1648" s="8">
        <f>IF(AND(Таблицаx_2[[#This Row],[Месяц окончания]]=Таблицаx_2[[#This Row],[Месяц]],Таблицаx_2[[#This Row],[id]]=A1649,EDATE(Таблицаx_2[[#This Row],[Месяц]],1)=D1649),F1649,0)</f>
        <v>0</v>
      </c>
      <c r="K1648" s="8">
        <f>IF(AND(Таблицаx_2[[#This Row],[Месяц окончания]]=Таблицаx_2[[#This Row],[Месяц]],Таблицаx_2[[#This Row],[id]]=A1649,EDATE(Таблицаx_2[[#This Row],[Месяц]],2)=D1649),F1649,0)</f>
        <v>0</v>
      </c>
    </row>
    <row r="1649" spans="1:11" ht="12.75" hidden="1" customHeight="1" x14ac:dyDescent="0.2">
      <c r="A1649" s="8">
        <v>597</v>
      </c>
      <c r="B1649" s="8" t="s">
        <v>45</v>
      </c>
      <c r="C1649" s="8" t="s">
        <v>4</v>
      </c>
      <c r="D1649" s="12">
        <v>45047</v>
      </c>
      <c r="E1649" s="8">
        <v>184016</v>
      </c>
      <c r="F1649" s="10">
        <f>IF(ISTEXT(Таблицаx_2[[#This Row],[Значение]]), 0, Таблицаx_2[[#This Row],[Значение]])</f>
        <v>184016</v>
      </c>
      <c r="G1649" s="12">
        <v>44896</v>
      </c>
      <c r="H1649" s="10" t="str">
        <f>IFERROR(VLOOKUP(Таблицаx_2[[#This Row],[id]],prolongations!A:C,2,)," ")</f>
        <v>декабрь 2022</v>
      </c>
      <c r="I1649" s="10">
        <f>IF(Таблицаx_2[[#This Row],[Месяц окончания]]=Таблицаx_2[[#This Row],[Месяц]],Таблицаx_2[[#This Row],[Значения числа]],0)</f>
        <v>0</v>
      </c>
      <c r="J1649" s="8">
        <f>IF(AND(Таблицаx_2[[#This Row],[Месяц окончания]]=Таблицаx_2[[#This Row],[Месяц]],Таблицаx_2[[#This Row],[id]]=A1650,EDATE(Таблицаx_2[[#This Row],[Месяц]],1)=D1650),F1650,0)</f>
        <v>0</v>
      </c>
      <c r="K1649" s="8">
        <f>IF(AND(Таблицаx_2[[#This Row],[Месяц окончания]]=Таблицаx_2[[#This Row],[Месяц]],Таблицаx_2[[#This Row],[id]]=A1650,EDATE(Таблицаx_2[[#This Row],[Месяц]],2)=D1650),F1650,0)</f>
        <v>0</v>
      </c>
    </row>
    <row r="1650" spans="1:11" ht="12.75" hidden="1" customHeight="1" x14ac:dyDescent="0.2">
      <c r="A1650" s="8">
        <v>597</v>
      </c>
      <c r="B1650" s="8" t="s">
        <v>45</v>
      </c>
      <c r="C1650" s="8" t="s">
        <v>4</v>
      </c>
      <c r="D1650" s="12">
        <v>45078</v>
      </c>
      <c r="E1650" s="8">
        <v>184016</v>
      </c>
      <c r="F1650" s="10">
        <f>IF(ISTEXT(Таблицаx_2[[#This Row],[Значение]]), 0, Таблицаx_2[[#This Row],[Значение]])</f>
        <v>184016</v>
      </c>
      <c r="G1650" s="12">
        <v>44896</v>
      </c>
      <c r="H1650" s="10" t="str">
        <f>IFERROR(VLOOKUP(Таблицаx_2[[#This Row],[id]],prolongations!A:C,2,)," ")</f>
        <v>декабрь 2022</v>
      </c>
      <c r="I1650" s="10">
        <f>IF(Таблицаx_2[[#This Row],[Месяц окончания]]=Таблицаx_2[[#This Row],[Месяц]],Таблицаx_2[[#This Row],[Значения числа]],0)</f>
        <v>0</v>
      </c>
      <c r="J1650" s="8">
        <f>IF(AND(Таблицаx_2[[#This Row],[Месяц окончания]]=Таблицаx_2[[#This Row],[Месяц]],Таблицаx_2[[#This Row],[id]]=A1651,EDATE(Таблицаx_2[[#This Row],[Месяц]],1)=D1651),F1651,0)</f>
        <v>0</v>
      </c>
      <c r="K1650" s="8">
        <f>IF(AND(Таблицаx_2[[#This Row],[Месяц окончания]]=Таблицаx_2[[#This Row],[Месяц]],Таблицаx_2[[#This Row],[id]]=A1651,EDATE(Таблицаx_2[[#This Row],[Месяц]],2)=D1651),F1651,0)</f>
        <v>0</v>
      </c>
    </row>
    <row r="1651" spans="1:11" ht="12.75" hidden="1" customHeight="1" x14ac:dyDescent="0.2">
      <c r="A1651" s="8">
        <v>597</v>
      </c>
      <c r="B1651" s="8" t="s">
        <v>45</v>
      </c>
      <c r="C1651" s="8" t="s">
        <v>4</v>
      </c>
      <c r="D1651" s="12">
        <v>45108</v>
      </c>
      <c r="E1651" s="8">
        <v>173934</v>
      </c>
      <c r="F1651" s="10">
        <f>IF(ISTEXT(Таблицаx_2[[#This Row],[Значение]]), 0, Таблицаx_2[[#This Row],[Значение]])</f>
        <v>173934</v>
      </c>
      <c r="G1651" s="12">
        <v>44896</v>
      </c>
      <c r="H1651" s="10" t="str">
        <f>IFERROR(VLOOKUP(Таблицаx_2[[#This Row],[id]],prolongations!A:C,2,)," ")</f>
        <v>декабрь 2022</v>
      </c>
      <c r="I1651" s="10">
        <f>IF(Таблицаx_2[[#This Row],[Месяц окончания]]=Таблицаx_2[[#This Row],[Месяц]],Таблицаx_2[[#This Row],[Значения числа]],0)</f>
        <v>0</v>
      </c>
      <c r="J1651" s="8">
        <f>IF(AND(Таблицаx_2[[#This Row],[Месяц окончания]]=Таблицаx_2[[#This Row],[Месяц]],Таблицаx_2[[#This Row],[id]]=A1652,EDATE(Таблицаx_2[[#This Row],[Месяц]],1)=D1652),F1652,0)</f>
        <v>0</v>
      </c>
      <c r="K1651" s="8">
        <f>IF(AND(Таблицаx_2[[#This Row],[Месяц окончания]]=Таблицаx_2[[#This Row],[Месяц]],Таблицаx_2[[#This Row],[id]]=A1652,EDATE(Таблицаx_2[[#This Row],[Месяц]],2)=D1652),F1652,0)</f>
        <v>0</v>
      </c>
    </row>
    <row r="1652" spans="1:11" ht="12.75" hidden="1" customHeight="1" x14ac:dyDescent="0.2">
      <c r="A1652" s="8">
        <v>597</v>
      </c>
      <c r="B1652" s="8" t="s">
        <v>45</v>
      </c>
      <c r="C1652" s="8" t="s">
        <v>4</v>
      </c>
      <c r="D1652" s="12">
        <v>45139</v>
      </c>
      <c r="E1652" s="8">
        <v>173619</v>
      </c>
      <c r="F1652" s="10">
        <f>IF(ISTEXT(Таблицаx_2[[#This Row],[Значение]]), 0, Таблицаx_2[[#This Row],[Значение]])</f>
        <v>173619</v>
      </c>
      <c r="G1652" s="12">
        <v>44896</v>
      </c>
      <c r="H1652" s="10" t="str">
        <f>IFERROR(VLOOKUP(Таблицаx_2[[#This Row],[id]],prolongations!A:C,2,)," ")</f>
        <v>декабрь 2022</v>
      </c>
      <c r="I1652" s="10">
        <f>IF(Таблицаx_2[[#This Row],[Месяц окончания]]=Таблицаx_2[[#This Row],[Месяц]],Таблицаx_2[[#This Row],[Значения числа]],0)</f>
        <v>0</v>
      </c>
      <c r="J1652" s="8">
        <f>IF(AND(Таблицаx_2[[#This Row],[Месяц окончания]]=Таблицаx_2[[#This Row],[Месяц]],Таблицаx_2[[#This Row],[id]]=A1653,EDATE(Таблицаx_2[[#This Row],[Месяц]],1)=D1653),F1653,0)</f>
        <v>0</v>
      </c>
      <c r="K1652" s="8">
        <f>IF(AND(Таблицаx_2[[#This Row],[Месяц окончания]]=Таблицаx_2[[#This Row],[Месяц]],Таблицаx_2[[#This Row],[id]]=A1653,EDATE(Таблицаx_2[[#This Row],[Месяц]],2)=D1653),F1653,0)</f>
        <v>0</v>
      </c>
    </row>
    <row r="1653" spans="1:11" ht="12.75" hidden="1" customHeight="1" x14ac:dyDescent="0.2">
      <c r="A1653" s="8">
        <v>597</v>
      </c>
      <c r="B1653" s="8" t="s">
        <v>45</v>
      </c>
      <c r="C1653" s="8" t="s">
        <v>4</v>
      </c>
      <c r="D1653" s="12">
        <v>45170</v>
      </c>
      <c r="E1653" s="8">
        <v>173934</v>
      </c>
      <c r="F1653" s="10">
        <f>IF(ISTEXT(Таблицаx_2[[#This Row],[Значение]]), 0, Таблицаx_2[[#This Row],[Значение]])</f>
        <v>173934</v>
      </c>
      <c r="G1653" s="12">
        <v>44896</v>
      </c>
      <c r="H1653" s="10" t="str">
        <f>IFERROR(VLOOKUP(Таблицаx_2[[#This Row],[id]],prolongations!A:C,2,)," ")</f>
        <v>декабрь 2022</v>
      </c>
      <c r="I1653" s="10">
        <f>IF(Таблицаx_2[[#This Row],[Месяц окончания]]=Таблицаx_2[[#This Row],[Месяц]],Таблицаx_2[[#This Row],[Значения числа]],0)</f>
        <v>0</v>
      </c>
      <c r="J1653" s="8">
        <f>IF(AND(Таблицаx_2[[#This Row],[Месяц окончания]]=Таблицаx_2[[#This Row],[Месяц]],Таблицаx_2[[#This Row],[id]]=A1654,EDATE(Таблицаx_2[[#This Row],[Месяц]],1)=D1654),F1654,0)</f>
        <v>0</v>
      </c>
      <c r="K1653" s="8">
        <f>IF(AND(Таблицаx_2[[#This Row],[Месяц окончания]]=Таблицаx_2[[#This Row],[Месяц]],Таблицаx_2[[#This Row],[id]]=A1654,EDATE(Таблицаx_2[[#This Row],[Месяц]],2)=D1654),F1654,0)</f>
        <v>0</v>
      </c>
    </row>
    <row r="1654" spans="1:11" ht="12.75" hidden="1" customHeight="1" x14ac:dyDescent="0.2">
      <c r="A1654" s="8">
        <v>597</v>
      </c>
      <c r="B1654" s="8" t="s">
        <v>45</v>
      </c>
      <c r="C1654" s="8" t="s">
        <v>4</v>
      </c>
      <c r="D1654" s="12">
        <v>45200</v>
      </c>
      <c r="E1654" s="8">
        <v>173619</v>
      </c>
      <c r="F1654" s="10">
        <f>IF(ISTEXT(Таблицаx_2[[#This Row],[Значение]]), 0, Таблицаx_2[[#This Row],[Значение]])</f>
        <v>173619</v>
      </c>
      <c r="G1654" s="12">
        <v>44896</v>
      </c>
      <c r="H1654" s="10" t="str">
        <f>IFERROR(VLOOKUP(Таблицаx_2[[#This Row],[id]],prolongations!A:C,2,)," ")</f>
        <v>декабрь 2022</v>
      </c>
      <c r="I1654" s="10">
        <f>IF(Таблицаx_2[[#This Row],[Месяц окончания]]=Таблицаx_2[[#This Row],[Месяц]],Таблицаx_2[[#This Row],[Значения числа]],0)</f>
        <v>0</v>
      </c>
      <c r="J1654" s="8">
        <f>IF(AND(Таблицаx_2[[#This Row],[Месяц окончания]]=Таблицаx_2[[#This Row],[Месяц]],Таблицаx_2[[#This Row],[id]]=A1655,EDATE(Таблицаx_2[[#This Row],[Месяц]],1)=D1655),F1655,0)</f>
        <v>0</v>
      </c>
      <c r="K1654" s="8">
        <f>IF(AND(Таблицаx_2[[#This Row],[Месяц окончания]]=Таблицаx_2[[#This Row],[Месяц]],Таблицаx_2[[#This Row],[id]]=A1655,EDATE(Таблицаx_2[[#This Row],[Месяц]],2)=D1655),F1655,0)</f>
        <v>0</v>
      </c>
    </row>
    <row r="1655" spans="1:11" ht="12.75" hidden="1" customHeight="1" x14ac:dyDescent="0.2">
      <c r="A1655" s="8">
        <v>597</v>
      </c>
      <c r="B1655" s="8" t="s">
        <v>45</v>
      </c>
      <c r="C1655" s="8" t="s">
        <v>4</v>
      </c>
      <c r="D1655" s="12">
        <v>45231</v>
      </c>
      <c r="E1655" s="8">
        <v>173934</v>
      </c>
      <c r="F1655" s="10">
        <f>IF(ISTEXT(Таблицаx_2[[#This Row],[Значение]]), 0, Таблицаx_2[[#This Row],[Значение]])</f>
        <v>173934</v>
      </c>
      <c r="G1655" s="12">
        <v>44896</v>
      </c>
      <c r="H1655" s="10" t="str">
        <f>IFERROR(VLOOKUP(Таблицаx_2[[#This Row],[id]],prolongations!A:C,2,)," ")</f>
        <v>декабрь 2022</v>
      </c>
      <c r="I1655" s="10">
        <f>IF(Таблицаx_2[[#This Row],[Месяц окончания]]=Таблицаx_2[[#This Row],[Месяц]],Таблицаx_2[[#This Row],[Значения числа]],0)</f>
        <v>0</v>
      </c>
      <c r="J1655" s="8">
        <f>IF(AND(Таблицаx_2[[#This Row],[Месяц окончания]]=Таблицаx_2[[#This Row],[Месяц]],Таблицаx_2[[#This Row],[id]]=A1656,EDATE(Таблицаx_2[[#This Row],[Месяц]],1)=D1656),F1656,0)</f>
        <v>0</v>
      </c>
      <c r="K1655" s="8">
        <f>IF(AND(Таблицаx_2[[#This Row],[Месяц окончания]]=Таблицаx_2[[#This Row],[Месяц]],Таблицаx_2[[#This Row],[id]]=A1656,EDATE(Таблицаx_2[[#This Row],[Месяц]],2)=D1656),F1656,0)</f>
        <v>0</v>
      </c>
    </row>
    <row r="1656" spans="1:11" ht="12.75" hidden="1" customHeight="1" x14ac:dyDescent="0.2">
      <c r="A1656" s="8">
        <v>597</v>
      </c>
      <c r="B1656" s="8" t="s">
        <v>45</v>
      </c>
      <c r="C1656" s="8" t="s">
        <v>4</v>
      </c>
      <c r="D1656" s="12">
        <v>45261</v>
      </c>
      <c r="E1656" s="8">
        <v>173619</v>
      </c>
      <c r="F1656" s="10">
        <f>IF(ISTEXT(Таблицаx_2[[#This Row],[Значение]]), 0, Таблицаx_2[[#This Row],[Значение]])</f>
        <v>173619</v>
      </c>
      <c r="G1656" s="12">
        <v>44896</v>
      </c>
      <c r="H1656" s="10" t="str">
        <f>IFERROR(VLOOKUP(Таблицаx_2[[#This Row],[id]],prolongations!A:C,2,)," ")</f>
        <v>декабрь 2022</v>
      </c>
      <c r="I1656" s="10">
        <f>IF(Таблицаx_2[[#This Row],[Месяц окончания]]=Таблицаx_2[[#This Row],[Месяц]],Таблицаx_2[[#This Row],[Значения числа]],0)</f>
        <v>0</v>
      </c>
      <c r="J1656" s="8">
        <f>IF(AND(Таблицаx_2[[#This Row],[Месяц окончания]]=Таблицаx_2[[#This Row],[Месяц]],Таблицаx_2[[#This Row],[id]]=A1657,EDATE(Таблицаx_2[[#This Row],[Месяц]],1)=D1657),F1657,0)</f>
        <v>0</v>
      </c>
      <c r="K1656" s="8">
        <f>IF(AND(Таблицаx_2[[#This Row],[Месяц окончания]]=Таблицаx_2[[#This Row],[Месяц]],Таблицаx_2[[#This Row],[id]]=A1657,EDATE(Таблицаx_2[[#This Row],[Месяц]],2)=D1657),F1657,0)</f>
        <v>0</v>
      </c>
    </row>
    <row r="1657" spans="1:11" ht="12.75" hidden="1" customHeight="1" x14ac:dyDescent="0.2">
      <c r="A1657" s="8">
        <v>597</v>
      </c>
      <c r="B1657" s="8" t="s">
        <v>45</v>
      </c>
      <c r="C1657" s="8" t="s">
        <v>4</v>
      </c>
      <c r="D1657" s="12">
        <v>45292</v>
      </c>
      <c r="E1657" s="8">
        <v>193215</v>
      </c>
      <c r="F1657" s="10">
        <f>IF(ISTEXT(Таблицаx_2[[#This Row],[Значение]]), 0, Таблицаx_2[[#This Row],[Значение]])</f>
        <v>193215</v>
      </c>
      <c r="G1657" s="12">
        <v>44896</v>
      </c>
      <c r="H1657" s="10" t="str">
        <f>IFERROR(VLOOKUP(Таблицаx_2[[#This Row],[id]],prolongations!A:C,2,)," ")</f>
        <v>декабрь 2022</v>
      </c>
      <c r="I1657" s="10">
        <f>IF(Таблицаx_2[[#This Row],[Месяц окончания]]=Таблицаx_2[[#This Row],[Месяц]],Таблицаx_2[[#This Row],[Значения числа]],0)</f>
        <v>0</v>
      </c>
      <c r="J1657" s="8">
        <f>IF(AND(Таблицаx_2[[#This Row],[Месяц окончания]]=Таблицаx_2[[#This Row],[Месяц]],Таблицаx_2[[#This Row],[id]]=A1658,EDATE(Таблицаx_2[[#This Row],[Месяц]],1)=D1658),F1658,0)</f>
        <v>0</v>
      </c>
      <c r="K1657" s="8">
        <f>IF(AND(Таблицаx_2[[#This Row],[Месяц окончания]]=Таблицаx_2[[#This Row],[Месяц]],Таблицаx_2[[#This Row],[id]]=A1658,EDATE(Таблицаx_2[[#This Row],[Месяц]],2)=D1658),F1658,0)</f>
        <v>0</v>
      </c>
    </row>
    <row r="1658" spans="1:11" ht="12.75" hidden="1" customHeight="1" x14ac:dyDescent="0.2">
      <c r="A1658" s="8">
        <v>597</v>
      </c>
      <c r="B1658" s="8" t="s">
        <v>45</v>
      </c>
      <c r="C1658" s="8" t="s">
        <v>4</v>
      </c>
      <c r="D1658" s="12">
        <v>45323</v>
      </c>
      <c r="E1658" s="8">
        <v>203878</v>
      </c>
      <c r="F1658" s="10">
        <f>IF(ISTEXT(Таблицаx_2[[#This Row],[Значение]]), 0, Таблицаx_2[[#This Row],[Значение]])</f>
        <v>203878</v>
      </c>
      <c r="G1658" s="12">
        <v>44896</v>
      </c>
      <c r="H1658" s="10" t="str">
        <f>IFERROR(VLOOKUP(Таблицаx_2[[#This Row],[id]],prolongations!A:C,2,)," ")</f>
        <v>декабрь 2022</v>
      </c>
      <c r="I1658" s="10">
        <f>IF(Таблицаx_2[[#This Row],[Месяц окончания]]=Таблицаx_2[[#This Row],[Месяц]],Таблицаx_2[[#This Row],[Значения числа]],0)</f>
        <v>0</v>
      </c>
      <c r="J1658" s="8">
        <f>IF(AND(Таблицаx_2[[#This Row],[Месяц окончания]]=Таблицаx_2[[#This Row],[Месяц]],Таблицаx_2[[#This Row],[id]]=A1659,EDATE(Таблицаx_2[[#This Row],[Месяц]],1)=D1659),F1659,0)</f>
        <v>0</v>
      </c>
      <c r="K1658" s="8">
        <f>IF(AND(Таблицаx_2[[#This Row],[Месяц окончания]]=Таблицаx_2[[#This Row],[Месяц]],Таблицаx_2[[#This Row],[id]]=A1659,EDATE(Таблицаx_2[[#This Row],[Месяц]],2)=D1659),F1659,0)</f>
        <v>0</v>
      </c>
    </row>
    <row r="1659" spans="1:11" ht="12.75" hidden="1" customHeight="1" x14ac:dyDescent="0.2">
      <c r="A1659" s="8">
        <v>597</v>
      </c>
      <c r="B1659" s="8" t="s">
        <v>47</v>
      </c>
      <c r="C1659" s="8" t="s">
        <v>4</v>
      </c>
      <c r="D1659" s="12">
        <v>44866</v>
      </c>
      <c r="E1659" s="8">
        <v>19185.96</v>
      </c>
      <c r="F1659" s="10">
        <f>IF(ISTEXT(Таблицаx_2[[#This Row],[Значение]]), 0, Таблицаx_2[[#This Row],[Значение]])</f>
        <v>19185.96</v>
      </c>
      <c r="G1659" s="12">
        <v>44896</v>
      </c>
      <c r="H1659" s="10" t="str">
        <f>IFERROR(VLOOKUP(Таблицаx_2[[#This Row],[id]],prolongations!A:C,2,)," ")</f>
        <v>декабрь 2022</v>
      </c>
      <c r="I1659" s="10">
        <f>IF(Таблицаx_2[[#This Row],[Месяц окончания]]=Таблицаx_2[[#This Row],[Месяц]],Таблицаx_2[[#This Row],[Значения числа]],0)</f>
        <v>0</v>
      </c>
      <c r="J1659" s="8">
        <f>IF(AND(Таблицаx_2[[#This Row],[Месяц окончания]]=Таблицаx_2[[#This Row],[Месяц]],Таблицаx_2[[#This Row],[id]]=A1660,EDATE(Таблицаx_2[[#This Row],[Месяц]],1)=D1660),F1660,0)</f>
        <v>0</v>
      </c>
      <c r="K1659" s="8">
        <f>IF(AND(Таблицаx_2[[#This Row],[Месяц окончания]]=Таблицаx_2[[#This Row],[Месяц]],Таблицаx_2[[#This Row],[id]]=A1660,EDATE(Таблицаx_2[[#This Row],[Месяц]],2)=D1660),F1660,0)</f>
        <v>0</v>
      </c>
    </row>
    <row r="1660" spans="1:11" hidden="1" x14ac:dyDescent="0.2">
      <c r="A1660" s="8">
        <v>597</v>
      </c>
      <c r="B1660" s="8" t="s">
        <v>47</v>
      </c>
      <c r="C1660" s="8" t="s">
        <v>4</v>
      </c>
      <c r="D1660" s="12">
        <v>44896</v>
      </c>
      <c r="E1660" s="8">
        <v>19340.21</v>
      </c>
      <c r="F1660" s="10">
        <f>IF(ISTEXT(Таблицаx_2[[#This Row],[Значение]]), 0, Таблицаx_2[[#This Row],[Значение]])</f>
        <v>19340.21</v>
      </c>
      <c r="G1660" s="12">
        <v>44896</v>
      </c>
      <c r="H1660" s="10" t="str">
        <f>IFERROR(VLOOKUP(Таблицаx_2[[#This Row],[id]],prolongations!A:C,2,)," ")</f>
        <v>декабрь 2022</v>
      </c>
      <c r="I1660" s="10">
        <f>IF(Таблицаx_2[[#This Row],[Месяц окончания]]=Таблицаx_2[[#This Row],[Месяц]],Таблицаx_2[[#This Row],[Значения числа]],0)</f>
        <v>19340.21</v>
      </c>
      <c r="J1660" s="8">
        <f>IF(AND(Таблицаx_2[[#This Row],[Месяц окончания]]=Таблицаx_2[[#This Row],[Месяц]],Таблицаx_2[[#This Row],[id]]=A1661,EDATE(Таблицаx_2[[#This Row],[Месяц]],1)=D1661),F1661,0)</f>
        <v>17928.09</v>
      </c>
      <c r="K1660" s="8">
        <f>IF(AND(Таблицаx_2[[#This Row],[Месяц окончания]]=Таблицаx_2[[#This Row],[Месяц]],Таблицаx_2[[#This Row],[id]]=A1661,EDATE(Таблицаx_2[[#This Row],[Месяц]],2)=D1661),F1661,0)</f>
        <v>0</v>
      </c>
    </row>
    <row r="1661" spans="1:11" ht="12.75" hidden="1" customHeight="1" x14ac:dyDescent="0.2">
      <c r="A1661" s="8">
        <v>597</v>
      </c>
      <c r="B1661" s="8" t="s">
        <v>47</v>
      </c>
      <c r="C1661" s="8" t="s">
        <v>4</v>
      </c>
      <c r="D1661" s="12">
        <v>44927</v>
      </c>
      <c r="E1661" s="8">
        <v>17928.09</v>
      </c>
      <c r="F1661" s="10">
        <f>IF(ISTEXT(Таблицаx_2[[#This Row],[Значение]]), 0, Таблицаx_2[[#This Row],[Значение]])</f>
        <v>17928.09</v>
      </c>
      <c r="G1661" s="12">
        <v>44896</v>
      </c>
      <c r="H1661" s="10" t="str">
        <f>IFERROR(VLOOKUP(Таблицаx_2[[#This Row],[id]],prolongations!A:C,2,)," ")</f>
        <v>декабрь 2022</v>
      </c>
      <c r="I1661" s="10">
        <f>IF(Таблицаx_2[[#This Row],[Месяц окончания]]=Таблицаx_2[[#This Row],[Месяц]],Таблицаx_2[[#This Row],[Значения числа]],0)</f>
        <v>0</v>
      </c>
      <c r="J1661" s="8">
        <f>IF(AND(Таблицаx_2[[#This Row],[Месяц окончания]]=Таблицаx_2[[#This Row],[Месяц]],Таблицаx_2[[#This Row],[id]]=A1662,EDATE(Таблицаx_2[[#This Row],[Месяц]],1)=D1662),F1662,0)</f>
        <v>0</v>
      </c>
      <c r="K1661" s="8">
        <f>IF(AND(Таблицаx_2[[#This Row],[Месяц окончания]]=Таблицаx_2[[#This Row],[Месяц]],Таблицаx_2[[#This Row],[id]]=A1662,EDATE(Таблицаx_2[[#This Row],[Месяц]],2)=D1662),F1662,0)</f>
        <v>0</v>
      </c>
    </row>
    <row r="1662" spans="1:11" ht="12.75" hidden="1" customHeight="1" x14ac:dyDescent="0.2">
      <c r="A1662" s="8">
        <v>597</v>
      </c>
      <c r="B1662" s="8" t="s">
        <v>47</v>
      </c>
      <c r="C1662" s="8" t="s">
        <v>4</v>
      </c>
      <c r="D1662" s="12">
        <v>44958</v>
      </c>
      <c r="E1662" s="8">
        <v>17928.09</v>
      </c>
      <c r="F1662" s="10">
        <f>IF(ISTEXT(Таблицаx_2[[#This Row],[Значение]]), 0, Таблицаx_2[[#This Row],[Значение]])</f>
        <v>17928.09</v>
      </c>
      <c r="G1662" s="12">
        <v>44896</v>
      </c>
      <c r="H1662" s="10" t="str">
        <f>IFERROR(VLOOKUP(Таблицаx_2[[#This Row],[id]],prolongations!A:C,2,)," ")</f>
        <v>декабрь 2022</v>
      </c>
      <c r="I1662" s="10">
        <f>IF(Таблицаx_2[[#This Row],[Месяц окончания]]=Таблицаx_2[[#This Row],[Месяц]],Таблицаx_2[[#This Row],[Значения числа]],0)</f>
        <v>0</v>
      </c>
      <c r="J1662" s="8">
        <f>IF(AND(Таблицаx_2[[#This Row],[Месяц окончания]]=Таблицаx_2[[#This Row],[Месяц]],Таблицаx_2[[#This Row],[id]]=A1663,EDATE(Таблицаx_2[[#This Row],[Месяц]],1)=D1663),F1663,0)</f>
        <v>0</v>
      </c>
      <c r="K1662" s="8">
        <f>IF(AND(Таблицаx_2[[#This Row],[Месяц окончания]]=Таблицаx_2[[#This Row],[Месяц]],Таблицаx_2[[#This Row],[id]]=A1663,EDATE(Таблицаx_2[[#This Row],[Месяц]],2)=D1663),F1663,0)</f>
        <v>0</v>
      </c>
    </row>
    <row r="1663" spans="1:11" ht="12.75" hidden="1" customHeight="1" x14ac:dyDescent="0.2">
      <c r="A1663" s="8">
        <v>597</v>
      </c>
      <c r="B1663" s="8" t="s">
        <v>47</v>
      </c>
      <c r="C1663" s="8" t="s">
        <v>4</v>
      </c>
      <c r="D1663" s="12">
        <v>44986</v>
      </c>
      <c r="E1663" s="8">
        <v>18235.53</v>
      </c>
      <c r="F1663" s="10">
        <f>IF(ISTEXT(Таблицаx_2[[#This Row],[Значение]]), 0, Таблицаx_2[[#This Row],[Значение]])</f>
        <v>18235.53</v>
      </c>
      <c r="G1663" s="12">
        <v>44896</v>
      </c>
      <c r="H1663" s="10" t="str">
        <f>IFERROR(VLOOKUP(Таблицаx_2[[#This Row],[id]],prolongations!A:C,2,)," ")</f>
        <v>декабрь 2022</v>
      </c>
      <c r="I1663" s="10">
        <f>IF(Таблицаx_2[[#This Row],[Месяц окончания]]=Таблицаx_2[[#This Row],[Месяц]],Таблицаx_2[[#This Row],[Значения числа]],0)</f>
        <v>0</v>
      </c>
      <c r="J1663" s="8">
        <f>IF(AND(Таблицаx_2[[#This Row],[Месяц окончания]]=Таблицаx_2[[#This Row],[Месяц]],Таблицаx_2[[#This Row],[id]]=A1664,EDATE(Таблицаx_2[[#This Row],[Месяц]],1)=D1664),F1664,0)</f>
        <v>0</v>
      </c>
      <c r="K1663" s="8">
        <f>IF(AND(Таблицаx_2[[#This Row],[Месяц окончания]]=Таблицаx_2[[#This Row],[Месяц]],Таблицаx_2[[#This Row],[id]]=A1664,EDATE(Таблицаx_2[[#This Row],[Месяц]],2)=D1664),F1664,0)</f>
        <v>0</v>
      </c>
    </row>
    <row r="1664" spans="1:11" ht="12.75" hidden="1" customHeight="1" x14ac:dyDescent="0.2">
      <c r="A1664" s="8">
        <v>597</v>
      </c>
      <c r="B1664" s="8" t="s">
        <v>47</v>
      </c>
      <c r="C1664" s="8" t="s">
        <v>4</v>
      </c>
      <c r="D1664" s="12">
        <v>45017</v>
      </c>
      <c r="E1664" s="8">
        <v>17241.91</v>
      </c>
      <c r="F1664" s="10">
        <f>IF(ISTEXT(Таблицаx_2[[#This Row],[Значение]]), 0, Таблицаx_2[[#This Row],[Значение]])</f>
        <v>17241.91</v>
      </c>
      <c r="G1664" s="12">
        <v>44896</v>
      </c>
      <c r="H1664" s="10" t="str">
        <f>IFERROR(VLOOKUP(Таблицаx_2[[#This Row],[id]],prolongations!A:C,2,)," ")</f>
        <v>декабрь 2022</v>
      </c>
      <c r="I1664" s="10">
        <f>IF(Таблицаx_2[[#This Row],[Месяц окончания]]=Таблицаx_2[[#This Row],[Месяц]],Таблицаx_2[[#This Row],[Значения числа]],0)</f>
        <v>0</v>
      </c>
      <c r="J1664" s="8">
        <f>IF(AND(Таблицаx_2[[#This Row],[Месяц окончания]]=Таблицаx_2[[#This Row],[Месяц]],Таблицаx_2[[#This Row],[id]]=A1665,EDATE(Таблицаx_2[[#This Row],[Месяц]],1)=D1665),F1665,0)</f>
        <v>0</v>
      </c>
      <c r="K1664" s="8">
        <f>IF(AND(Таблицаx_2[[#This Row],[Месяц окончания]]=Таблицаx_2[[#This Row],[Месяц]],Таблицаx_2[[#This Row],[id]]=A1665,EDATE(Таблицаx_2[[#This Row],[Месяц]],2)=D1665),F1665,0)</f>
        <v>0</v>
      </c>
    </row>
    <row r="1665" spans="1:11" ht="12.75" hidden="1" customHeight="1" x14ac:dyDescent="0.2">
      <c r="A1665" s="8">
        <v>597</v>
      </c>
      <c r="B1665" s="8" t="s">
        <v>47</v>
      </c>
      <c r="C1665" s="8" t="s">
        <v>4</v>
      </c>
      <c r="D1665" s="12">
        <v>45047</v>
      </c>
      <c r="E1665" s="8">
        <v>16633.400000000001</v>
      </c>
      <c r="F1665" s="10">
        <f>IF(ISTEXT(Таблицаx_2[[#This Row],[Значение]]), 0, Таблицаx_2[[#This Row],[Значение]])</f>
        <v>16633.400000000001</v>
      </c>
      <c r="G1665" s="12">
        <v>44896</v>
      </c>
      <c r="H1665" s="10" t="str">
        <f>IFERROR(VLOOKUP(Таблицаx_2[[#This Row],[id]],prolongations!A:C,2,)," ")</f>
        <v>декабрь 2022</v>
      </c>
      <c r="I1665" s="10">
        <f>IF(Таблицаx_2[[#This Row],[Месяц окончания]]=Таблицаx_2[[#This Row],[Месяц]],Таблицаx_2[[#This Row],[Значения числа]],0)</f>
        <v>0</v>
      </c>
      <c r="J1665" s="8">
        <f>IF(AND(Таблицаx_2[[#This Row],[Месяц окончания]]=Таблицаx_2[[#This Row],[Месяц]],Таблицаx_2[[#This Row],[id]]=A1666,EDATE(Таблицаx_2[[#This Row],[Месяц]],1)=D1666),F1666,0)</f>
        <v>0</v>
      </c>
      <c r="K1665" s="8">
        <f>IF(AND(Таблицаx_2[[#This Row],[Месяц окончания]]=Таблицаx_2[[#This Row],[Месяц]],Таблицаx_2[[#This Row],[id]]=A1666,EDATE(Таблицаx_2[[#This Row],[Месяц]],2)=D1666),F1666,0)</f>
        <v>0</v>
      </c>
    </row>
    <row r="1666" spans="1:11" ht="12.75" hidden="1" customHeight="1" x14ac:dyDescent="0.2">
      <c r="A1666" s="8">
        <v>597</v>
      </c>
      <c r="B1666" s="8" t="s">
        <v>47</v>
      </c>
      <c r="C1666" s="8" t="s">
        <v>4</v>
      </c>
      <c r="D1666" s="12">
        <v>45078</v>
      </c>
      <c r="E1666" s="8">
        <v>15539.79</v>
      </c>
      <c r="F1666" s="10">
        <f>IF(ISTEXT(Таблицаx_2[[#This Row],[Значение]]), 0, Таблицаx_2[[#This Row],[Значение]])</f>
        <v>15539.79</v>
      </c>
      <c r="G1666" s="12">
        <v>44896</v>
      </c>
      <c r="H1666" s="10" t="str">
        <f>IFERROR(VLOOKUP(Таблицаx_2[[#This Row],[id]],prolongations!A:C,2,)," ")</f>
        <v>декабрь 2022</v>
      </c>
      <c r="I1666" s="10">
        <f>IF(Таблицаx_2[[#This Row],[Месяц окончания]]=Таблицаx_2[[#This Row],[Месяц]],Таблицаx_2[[#This Row],[Значения числа]],0)</f>
        <v>0</v>
      </c>
      <c r="J1666" s="8">
        <f>IF(AND(Таблицаx_2[[#This Row],[Месяц окончания]]=Таблицаx_2[[#This Row],[Месяц]],Таблицаx_2[[#This Row],[id]]=A1667,EDATE(Таблицаx_2[[#This Row],[Месяц]],1)=D1667),F1667,0)</f>
        <v>0</v>
      </c>
      <c r="K1666" s="8">
        <f>IF(AND(Таблицаx_2[[#This Row],[Месяц окончания]]=Таблицаx_2[[#This Row],[Месяц]],Таблицаx_2[[#This Row],[id]]=A1667,EDATE(Таблицаx_2[[#This Row],[Месяц]],2)=D1667),F1667,0)</f>
        <v>0</v>
      </c>
    </row>
    <row r="1667" spans="1:11" ht="12.75" hidden="1" customHeight="1" x14ac:dyDescent="0.2">
      <c r="A1667" s="8">
        <v>597</v>
      </c>
      <c r="B1667" s="8" t="s">
        <v>47</v>
      </c>
      <c r="C1667" s="8" t="s">
        <v>4</v>
      </c>
      <c r="D1667" s="12">
        <v>45108</v>
      </c>
      <c r="E1667" s="8">
        <v>15391.91</v>
      </c>
      <c r="F1667" s="10">
        <f>IF(ISTEXT(Таблицаx_2[[#This Row],[Значение]]), 0, Таблицаx_2[[#This Row],[Значение]])</f>
        <v>15391.91</v>
      </c>
      <c r="G1667" s="12">
        <v>44896</v>
      </c>
      <c r="H1667" s="10" t="str">
        <f>IFERROR(VLOOKUP(Таблицаx_2[[#This Row],[id]],prolongations!A:C,2,)," ")</f>
        <v>декабрь 2022</v>
      </c>
      <c r="I1667" s="10">
        <f>IF(Таблицаx_2[[#This Row],[Месяц окончания]]=Таблицаx_2[[#This Row],[Месяц]],Таблицаx_2[[#This Row],[Значения числа]],0)</f>
        <v>0</v>
      </c>
      <c r="J1667" s="8">
        <f>IF(AND(Таблицаx_2[[#This Row],[Месяц окончания]]=Таблицаx_2[[#This Row],[Месяц]],Таблицаx_2[[#This Row],[id]]=A1668,EDATE(Таблицаx_2[[#This Row],[Месяц]],1)=D1668),F1668,0)</f>
        <v>0</v>
      </c>
      <c r="K1667" s="8">
        <f>IF(AND(Таблицаx_2[[#This Row],[Месяц окончания]]=Таблицаx_2[[#This Row],[Месяц]],Таблицаx_2[[#This Row],[id]]=A1668,EDATE(Таблицаx_2[[#This Row],[Месяц]],2)=D1668),F1668,0)</f>
        <v>0</v>
      </c>
    </row>
    <row r="1668" spans="1:11" ht="12.75" hidden="1" customHeight="1" x14ac:dyDescent="0.2">
      <c r="A1668" s="8">
        <v>597</v>
      </c>
      <c r="B1668" s="8" t="s">
        <v>47</v>
      </c>
      <c r="C1668" s="8" t="s">
        <v>4</v>
      </c>
      <c r="D1668" s="12">
        <v>45139</v>
      </c>
      <c r="E1668" s="8">
        <v>15768.51</v>
      </c>
      <c r="F1668" s="10">
        <f>IF(ISTEXT(Таблицаx_2[[#This Row],[Значение]]), 0, Таблицаx_2[[#This Row],[Значение]])</f>
        <v>15768.51</v>
      </c>
      <c r="G1668" s="12">
        <v>44896</v>
      </c>
      <c r="H1668" s="10" t="str">
        <f>IFERROR(VLOOKUP(Таблицаx_2[[#This Row],[id]],prolongations!A:C,2,)," ")</f>
        <v>декабрь 2022</v>
      </c>
      <c r="I1668" s="10">
        <f>IF(Таблицаx_2[[#This Row],[Месяц окончания]]=Таблицаx_2[[#This Row],[Месяц]],Таблицаx_2[[#This Row],[Значения числа]],0)</f>
        <v>0</v>
      </c>
      <c r="J1668" s="8">
        <f>IF(AND(Таблицаx_2[[#This Row],[Месяц окончания]]=Таблицаx_2[[#This Row],[Месяц]],Таблицаx_2[[#This Row],[id]]=A1669,EDATE(Таблицаx_2[[#This Row],[Месяц]],1)=D1669),F1669,0)</f>
        <v>0</v>
      </c>
      <c r="K1668" s="8">
        <f>IF(AND(Таблицаx_2[[#This Row],[Месяц окончания]]=Таблицаx_2[[#This Row],[Месяц]],Таблицаx_2[[#This Row],[id]]=A1669,EDATE(Таблицаx_2[[#This Row],[Месяц]],2)=D1669),F1669,0)</f>
        <v>0</v>
      </c>
    </row>
    <row r="1669" spans="1:11" ht="12.75" hidden="1" customHeight="1" x14ac:dyDescent="0.2">
      <c r="A1669" s="8">
        <v>597</v>
      </c>
      <c r="B1669" s="8" t="s">
        <v>47</v>
      </c>
      <c r="C1669" s="8" t="s">
        <v>4</v>
      </c>
      <c r="D1669" s="12">
        <v>45170</v>
      </c>
      <c r="E1669" s="8">
        <v>14903.62</v>
      </c>
      <c r="F1669" s="10">
        <f>IF(ISTEXT(Таблицаx_2[[#This Row],[Значение]]), 0, Таблицаx_2[[#This Row],[Значение]])</f>
        <v>14903.62</v>
      </c>
      <c r="G1669" s="12">
        <v>44896</v>
      </c>
      <c r="H1669" s="10" t="str">
        <f>IFERROR(VLOOKUP(Таблицаx_2[[#This Row],[id]],prolongations!A:C,2,)," ")</f>
        <v>декабрь 2022</v>
      </c>
      <c r="I1669" s="10">
        <f>IF(Таблицаx_2[[#This Row],[Месяц окончания]]=Таблицаx_2[[#This Row],[Месяц]],Таблицаx_2[[#This Row],[Значения числа]],0)</f>
        <v>0</v>
      </c>
      <c r="J1669" s="8">
        <f>IF(AND(Таблицаx_2[[#This Row],[Месяц окончания]]=Таблицаx_2[[#This Row],[Месяц]],Таблицаx_2[[#This Row],[id]]=A1670,EDATE(Таблицаx_2[[#This Row],[Месяц]],1)=D1670),F1670,0)</f>
        <v>0</v>
      </c>
      <c r="K1669" s="8">
        <f>IF(AND(Таблицаx_2[[#This Row],[Месяц окончания]]=Таблицаx_2[[#This Row],[Месяц]],Таблицаx_2[[#This Row],[id]]=A1670,EDATE(Таблицаx_2[[#This Row],[Месяц]],2)=D1670),F1670,0)</f>
        <v>0</v>
      </c>
    </row>
    <row r="1670" spans="1:11" ht="12.75" hidden="1" customHeight="1" x14ac:dyDescent="0.2">
      <c r="A1670" s="8">
        <v>597</v>
      </c>
      <c r="B1670" s="8" t="s">
        <v>47</v>
      </c>
      <c r="C1670" s="8" t="s">
        <v>4</v>
      </c>
      <c r="D1670" s="12">
        <v>45200</v>
      </c>
      <c r="E1670" s="8">
        <v>15611.06</v>
      </c>
      <c r="F1670" s="10">
        <f>IF(ISTEXT(Таблицаx_2[[#This Row],[Значение]]), 0, Таблицаx_2[[#This Row],[Значение]])</f>
        <v>15611.06</v>
      </c>
      <c r="G1670" s="12">
        <v>44896</v>
      </c>
      <c r="H1670" s="10" t="str">
        <f>IFERROR(VLOOKUP(Таблицаx_2[[#This Row],[id]],prolongations!A:C,2,)," ")</f>
        <v>декабрь 2022</v>
      </c>
      <c r="I1670" s="10">
        <f>IF(Таблицаx_2[[#This Row],[Месяц окончания]]=Таблицаx_2[[#This Row],[Месяц]],Таблицаx_2[[#This Row],[Значения числа]],0)</f>
        <v>0</v>
      </c>
      <c r="J1670" s="8">
        <f>IF(AND(Таблицаx_2[[#This Row],[Месяц окончания]]=Таблицаx_2[[#This Row],[Месяц]],Таблицаx_2[[#This Row],[id]]=A1671,EDATE(Таблицаx_2[[#This Row],[Месяц]],1)=D1671),F1671,0)</f>
        <v>0</v>
      </c>
      <c r="K1670" s="8">
        <f>IF(AND(Таблицаx_2[[#This Row],[Месяц окончания]]=Таблицаx_2[[#This Row],[Месяц]],Таблицаx_2[[#This Row],[id]]=A1671,EDATE(Таблицаx_2[[#This Row],[Месяц]],2)=D1671),F1671,0)</f>
        <v>0</v>
      </c>
    </row>
    <row r="1671" spans="1:11" ht="12.75" hidden="1" customHeight="1" x14ac:dyDescent="0.2">
      <c r="A1671" s="8">
        <v>597</v>
      </c>
      <c r="B1671" s="8" t="s">
        <v>47</v>
      </c>
      <c r="C1671" s="8" t="s">
        <v>4</v>
      </c>
      <c r="D1671" s="12">
        <v>45231</v>
      </c>
      <c r="E1671" s="8">
        <v>15572.77</v>
      </c>
      <c r="F1671" s="10">
        <f>IF(ISTEXT(Таблицаx_2[[#This Row],[Значение]]), 0, Таблицаx_2[[#This Row],[Значение]])</f>
        <v>15572.77</v>
      </c>
      <c r="G1671" s="12">
        <v>44896</v>
      </c>
      <c r="H1671" s="10" t="str">
        <f>IFERROR(VLOOKUP(Таблицаx_2[[#This Row],[id]],prolongations!A:C,2,)," ")</f>
        <v>декабрь 2022</v>
      </c>
      <c r="I1671" s="10">
        <f>IF(Таблицаx_2[[#This Row],[Месяц окончания]]=Таблицаx_2[[#This Row],[Месяц]],Таблицаx_2[[#This Row],[Значения числа]],0)</f>
        <v>0</v>
      </c>
      <c r="J1671" s="8">
        <f>IF(AND(Таблицаx_2[[#This Row],[Месяц окончания]]=Таблицаx_2[[#This Row],[Месяц]],Таблицаx_2[[#This Row],[id]]=A1672,EDATE(Таблицаx_2[[#This Row],[Месяц]],1)=D1672),F1672,0)</f>
        <v>0</v>
      </c>
      <c r="K1671" s="8">
        <f>IF(AND(Таблицаx_2[[#This Row],[Месяц окончания]]=Таблицаx_2[[#This Row],[Месяц]],Таблицаx_2[[#This Row],[id]]=A1672,EDATE(Таблицаx_2[[#This Row],[Месяц]],2)=D1672),F1672,0)</f>
        <v>0</v>
      </c>
    </row>
    <row r="1672" spans="1:11" ht="12.75" hidden="1" customHeight="1" x14ac:dyDescent="0.2">
      <c r="A1672" s="8">
        <v>597</v>
      </c>
      <c r="B1672" s="8" t="s">
        <v>47</v>
      </c>
      <c r="C1672" s="8" t="s">
        <v>4</v>
      </c>
      <c r="D1672" s="12">
        <v>45261</v>
      </c>
      <c r="E1672" s="8">
        <v>14001</v>
      </c>
      <c r="F1672" s="10">
        <f>IF(ISTEXT(Таблицаx_2[[#This Row],[Значение]]), 0, Таблицаx_2[[#This Row],[Значение]])</f>
        <v>14001</v>
      </c>
      <c r="G1672" s="12">
        <v>44896</v>
      </c>
      <c r="H1672" s="10" t="str">
        <f>IFERROR(VLOOKUP(Таблицаx_2[[#This Row],[id]],prolongations!A:C,2,)," ")</f>
        <v>декабрь 2022</v>
      </c>
      <c r="I1672" s="10">
        <f>IF(Таблицаx_2[[#This Row],[Месяц окончания]]=Таблицаx_2[[#This Row],[Месяц]],Таблицаx_2[[#This Row],[Значения числа]],0)</f>
        <v>0</v>
      </c>
      <c r="J1672" s="8">
        <f>IF(AND(Таблицаx_2[[#This Row],[Месяц окончания]]=Таблицаx_2[[#This Row],[Месяц]],Таблицаx_2[[#This Row],[id]]=A1673,EDATE(Таблицаx_2[[#This Row],[Месяц]],1)=D1673),F1673,0)</f>
        <v>0</v>
      </c>
      <c r="K1672" s="8">
        <f>IF(AND(Таблицаx_2[[#This Row],[Месяц окончания]]=Таблицаx_2[[#This Row],[Месяц]],Таблицаx_2[[#This Row],[id]]=A1673,EDATE(Таблицаx_2[[#This Row],[Месяц]],2)=D1673),F1673,0)</f>
        <v>0</v>
      </c>
    </row>
    <row r="1673" spans="1:11" ht="12.75" hidden="1" customHeight="1" x14ac:dyDescent="0.2">
      <c r="A1673" s="8">
        <v>597</v>
      </c>
      <c r="B1673" s="8" t="s">
        <v>47</v>
      </c>
      <c r="C1673" s="8" t="s">
        <v>4</v>
      </c>
      <c r="D1673" s="12">
        <v>45292</v>
      </c>
      <c r="E1673" s="8">
        <v>17343.46</v>
      </c>
      <c r="F1673" s="10">
        <f>IF(ISTEXT(Таблицаx_2[[#This Row],[Значение]]), 0, Таблицаx_2[[#This Row],[Значение]])</f>
        <v>17343.46</v>
      </c>
      <c r="G1673" s="12">
        <v>44896</v>
      </c>
      <c r="H1673" s="10" t="str">
        <f>IFERROR(VLOOKUP(Таблицаx_2[[#This Row],[id]],prolongations!A:C,2,)," ")</f>
        <v>декабрь 2022</v>
      </c>
      <c r="I1673" s="10">
        <f>IF(Таблицаx_2[[#This Row],[Месяц окончания]]=Таблицаx_2[[#This Row],[Месяц]],Таблицаx_2[[#This Row],[Значения числа]],0)</f>
        <v>0</v>
      </c>
      <c r="J1673" s="8">
        <f>IF(AND(Таблицаx_2[[#This Row],[Месяц окончания]]=Таблицаx_2[[#This Row],[Месяц]],Таблицаx_2[[#This Row],[id]]=A1674,EDATE(Таблицаx_2[[#This Row],[Месяц]],1)=D1674),F1674,0)</f>
        <v>0</v>
      </c>
      <c r="K1673" s="8">
        <f>IF(AND(Таблицаx_2[[#This Row],[Месяц окончания]]=Таблицаx_2[[#This Row],[Месяц]],Таблицаx_2[[#This Row],[id]]=A1674,EDATE(Таблицаx_2[[#This Row],[Месяц]],2)=D1674),F1674,0)</f>
        <v>0</v>
      </c>
    </row>
    <row r="1674" spans="1:11" ht="12.75" hidden="1" customHeight="1" x14ac:dyDescent="0.2">
      <c r="A1674" s="8">
        <v>597</v>
      </c>
      <c r="B1674" s="8" t="s">
        <v>47</v>
      </c>
      <c r="C1674" s="8" t="s">
        <v>4</v>
      </c>
      <c r="D1674" s="12">
        <v>45323</v>
      </c>
      <c r="E1674" s="8">
        <v>15975.34</v>
      </c>
      <c r="F1674" s="10">
        <f>IF(ISTEXT(Таблицаx_2[[#This Row],[Значение]]), 0, Таблицаx_2[[#This Row],[Значение]])</f>
        <v>15975.34</v>
      </c>
      <c r="G1674" s="12">
        <v>44896</v>
      </c>
      <c r="H1674" s="10" t="str">
        <f>IFERROR(VLOOKUP(Таблицаx_2[[#This Row],[id]],prolongations!A:C,2,)," ")</f>
        <v>декабрь 2022</v>
      </c>
      <c r="I1674" s="10">
        <f>IF(Таблицаx_2[[#This Row],[Месяц окончания]]=Таблицаx_2[[#This Row],[Месяц]],Таблицаx_2[[#This Row],[Значения числа]],0)</f>
        <v>0</v>
      </c>
      <c r="J1674" s="8">
        <f>IF(AND(Таблицаx_2[[#This Row],[Месяц окончания]]=Таблицаx_2[[#This Row],[Месяц]],Таблицаx_2[[#This Row],[id]]=A1675,EDATE(Таблицаx_2[[#This Row],[Месяц]],1)=D1675),F1675,0)</f>
        <v>0</v>
      </c>
      <c r="K1674" s="8">
        <f>IF(AND(Таблицаx_2[[#This Row],[Месяц окончания]]=Таблицаx_2[[#This Row],[Месяц]],Таблицаx_2[[#This Row],[id]]=A1675,EDATE(Таблицаx_2[[#This Row],[Месяц]],2)=D1675),F1675,0)</f>
        <v>0</v>
      </c>
    </row>
    <row r="1675" spans="1:11" ht="12.75" hidden="1" customHeight="1" x14ac:dyDescent="0.2">
      <c r="A1675" s="8">
        <v>947</v>
      </c>
      <c r="B1675" s="8"/>
      <c r="C1675" s="8" t="s">
        <v>4</v>
      </c>
      <c r="D1675" s="12">
        <v>45139</v>
      </c>
      <c r="E1675" s="8">
        <v>88838</v>
      </c>
      <c r="F1675" s="10">
        <f>IF(ISTEXT(Таблицаx_2[[#This Row],[Значение]]), 0, Таблицаx_2[[#This Row],[Значение]])</f>
        <v>88838</v>
      </c>
      <c r="G1675" s="12">
        <v>45200</v>
      </c>
      <c r="H1675" s="10" t="str">
        <f>IFERROR(VLOOKUP(Таблицаx_2[[#This Row],[id]],prolongations!A:C,2,)," ")</f>
        <v>октябрь 2023</v>
      </c>
      <c r="I1675" s="10">
        <f>IF(Таблицаx_2[[#This Row],[Месяц окончания]]=Таблицаx_2[[#This Row],[Месяц]],Таблицаx_2[[#This Row],[Значения числа]],0)</f>
        <v>0</v>
      </c>
      <c r="J1675" s="8">
        <f>IF(AND(Таблицаx_2[[#This Row],[Месяц окончания]]=Таблицаx_2[[#This Row],[Месяц]],Таблицаx_2[[#This Row],[id]]=A1676,EDATE(Таблицаx_2[[#This Row],[Месяц]],1)=D1676),F1676,0)</f>
        <v>0</v>
      </c>
      <c r="K1675" s="8">
        <f>IF(AND(Таблицаx_2[[#This Row],[Месяц окончания]]=Таблицаx_2[[#This Row],[Месяц]],Таблицаx_2[[#This Row],[id]]=A1676,EDATE(Таблицаx_2[[#This Row],[Месяц]],2)=D1676),F1676,0)</f>
        <v>0</v>
      </c>
    </row>
    <row r="1676" spans="1:11" ht="12.75" hidden="1" customHeight="1" x14ac:dyDescent="0.2">
      <c r="A1676" s="8">
        <v>947</v>
      </c>
      <c r="B1676" s="8"/>
      <c r="C1676" s="8" t="s">
        <v>4</v>
      </c>
      <c r="D1676" s="12">
        <v>45170</v>
      </c>
      <c r="E1676" s="8">
        <v>100891</v>
      </c>
      <c r="F1676" s="10">
        <f>IF(ISTEXT(Таблицаx_2[[#This Row],[Значение]]), 0, Таблицаx_2[[#This Row],[Значение]])</f>
        <v>100891</v>
      </c>
      <c r="G1676" s="12">
        <v>45200</v>
      </c>
      <c r="H1676" s="10" t="str">
        <f>IFERROR(VLOOKUP(Таблицаx_2[[#This Row],[id]],prolongations!A:C,2,)," ")</f>
        <v>октябрь 2023</v>
      </c>
      <c r="I1676" s="10">
        <f>IF(Таблицаx_2[[#This Row],[Месяц окончания]]=Таблицаx_2[[#This Row],[Месяц]],Таблицаx_2[[#This Row],[Значения числа]],0)</f>
        <v>0</v>
      </c>
      <c r="J1676" s="8">
        <f>IF(AND(Таблицаx_2[[#This Row],[Месяц окончания]]=Таблицаx_2[[#This Row],[Месяц]],Таблицаx_2[[#This Row],[id]]=A1677,EDATE(Таблицаx_2[[#This Row],[Месяц]],1)=D1677),F1677,0)</f>
        <v>0</v>
      </c>
      <c r="K1676" s="8">
        <f>IF(AND(Таблицаx_2[[#This Row],[Месяц окончания]]=Таблицаx_2[[#This Row],[Месяц]],Таблицаx_2[[#This Row],[id]]=A1677,EDATE(Таблицаx_2[[#This Row],[Месяц]],2)=D1677),F1677,0)</f>
        <v>0</v>
      </c>
    </row>
    <row r="1677" spans="1:11" ht="12.75" hidden="1" customHeight="1" x14ac:dyDescent="0.2">
      <c r="A1677" s="8">
        <v>947</v>
      </c>
      <c r="B1677" s="8"/>
      <c r="C1677" s="8" t="s">
        <v>4</v>
      </c>
      <c r="D1677" s="12">
        <v>45200</v>
      </c>
      <c r="E1677" s="8">
        <v>106346</v>
      </c>
      <c r="F1677" s="10">
        <f>IF(ISTEXT(Таблицаx_2[[#This Row],[Значение]]), 0, Таблицаx_2[[#This Row],[Значение]])</f>
        <v>106346</v>
      </c>
      <c r="G1677" s="12">
        <v>45200</v>
      </c>
      <c r="H1677" s="10" t="str">
        <f>IFERROR(VLOOKUP(Таблицаx_2[[#This Row],[id]],prolongations!A:C,2,)," ")</f>
        <v>октябрь 2023</v>
      </c>
      <c r="I1677" s="10">
        <f>IF(Таблицаx_2[[#This Row],[Месяц окончания]]=Таблицаx_2[[#This Row],[Месяц]],Таблицаx_2[[#This Row],[Значения числа]],0)</f>
        <v>106346</v>
      </c>
      <c r="J1677" s="8">
        <f>IF(AND(Таблицаx_2[[#This Row],[Месяц окончания]]=Таблицаx_2[[#This Row],[Месяц]],Таблицаx_2[[#This Row],[id]]=A1678,EDATE(Таблицаx_2[[#This Row],[Месяц]],1)=D1678),F1678,0)</f>
        <v>70709</v>
      </c>
      <c r="K1677" s="8">
        <f>IF(AND(Таблицаx_2[[#This Row],[Месяц окончания]]=Таблицаx_2[[#This Row],[Месяц]],Таблицаx_2[[#This Row],[id]]=A1678,EDATE(Таблицаx_2[[#This Row],[Месяц]],2)=D1678),F1678,0)</f>
        <v>0</v>
      </c>
    </row>
    <row r="1678" spans="1:11" ht="12.75" hidden="1" customHeight="1" x14ac:dyDescent="0.2">
      <c r="A1678" s="8">
        <v>947</v>
      </c>
      <c r="B1678" s="8"/>
      <c r="C1678" s="8" t="s">
        <v>4</v>
      </c>
      <c r="D1678" s="12">
        <v>45231</v>
      </c>
      <c r="E1678" s="8">
        <v>70709</v>
      </c>
      <c r="F1678" s="10">
        <f>IF(ISTEXT(Таблицаx_2[[#This Row],[Значение]]), 0, Таблицаx_2[[#This Row],[Значение]])</f>
        <v>70709</v>
      </c>
      <c r="G1678" s="12">
        <v>45200</v>
      </c>
      <c r="H1678" s="10" t="str">
        <f>IFERROR(VLOOKUP(Таблицаx_2[[#This Row],[id]],prolongations!A:C,2,)," ")</f>
        <v>октябрь 2023</v>
      </c>
      <c r="I1678" s="10">
        <f>IF(Таблицаx_2[[#This Row],[Месяц окончания]]=Таблицаx_2[[#This Row],[Месяц]],Таблицаx_2[[#This Row],[Значения числа]],0)</f>
        <v>0</v>
      </c>
      <c r="J1678" s="8">
        <f>IF(AND(Таблицаx_2[[#This Row],[Месяц окончания]]=Таблицаx_2[[#This Row],[Месяц]],Таблицаx_2[[#This Row],[id]]=A1679,EDATE(Таблицаx_2[[#This Row],[Месяц]],1)=D1679),F1679,0)</f>
        <v>0</v>
      </c>
      <c r="K1678" s="8">
        <f>IF(AND(Таблицаx_2[[#This Row],[Месяц окончания]]=Таблицаx_2[[#This Row],[Месяц]],Таблицаx_2[[#This Row],[id]]=A1679,EDATE(Таблицаx_2[[#This Row],[Месяц]],2)=D1679),F1679,0)</f>
        <v>0</v>
      </c>
    </row>
    <row r="1679" spans="1:11" ht="12.75" hidden="1" customHeight="1" x14ac:dyDescent="0.2">
      <c r="A1679" s="8">
        <v>947</v>
      </c>
      <c r="B1679" s="8"/>
      <c r="C1679" s="8" t="s">
        <v>4</v>
      </c>
      <c r="D1679" s="12">
        <v>45261</v>
      </c>
      <c r="E1679" s="8">
        <v>107411</v>
      </c>
      <c r="F1679" s="10">
        <f>IF(ISTEXT(Таблицаx_2[[#This Row],[Значение]]), 0, Таблицаx_2[[#This Row],[Значение]])</f>
        <v>107411</v>
      </c>
      <c r="G1679" s="12">
        <v>45200</v>
      </c>
      <c r="H1679" s="10" t="str">
        <f>IFERROR(VLOOKUP(Таблицаx_2[[#This Row],[id]],prolongations!A:C,2,)," ")</f>
        <v>октябрь 2023</v>
      </c>
      <c r="I1679" s="10">
        <f>IF(Таблицаx_2[[#This Row],[Месяц окончания]]=Таблицаx_2[[#This Row],[Месяц]],Таблицаx_2[[#This Row],[Значения числа]],0)</f>
        <v>0</v>
      </c>
      <c r="J1679" s="8">
        <f>IF(AND(Таблицаx_2[[#This Row],[Месяц окончания]]=Таблицаx_2[[#This Row],[Месяц]],Таблицаx_2[[#This Row],[id]]=A1680,EDATE(Таблицаx_2[[#This Row],[Месяц]],1)=D1680),F1680,0)</f>
        <v>0</v>
      </c>
      <c r="K1679" s="8">
        <f>IF(AND(Таблицаx_2[[#This Row],[Месяц окончания]]=Таблицаx_2[[#This Row],[Месяц]],Таблицаx_2[[#This Row],[id]]=A1680,EDATE(Таблицаx_2[[#This Row],[Месяц]],2)=D1680),F1680,0)</f>
        <v>0</v>
      </c>
    </row>
    <row r="1680" spans="1:11" ht="12.75" hidden="1" customHeight="1" x14ac:dyDescent="0.2">
      <c r="A1680" s="8">
        <v>708</v>
      </c>
      <c r="B1680" s="8" t="s">
        <v>45</v>
      </c>
      <c r="C1680" s="8" t="s">
        <v>4</v>
      </c>
      <c r="D1680" s="12">
        <v>44866</v>
      </c>
      <c r="E1680" s="8">
        <v>343745</v>
      </c>
      <c r="F1680" s="10">
        <f>IF(ISTEXT(Таблицаx_2[[#This Row],[Значение]]), 0, Таблицаx_2[[#This Row],[Значение]])</f>
        <v>343745</v>
      </c>
      <c r="G1680" s="12">
        <v>44896</v>
      </c>
      <c r="H1680" s="10" t="str">
        <f>IFERROR(VLOOKUP(Таблицаx_2[[#This Row],[id]],prolongations!A:C,2,)," ")</f>
        <v>декабрь 2022</v>
      </c>
      <c r="I1680" s="10">
        <f>IF(Таблицаx_2[[#This Row],[Месяц окончания]]=Таблицаx_2[[#This Row],[Месяц]],Таблицаx_2[[#This Row],[Значения числа]],0)</f>
        <v>0</v>
      </c>
      <c r="J1680" s="8">
        <f>IF(AND(Таблицаx_2[[#This Row],[Месяц окончания]]=Таблицаx_2[[#This Row],[Месяц]],Таблицаx_2[[#This Row],[id]]=A1681,EDATE(Таблицаx_2[[#This Row],[Месяц]],1)=D1681),F1681,0)</f>
        <v>0</v>
      </c>
      <c r="K1680" s="8">
        <f>IF(AND(Таблицаx_2[[#This Row],[Месяц окончания]]=Таблицаx_2[[#This Row],[Месяц]],Таблицаx_2[[#This Row],[id]]=A1681,EDATE(Таблицаx_2[[#This Row],[Месяц]],2)=D1681),F1681,0)</f>
        <v>0</v>
      </c>
    </row>
    <row r="1681" spans="1:11" hidden="1" x14ac:dyDescent="0.2">
      <c r="A1681" s="8">
        <v>708</v>
      </c>
      <c r="B1681" s="8" t="s">
        <v>45</v>
      </c>
      <c r="C1681" s="8" t="s">
        <v>4</v>
      </c>
      <c r="D1681" s="12">
        <v>44896</v>
      </c>
      <c r="E1681" s="8">
        <v>501895</v>
      </c>
      <c r="F1681" s="10">
        <f>IF(ISTEXT(Таблицаx_2[[#This Row],[Значение]]), 0, Таблицаx_2[[#This Row],[Значение]])</f>
        <v>501895</v>
      </c>
      <c r="G1681" s="12">
        <v>44896</v>
      </c>
      <c r="H1681" s="10" t="str">
        <f>IFERROR(VLOOKUP(Таблицаx_2[[#This Row],[id]],prolongations!A:C,2,)," ")</f>
        <v>декабрь 2022</v>
      </c>
      <c r="I1681" s="10">
        <f>IF(Таблицаx_2[[#This Row],[Месяц окончания]]=Таблицаx_2[[#This Row],[Месяц]],Таблицаx_2[[#This Row],[Значения числа]],0)</f>
        <v>501895</v>
      </c>
      <c r="J1681" s="8">
        <f>IF(AND(Таблицаx_2[[#This Row],[Месяц окончания]]=Таблицаx_2[[#This Row],[Месяц]],Таблицаx_2[[#This Row],[id]]=A1682,EDATE(Таблицаx_2[[#This Row],[Месяц]],1)=D1682),F1682,0)</f>
        <v>660475</v>
      </c>
      <c r="K1681" s="8">
        <f>IF(AND(Таблицаx_2[[#This Row],[Месяц окончания]]=Таблицаx_2[[#This Row],[Месяц]],Таблицаx_2[[#This Row],[id]]=A1682,EDATE(Таблицаx_2[[#This Row],[Месяц]],2)=D1682),F1682,0)</f>
        <v>0</v>
      </c>
    </row>
    <row r="1682" spans="1:11" ht="12.75" hidden="1" customHeight="1" x14ac:dyDescent="0.2">
      <c r="A1682" s="8">
        <v>708</v>
      </c>
      <c r="B1682" s="8" t="s">
        <v>45</v>
      </c>
      <c r="C1682" s="8" t="s">
        <v>4</v>
      </c>
      <c r="D1682" s="12">
        <v>44927</v>
      </c>
      <c r="E1682" s="8">
        <v>660475</v>
      </c>
      <c r="F1682" s="10">
        <f>IF(ISTEXT(Таблицаx_2[[#This Row],[Значение]]), 0, Таблицаx_2[[#This Row],[Значение]])</f>
        <v>660475</v>
      </c>
      <c r="G1682" s="12">
        <v>44896</v>
      </c>
      <c r="H1682" s="10" t="str">
        <f>IFERROR(VLOOKUP(Таблицаx_2[[#This Row],[id]],prolongations!A:C,2,)," ")</f>
        <v>декабрь 2022</v>
      </c>
      <c r="I1682" s="10">
        <f>IF(Таблицаx_2[[#This Row],[Месяц окончания]]=Таблицаx_2[[#This Row],[Месяц]],Таблицаx_2[[#This Row],[Значения числа]],0)</f>
        <v>0</v>
      </c>
      <c r="J1682" s="8">
        <f>IF(AND(Таблицаx_2[[#This Row],[Месяц окончания]]=Таблицаx_2[[#This Row],[Месяц]],Таблицаx_2[[#This Row],[id]]=A1683,EDATE(Таблицаx_2[[#This Row],[Месяц]],1)=D1683),F1683,0)</f>
        <v>0</v>
      </c>
      <c r="K1682" s="8">
        <f>IF(AND(Таблицаx_2[[#This Row],[Месяц окончания]]=Таблицаx_2[[#This Row],[Месяц]],Таблицаx_2[[#This Row],[id]]=A1683,EDATE(Таблицаx_2[[#This Row],[Месяц]],2)=D1683),F1683,0)</f>
        <v>0</v>
      </c>
    </row>
    <row r="1683" spans="1:11" ht="12.75" hidden="1" customHeight="1" x14ac:dyDescent="0.2">
      <c r="A1683" s="8">
        <v>708</v>
      </c>
      <c r="B1683" s="8" t="s">
        <v>45</v>
      </c>
      <c r="C1683" s="8" t="s">
        <v>4</v>
      </c>
      <c r="D1683" s="12">
        <v>44958</v>
      </c>
      <c r="E1683" s="8">
        <v>743015</v>
      </c>
      <c r="F1683" s="10">
        <f>IF(ISTEXT(Таблицаx_2[[#This Row],[Значение]]), 0, Таблицаx_2[[#This Row],[Значение]])</f>
        <v>743015</v>
      </c>
      <c r="G1683" s="12">
        <v>44896</v>
      </c>
      <c r="H1683" s="10" t="str">
        <f>IFERROR(VLOOKUP(Таблицаx_2[[#This Row],[id]],prolongations!A:C,2,)," ")</f>
        <v>декабрь 2022</v>
      </c>
      <c r="I1683" s="10">
        <f>IF(Таблицаx_2[[#This Row],[Месяц окончания]]=Таблицаx_2[[#This Row],[Месяц]],Таблицаx_2[[#This Row],[Значения числа]],0)</f>
        <v>0</v>
      </c>
      <c r="J1683" s="8">
        <f>IF(AND(Таблицаx_2[[#This Row],[Месяц окончания]]=Таблицаx_2[[#This Row],[Месяц]],Таблицаx_2[[#This Row],[id]]=A1684,EDATE(Таблицаx_2[[#This Row],[Месяц]],1)=D1684),F1684,0)</f>
        <v>0</v>
      </c>
      <c r="K1683" s="8">
        <f>IF(AND(Таблицаx_2[[#This Row],[Месяц окончания]]=Таблицаx_2[[#This Row],[Месяц]],Таблицаx_2[[#This Row],[id]]=A1684,EDATE(Таблицаx_2[[#This Row],[Месяц]],2)=D1684),F1684,0)</f>
        <v>0</v>
      </c>
    </row>
    <row r="1684" spans="1:11" ht="12.75" hidden="1" customHeight="1" x14ac:dyDescent="0.2">
      <c r="A1684" s="8">
        <v>708</v>
      </c>
      <c r="B1684" s="8" t="s">
        <v>45</v>
      </c>
      <c r="C1684" s="8" t="s">
        <v>4</v>
      </c>
      <c r="D1684" s="12">
        <v>44986</v>
      </c>
      <c r="E1684" s="8">
        <v>780365</v>
      </c>
      <c r="F1684" s="10">
        <f>IF(ISTEXT(Таблицаx_2[[#This Row],[Значение]]), 0, Таблицаx_2[[#This Row],[Значение]])</f>
        <v>780365</v>
      </c>
      <c r="G1684" s="12">
        <v>44896</v>
      </c>
      <c r="H1684" s="10" t="str">
        <f>IFERROR(VLOOKUP(Таблицаx_2[[#This Row],[id]],prolongations!A:C,2,)," ")</f>
        <v>декабрь 2022</v>
      </c>
      <c r="I1684" s="10">
        <f>IF(Таблицаx_2[[#This Row],[Месяц окончания]]=Таблицаx_2[[#This Row],[Месяц]],Таблицаx_2[[#This Row],[Значения числа]],0)</f>
        <v>0</v>
      </c>
      <c r="J1684" s="8">
        <f>IF(AND(Таблицаx_2[[#This Row],[Месяц окончания]]=Таблицаx_2[[#This Row],[Месяц]],Таблицаx_2[[#This Row],[id]]=A1685,EDATE(Таблицаx_2[[#This Row],[Месяц]],1)=D1685),F1685,0)</f>
        <v>0</v>
      </c>
      <c r="K1684" s="8">
        <f>IF(AND(Таблицаx_2[[#This Row],[Месяц окончания]]=Таблицаx_2[[#This Row],[Месяц]],Таблицаx_2[[#This Row],[id]]=A1685,EDATE(Таблицаx_2[[#This Row],[Месяц]],2)=D1685),F1685,0)</f>
        <v>0</v>
      </c>
    </row>
    <row r="1685" spans="1:11" ht="12.75" hidden="1" customHeight="1" x14ac:dyDescent="0.2">
      <c r="A1685" s="8">
        <v>708</v>
      </c>
      <c r="B1685" s="8" t="s">
        <v>45</v>
      </c>
      <c r="C1685" s="8" t="s">
        <v>4</v>
      </c>
      <c r="D1685" s="12">
        <v>45017</v>
      </c>
      <c r="E1685" s="8">
        <v>676860</v>
      </c>
      <c r="F1685" s="10">
        <f>IF(ISTEXT(Таблицаx_2[[#This Row],[Значение]]), 0, Таблицаx_2[[#This Row],[Значение]])</f>
        <v>676860</v>
      </c>
      <c r="G1685" s="12">
        <v>44896</v>
      </c>
      <c r="H1685" s="10" t="str">
        <f>IFERROR(VLOOKUP(Таблицаx_2[[#This Row],[id]],prolongations!A:C,2,)," ")</f>
        <v>декабрь 2022</v>
      </c>
      <c r="I1685" s="10">
        <f>IF(Таблицаx_2[[#This Row],[Месяц окончания]]=Таблицаx_2[[#This Row],[Месяц]],Таблицаx_2[[#This Row],[Значения числа]],0)</f>
        <v>0</v>
      </c>
      <c r="J1685" s="8">
        <f>IF(AND(Таблицаx_2[[#This Row],[Месяц окончания]]=Таблицаx_2[[#This Row],[Месяц]],Таблицаx_2[[#This Row],[id]]=A1686,EDATE(Таблицаx_2[[#This Row],[Месяц]],1)=D1686),F1686,0)</f>
        <v>0</v>
      </c>
      <c r="K1685" s="8">
        <f>IF(AND(Таблицаx_2[[#This Row],[Месяц окончания]]=Таблицаx_2[[#This Row],[Месяц]],Таблицаx_2[[#This Row],[id]]=A1686,EDATE(Таблицаx_2[[#This Row],[Месяц]],2)=D1686),F1686,0)</f>
        <v>0</v>
      </c>
    </row>
    <row r="1686" spans="1:11" ht="12.75" hidden="1" customHeight="1" x14ac:dyDescent="0.2">
      <c r="A1686" s="8">
        <v>708</v>
      </c>
      <c r="B1686" s="8" t="s">
        <v>45</v>
      </c>
      <c r="C1686" s="8" t="s">
        <v>4</v>
      </c>
      <c r="D1686" s="12">
        <v>45047</v>
      </c>
      <c r="E1686" s="8">
        <v>142615</v>
      </c>
      <c r="F1686" s="10">
        <f>IF(ISTEXT(Таблицаx_2[[#This Row],[Значение]]), 0, Таблицаx_2[[#This Row],[Значение]])</f>
        <v>142615</v>
      </c>
      <c r="G1686" s="12">
        <v>44896</v>
      </c>
      <c r="H1686" s="10" t="str">
        <f>IFERROR(VLOOKUP(Таблицаx_2[[#This Row],[id]],prolongations!A:C,2,)," ")</f>
        <v>декабрь 2022</v>
      </c>
      <c r="I1686" s="10">
        <f>IF(Таблицаx_2[[#This Row],[Месяц окончания]]=Таблицаx_2[[#This Row],[Месяц]],Таблицаx_2[[#This Row],[Значения числа]],0)</f>
        <v>0</v>
      </c>
      <c r="J1686" s="8">
        <f>IF(AND(Таблицаx_2[[#This Row],[Месяц окончания]]=Таблицаx_2[[#This Row],[Месяц]],Таблицаx_2[[#This Row],[id]]=A1687,EDATE(Таблицаx_2[[#This Row],[Месяц]],1)=D1687),F1687,0)</f>
        <v>0</v>
      </c>
      <c r="K1686" s="8">
        <f>IF(AND(Таблицаx_2[[#This Row],[Месяц окончания]]=Таблицаx_2[[#This Row],[Месяц]],Таблицаx_2[[#This Row],[id]]=A1687,EDATE(Таблицаx_2[[#This Row],[Месяц]],2)=D1687),F1687,0)</f>
        <v>0</v>
      </c>
    </row>
    <row r="1687" spans="1:11" ht="12.75" hidden="1" customHeight="1" x14ac:dyDescent="0.2">
      <c r="A1687" s="8">
        <v>708</v>
      </c>
      <c r="B1687" s="8" t="s">
        <v>45</v>
      </c>
      <c r="C1687" s="8" t="s">
        <v>4</v>
      </c>
      <c r="D1687" s="12">
        <v>45078</v>
      </c>
      <c r="E1687" s="8">
        <v>161050</v>
      </c>
      <c r="F1687" s="10">
        <f>IF(ISTEXT(Таблицаx_2[[#This Row],[Значение]]), 0, Таблицаx_2[[#This Row],[Значение]])</f>
        <v>161050</v>
      </c>
      <c r="G1687" s="12">
        <v>44896</v>
      </c>
      <c r="H1687" s="10" t="str">
        <f>IFERROR(VLOOKUP(Таблицаx_2[[#This Row],[id]],prolongations!A:C,2,)," ")</f>
        <v>декабрь 2022</v>
      </c>
      <c r="I1687" s="10">
        <f>IF(Таблицаx_2[[#This Row],[Месяц окончания]]=Таблицаx_2[[#This Row],[Месяц]],Таблицаx_2[[#This Row],[Значения числа]],0)</f>
        <v>0</v>
      </c>
      <c r="J1687" s="8">
        <f>IF(AND(Таблицаx_2[[#This Row],[Месяц окончания]]=Таблицаx_2[[#This Row],[Месяц]],Таблицаx_2[[#This Row],[id]]=A1688,EDATE(Таблицаx_2[[#This Row],[Месяц]],1)=D1688),F1688,0)</f>
        <v>0</v>
      </c>
      <c r="K1687" s="8">
        <f>IF(AND(Таблицаx_2[[#This Row],[Месяц окончания]]=Таблицаx_2[[#This Row],[Месяц]],Таблицаx_2[[#This Row],[id]]=A1688,EDATE(Таблицаx_2[[#This Row],[Месяц]],2)=D1688),F1688,0)</f>
        <v>0</v>
      </c>
    </row>
    <row r="1688" spans="1:11" ht="12.75" hidden="1" customHeight="1" x14ac:dyDescent="0.2">
      <c r="A1688" s="8">
        <v>708</v>
      </c>
      <c r="B1688" s="8" t="s">
        <v>45</v>
      </c>
      <c r="C1688" s="8" t="s">
        <v>4</v>
      </c>
      <c r="D1688" s="12">
        <v>45108</v>
      </c>
      <c r="E1688" s="8">
        <v>141875</v>
      </c>
      <c r="F1688" s="10">
        <f>IF(ISTEXT(Таблицаx_2[[#This Row],[Значение]]), 0, Таблицаx_2[[#This Row],[Значение]])</f>
        <v>141875</v>
      </c>
      <c r="G1688" s="12">
        <v>44896</v>
      </c>
      <c r="H1688" s="10" t="str">
        <f>IFERROR(VLOOKUP(Таблицаx_2[[#This Row],[id]],prolongations!A:C,2,)," ")</f>
        <v>декабрь 2022</v>
      </c>
      <c r="I1688" s="10">
        <f>IF(Таблицаx_2[[#This Row],[Месяц окончания]]=Таблицаx_2[[#This Row],[Месяц]],Таблицаx_2[[#This Row],[Значения числа]],0)</f>
        <v>0</v>
      </c>
      <c r="J1688" s="8">
        <f>IF(AND(Таблицаx_2[[#This Row],[Месяц окончания]]=Таблицаx_2[[#This Row],[Месяц]],Таблицаx_2[[#This Row],[id]]=A1689,EDATE(Таблицаx_2[[#This Row],[Месяц]],1)=D1689),F1689,0)</f>
        <v>0</v>
      </c>
      <c r="K1688" s="8">
        <f>IF(AND(Таблицаx_2[[#This Row],[Месяц окончания]]=Таблицаx_2[[#This Row],[Месяц]],Таблицаx_2[[#This Row],[id]]=A1689,EDATE(Таблицаx_2[[#This Row],[Месяц]],2)=D1689),F1689,0)</f>
        <v>0</v>
      </c>
    </row>
    <row r="1689" spans="1:11" ht="12.75" hidden="1" customHeight="1" x14ac:dyDescent="0.2">
      <c r="A1689" s="8">
        <v>708</v>
      </c>
      <c r="B1689" s="8" t="s">
        <v>45</v>
      </c>
      <c r="C1689" s="8" t="s">
        <v>4</v>
      </c>
      <c r="D1689" s="12">
        <v>45139</v>
      </c>
      <c r="E1689" s="8">
        <v>141875</v>
      </c>
      <c r="F1689" s="10">
        <f>IF(ISTEXT(Таблицаx_2[[#This Row],[Значение]]), 0, Таблицаx_2[[#This Row],[Значение]])</f>
        <v>141875</v>
      </c>
      <c r="G1689" s="12">
        <v>44896</v>
      </c>
      <c r="H1689" s="10" t="str">
        <f>IFERROR(VLOOKUP(Таблицаx_2[[#This Row],[id]],prolongations!A:C,2,)," ")</f>
        <v>декабрь 2022</v>
      </c>
      <c r="I1689" s="10">
        <f>IF(Таблицаx_2[[#This Row],[Месяц окончания]]=Таблицаx_2[[#This Row],[Месяц]],Таблицаx_2[[#This Row],[Значения числа]],0)</f>
        <v>0</v>
      </c>
      <c r="J1689" s="8">
        <f>IF(AND(Таблицаx_2[[#This Row],[Месяц окончания]]=Таблицаx_2[[#This Row],[Месяц]],Таблицаx_2[[#This Row],[id]]=A1690,EDATE(Таблицаx_2[[#This Row],[Месяц]],1)=D1690),F1690,0)</f>
        <v>0</v>
      </c>
      <c r="K1689" s="8">
        <f>IF(AND(Таблицаx_2[[#This Row],[Месяц окончания]]=Таблицаx_2[[#This Row],[Месяц]],Таблицаx_2[[#This Row],[id]]=A1690,EDATE(Таблицаx_2[[#This Row],[Месяц]],2)=D1690),F1690,0)</f>
        <v>0</v>
      </c>
    </row>
    <row r="1690" spans="1:11" ht="12.75" hidden="1" customHeight="1" x14ac:dyDescent="0.2">
      <c r="A1690" s="8">
        <v>708</v>
      </c>
      <c r="B1690" s="8" t="s">
        <v>45</v>
      </c>
      <c r="C1690" s="8" t="s">
        <v>4</v>
      </c>
      <c r="D1690" s="12">
        <v>45170</v>
      </c>
      <c r="E1690" s="8">
        <v>187385</v>
      </c>
      <c r="F1690" s="10">
        <f>IF(ISTEXT(Таблицаx_2[[#This Row],[Значение]]), 0, Таблицаx_2[[#This Row],[Значение]])</f>
        <v>187385</v>
      </c>
      <c r="G1690" s="12">
        <v>44896</v>
      </c>
      <c r="H1690" s="10" t="str">
        <f>IFERROR(VLOOKUP(Таблицаx_2[[#This Row],[id]],prolongations!A:C,2,)," ")</f>
        <v>декабрь 2022</v>
      </c>
      <c r="I1690" s="10">
        <f>IF(Таблицаx_2[[#This Row],[Месяц окончания]]=Таблицаx_2[[#This Row],[Месяц]],Таблицаx_2[[#This Row],[Значения числа]],0)</f>
        <v>0</v>
      </c>
      <c r="J1690" s="8">
        <f>IF(AND(Таблицаx_2[[#This Row],[Месяц окончания]]=Таблицаx_2[[#This Row],[Месяц]],Таблицаx_2[[#This Row],[id]]=A1691,EDATE(Таблицаx_2[[#This Row],[Месяц]],1)=D1691),F1691,0)</f>
        <v>0</v>
      </c>
      <c r="K1690" s="8">
        <f>IF(AND(Таблицаx_2[[#This Row],[Месяц окончания]]=Таблицаx_2[[#This Row],[Месяц]],Таблицаx_2[[#This Row],[id]]=A1691,EDATE(Таблицаx_2[[#This Row],[Месяц]],2)=D1691),F1691,0)</f>
        <v>0</v>
      </c>
    </row>
    <row r="1691" spans="1:11" ht="12.75" hidden="1" customHeight="1" x14ac:dyDescent="0.2">
      <c r="A1691" s="8">
        <v>708</v>
      </c>
      <c r="B1691" s="8" t="s">
        <v>45</v>
      </c>
      <c r="C1691" s="8" t="s">
        <v>4</v>
      </c>
      <c r="D1691" s="12">
        <v>45200</v>
      </c>
      <c r="E1691" s="8">
        <v>355915</v>
      </c>
      <c r="F1691" s="10">
        <f>IF(ISTEXT(Таблицаx_2[[#This Row],[Значение]]), 0, Таблицаx_2[[#This Row],[Значение]])</f>
        <v>355915</v>
      </c>
      <c r="G1691" s="12">
        <v>44896</v>
      </c>
      <c r="H1691" s="10" t="str">
        <f>IFERROR(VLOOKUP(Таблицаx_2[[#This Row],[id]],prolongations!A:C,2,)," ")</f>
        <v>декабрь 2022</v>
      </c>
      <c r="I1691" s="10">
        <f>IF(Таблицаx_2[[#This Row],[Месяц окончания]]=Таблицаx_2[[#This Row],[Месяц]],Таблицаx_2[[#This Row],[Значения числа]],0)</f>
        <v>0</v>
      </c>
      <c r="J1691" s="8">
        <f>IF(AND(Таблицаx_2[[#This Row],[Месяц окончания]]=Таблицаx_2[[#This Row],[Месяц]],Таблицаx_2[[#This Row],[id]]=A1692,EDATE(Таблицаx_2[[#This Row],[Месяц]],1)=D1692),F1692,0)</f>
        <v>0</v>
      </c>
      <c r="K1691" s="8">
        <f>IF(AND(Таблицаx_2[[#This Row],[Месяц окончания]]=Таблицаx_2[[#This Row],[Месяц]],Таблицаx_2[[#This Row],[id]]=A1692,EDATE(Таблицаx_2[[#This Row],[Месяц]],2)=D1692),F1692,0)</f>
        <v>0</v>
      </c>
    </row>
    <row r="1692" spans="1:11" ht="12.75" hidden="1" customHeight="1" x14ac:dyDescent="0.2">
      <c r="A1692" s="8">
        <v>708</v>
      </c>
      <c r="B1692" s="8" t="s">
        <v>45</v>
      </c>
      <c r="C1692" s="8" t="s">
        <v>4</v>
      </c>
      <c r="D1692" s="12">
        <v>45231</v>
      </c>
      <c r="E1692" s="8">
        <v>356355</v>
      </c>
      <c r="F1692" s="10">
        <f>IF(ISTEXT(Таблицаx_2[[#This Row],[Значение]]), 0, Таблицаx_2[[#This Row],[Значение]])</f>
        <v>356355</v>
      </c>
      <c r="G1692" s="12">
        <v>44896</v>
      </c>
      <c r="H1692" s="10" t="str">
        <f>IFERROR(VLOOKUP(Таблицаx_2[[#This Row],[id]],prolongations!A:C,2,)," ")</f>
        <v>декабрь 2022</v>
      </c>
      <c r="I1692" s="10">
        <f>IF(Таблицаx_2[[#This Row],[Месяц окончания]]=Таблицаx_2[[#This Row],[Месяц]],Таблицаx_2[[#This Row],[Значения числа]],0)</f>
        <v>0</v>
      </c>
      <c r="J1692" s="8">
        <f>IF(AND(Таблицаx_2[[#This Row],[Месяц окончания]]=Таблицаx_2[[#This Row],[Месяц]],Таблицаx_2[[#This Row],[id]]=A1693,EDATE(Таблицаx_2[[#This Row],[Месяц]],1)=D1693),F1693,0)</f>
        <v>0</v>
      </c>
      <c r="K1692" s="8">
        <f>IF(AND(Таблицаx_2[[#This Row],[Месяц окончания]]=Таблицаx_2[[#This Row],[Месяц]],Таблицаx_2[[#This Row],[id]]=A1693,EDATE(Таблицаx_2[[#This Row],[Месяц]],2)=D1693),F1693,0)</f>
        <v>0</v>
      </c>
    </row>
    <row r="1693" spans="1:11" ht="12.75" hidden="1" customHeight="1" x14ac:dyDescent="0.2">
      <c r="A1693" s="8">
        <v>708</v>
      </c>
      <c r="B1693" s="8" t="s">
        <v>45</v>
      </c>
      <c r="C1693" s="8" t="s">
        <v>4</v>
      </c>
      <c r="D1693" s="12">
        <v>45261</v>
      </c>
      <c r="E1693" s="8">
        <v>357250</v>
      </c>
      <c r="F1693" s="10">
        <f>IF(ISTEXT(Таблицаx_2[[#This Row],[Значение]]), 0, Таблицаx_2[[#This Row],[Значение]])</f>
        <v>357250</v>
      </c>
      <c r="G1693" s="12">
        <v>44896</v>
      </c>
      <c r="H1693" s="10" t="str">
        <f>IFERROR(VLOOKUP(Таблицаx_2[[#This Row],[id]],prolongations!A:C,2,)," ")</f>
        <v>декабрь 2022</v>
      </c>
      <c r="I1693" s="10">
        <f>IF(Таблицаx_2[[#This Row],[Месяц окончания]]=Таблицаx_2[[#This Row],[Месяц]],Таблицаx_2[[#This Row],[Значения числа]],0)</f>
        <v>0</v>
      </c>
      <c r="J1693" s="8">
        <f>IF(AND(Таблицаx_2[[#This Row],[Месяц окончания]]=Таблицаx_2[[#This Row],[Месяц]],Таблицаx_2[[#This Row],[id]]=A1694,EDATE(Таблицаx_2[[#This Row],[Месяц]],1)=D1694),F1694,0)</f>
        <v>0</v>
      </c>
      <c r="K1693" s="8">
        <f>IF(AND(Таблицаx_2[[#This Row],[Месяц окончания]]=Таблицаx_2[[#This Row],[Месяц]],Таблицаx_2[[#This Row],[id]]=A1694,EDATE(Таблицаx_2[[#This Row],[Месяц]],2)=D1694),F1694,0)</f>
        <v>0</v>
      </c>
    </row>
    <row r="1694" spans="1:11" ht="12.75" hidden="1" customHeight="1" x14ac:dyDescent="0.2">
      <c r="A1694" s="8">
        <v>708</v>
      </c>
      <c r="B1694" s="8" t="s">
        <v>47</v>
      </c>
      <c r="C1694" s="8" t="s">
        <v>4</v>
      </c>
      <c r="D1694" s="12">
        <v>44958</v>
      </c>
      <c r="E1694" s="8">
        <v>9500</v>
      </c>
      <c r="F1694" s="10">
        <f>IF(ISTEXT(Таблицаx_2[[#This Row],[Значение]]), 0, Таблицаx_2[[#This Row],[Значение]])</f>
        <v>9500</v>
      </c>
      <c r="G1694" s="12">
        <v>44896</v>
      </c>
      <c r="H1694" s="10" t="str">
        <f>IFERROR(VLOOKUP(Таблицаx_2[[#This Row],[id]],prolongations!A:C,2,)," ")</f>
        <v>декабрь 2022</v>
      </c>
      <c r="I1694" s="10">
        <f>IF(Таблицаx_2[[#This Row],[Месяц окончания]]=Таблицаx_2[[#This Row],[Месяц]],Таблицаx_2[[#This Row],[Значения числа]],0)</f>
        <v>0</v>
      </c>
      <c r="J1694" s="8">
        <f>IF(AND(Таблицаx_2[[#This Row],[Месяц окончания]]=Таблицаx_2[[#This Row],[Месяц]],Таблицаx_2[[#This Row],[id]]=A1695,EDATE(Таблицаx_2[[#This Row],[Месяц]],1)=D1695),F1695,0)</f>
        <v>0</v>
      </c>
      <c r="K1694" s="8">
        <f>IF(AND(Таблицаx_2[[#This Row],[Месяц окончания]]=Таблицаx_2[[#This Row],[Месяц]],Таблицаx_2[[#This Row],[id]]=A1695,EDATE(Таблицаx_2[[#This Row],[Месяц]],2)=D1695),F1695,0)</f>
        <v>0</v>
      </c>
    </row>
    <row r="1695" spans="1:11" ht="12.75" hidden="1" customHeight="1" x14ac:dyDescent="0.2">
      <c r="A1695" s="8">
        <v>708</v>
      </c>
      <c r="B1695" s="8" t="s">
        <v>47</v>
      </c>
      <c r="C1695" s="8" t="s">
        <v>4</v>
      </c>
      <c r="D1695" s="12">
        <v>44986</v>
      </c>
      <c r="E1695" s="8">
        <v>14725</v>
      </c>
      <c r="F1695" s="10">
        <f>IF(ISTEXT(Таблицаx_2[[#This Row],[Значение]]), 0, Таблицаx_2[[#This Row],[Значение]])</f>
        <v>14725</v>
      </c>
      <c r="G1695" s="12">
        <v>44896</v>
      </c>
      <c r="H1695" s="10" t="str">
        <f>IFERROR(VLOOKUP(Таблицаx_2[[#This Row],[id]],prolongations!A:C,2,)," ")</f>
        <v>декабрь 2022</v>
      </c>
      <c r="I1695" s="10">
        <f>IF(Таблицаx_2[[#This Row],[Месяц окончания]]=Таблицаx_2[[#This Row],[Месяц]],Таблицаx_2[[#This Row],[Значения числа]],0)</f>
        <v>0</v>
      </c>
      <c r="J1695" s="8">
        <f>IF(AND(Таблицаx_2[[#This Row],[Месяц окончания]]=Таблицаx_2[[#This Row],[Месяц]],Таблицаx_2[[#This Row],[id]]=A1696,EDATE(Таблицаx_2[[#This Row],[Месяц]],1)=D1696),F1696,0)</f>
        <v>0</v>
      </c>
      <c r="K1695" s="8">
        <f>IF(AND(Таблицаx_2[[#This Row],[Месяц окончания]]=Таблицаx_2[[#This Row],[Месяц]],Таблицаx_2[[#This Row],[id]]=A1696,EDATE(Таблицаx_2[[#This Row],[Месяц]],2)=D1696),F1696,0)</f>
        <v>0</v>
      </c>
    </row>
    <row r="1696" spans="1:11" ht="12.75" hidden="1" customHeight="1" x14ac:dyDescent="0.2">
      <c r="A1696" s="8">
        <v>708</v>
      </c>
      <c r="B1696" s="8" t="s">
        <v>47</v>
      </c>
      <c r="C1696" s="8" t="s">
        <v>4</v>
      </c>
      <c r="D1696" s="12">
        <v>45017</v>
      </c>
      <c r="E1696" s="8">
        <v>7125</v>
      </c>
      <c r="F1696" s="10">
        <f>IF(ISTEXT(Таблицаx_2[[#This Row],[Значение]]), 0, Таблицаx_2[[#This Row],[Значение]])</f>
        <v>7125</v>
      </c>
      <c r="G1696" s="12">
        <v>44896</v>
      </c>
      <c r="H1696" s="10" t="str">
        <f>IFERROR(VLOOKUP(Таблицаx_2[[#This Row],[id]],prolongations!A:C,2,)," ")</f>
        <v>декабрь 2022</v>
      </c>
      <c r="I1696" s="10">
        <f>IF(Таблицаx_2[[#This Row],[Месяц окончания]]=Таблицаx_2[[#This Row],[Месяц]],Таблицаx_2[[#This Row],[Значения числа]],0)</f>
        <v>0</v>
      </c>
      <c r="J1696" s="8">
        <f>IF(AND(Таблицаx_2[[#This Row],[Месяц окончания]]=Таблицаx_2[[#This Row],[Месяц]],Таблицаx_2[[#This Row],[id]]=A1697,EDATE(Таблицаx_2[[#This Row],[Месяц]],1)=D1697),F1697,0)</f>
        <v>0</v>
      </c>
      <c r="K1696" s="8">
        <f>IF(AND(Таблицаx_2[[#This Row],[Месяц окончания]]=Таблицаx_2[[#This Row],[Месяц]],Таблицаx_2[[#This Row],[id]]=A1697,EDATE(Таблицаx_2[[#This Row],[Месяц]],2)=D1697),F1697,0)</f>
        <v>0</v>
      </c>
    </row>
    <row r="1697" spans="1:11" ht="12.75" hidden="1" customHeight="1" x14ac:dyDescent="0.2">
      <c r="A1697" s="8">
        <v>708</v>
      </c>
      <c r="B1697" s="8" t="s">
        <v>47</v>
      </c>
      <c r="C1697" s="8" t="s">
        <v>4</v>
      </c>
      <c r="D1697" s="12">
        <v>45047</v>
      </c>
      <c r="E1697" s="8">
        <v>2850</v>
      </c>
      <c r="F1697" s="10">
        <f>IF(ISTEXT(Таблицаx_2[[#This Row],[Значение]]), 0, Таблицаx_2[[#This Row],[Значение]])</f>
        <v>2850</v>
      </c>
      <c r="G1697" s="12">
        <v>44896</v>
      </c>
      <c r="H1697" s="10" t="str">
        <f>IFERROR(VLOOKUP(Таблицаx_2[[#This Row],[id]],prolongations!A:C,2,)," ")</f>
        <v>декабрь 2022</v>
      </c>
      <c r="I1697" s="10">
        <f>IF(Таблицаx_2[[#This Row],[Месяц окончания]]=Таблицаx_2[[#This Row],[Месяц]],Таблицаx_2[[#This Row],[Значения числа]],0)</f>
        <v>0</v>
      </c>
      <c r="J1697" s="8">
        <f>IF(AND(Таблицаx_2[[#This Row],[Месяц окончания]]=Таблицаx_2[[#This Row],[Месяц]],Таблицаx_2[[#This Row],[id]]=A1698,EDATE(Таблицаx_2[[#This Row],[Месяц]],1)=D1698),F1698,0)</f>
        <v>0</v>
      </c>
      <c r="K1697" s="8">
        <f>IF(AND(Таблицаx_2[[#This Row],[Месяц окончания]]=Таблицаx_2[[#This Row],[Месяц]],Таблицаx_2[[#This Row],[id]]=A1698,EDATE(Таблицаx_2[[#This Row],[Месяц]],2)=D1698),F1698,0)</f>
        <v>0</v>
      </c>
    </row>
    <row r="1698" spans="1:11" ht="12.75" hidden="1" customHeight="1" x14ac:dyDescent="0.2">
      <c r="A1698" s="8">
        <v>708</v>
      </c>
      <c r="B1698" s="8" t="s">
        <v>47</v>
      </c>
      <c r="C1698" s="8" t="s">
        <v>4</v>
      </c>
      <c r="D1698" s="12">
        <v>45078</v>
      </c>
      <c r="E1698" s="8">
        <v>2850</v>
      </c>
      <c r="F1698" s="10">
        <f>IF(ISTEXT(Таблицаx_2[[#This Row],[Значение]]), 0, Таблицаx_2[[#This Row],[Значение]])</f>
        <v>2850</v>
      </c>
      <c r="G1698" s="12">
        <v>44896</v>
      </c>
      <c r="H1698" s="10" t="str">
        <f>IFERROR(VLOOKUP(Таблицаx_2[[#This Row],[id]],prolongations!A:C,2,)," ")</f>
        <v>декабрь 2022</v>
      </c>
      <c r="I1698" s="10">
        <f>IF(Таблицаx_2[[#This Row],[Месяц окончания]]=Таблицаx_2[[#This Row],[Месяц]],Таблицаx_2[[#This Row],[Значения числа]],0)</f>
        <v>0</v>
      </c>
      <c r="J1698" s="8">
        <f>IF(AND(Таблицаx_2[[#This Row],[Месяц окончания]]=Таблицаx_2[[#This Row],[Месяц]],Таблицаx_2[[#This Row],[id]]=A1699,EDATE(Таблицаx_2[[#This Row],[Месяц]],1)=D1699),F1699,0)</f>
        <v>0</v>
      </c>
      <c r="K1698" s="8">
        <f>IF(AND(Таблицаx_2[[#This Row],[Месяц окончания]]=Таблицаx_2[[#This Row],[Месяц]],Таблицаx_2[[#This Row],[id]]=A1699,EDATE(Таблицаx_2[[#This Row],[Месяц]],2)=D1699),F1699,0)</f>
        <v>0</v>
      </c>
    </row>
    <row r="1699" spans="1:11" ht="12.75" hidden="1" customHeight="1" x14ac:dyDescent="0.2">
      <c r="A1699" s="8">
        <v>708</v>
      </c>
      <c r="B1699" s="8" t="s">
        <v>47</v>
      </c>
      <c r="C1699" s="8" t="s">
        <v>4</v>
      </c>
      <c r="D1699" s="12">
        <v>45108</v>
      </c>
      <c r="E1699" s="8">
        <v>2850</v>
      </c>
      <c r="F1699" s="10">
        <f>IF(ISTEXT(Таблицаx_2[[#This Row],[Значение]]), 0, Таблицаx_2[[#This Row],[Значение]])</f>
        <v>2850</v>
      </c>
      <c r="G1699" s="12">
        <v>44896</v>
      </c>
      <c r="H1699" s="10" t="str">
        <f>IFERROR(VLOOKUP(Таблицаx_2[[#This Row],[id]],prolongations!A:C,2,)," ")</f>
        <v>декабрь 2022</v>
      </c>
      <c r="I1699" s="10">
        <f>IF(Таблицаx_2[[#This Row],[Месяц окончания]]=Таблицаx_2[[#This Row],[Месяц]],Таблицаx_2[[#This Row],[Значения числа]],0)</f>
        <v>0</v>
      </c>
      <c r="J1699" s="8">
        <f>IF(AND(Таблицаx_2[[#This Row],[Месяц окончания]]=Таблицаx_2[[#This Row],[Месяц]],Таблицаx_2[[#This Row],[id]]=A1700,EDATE(Таблицаx_2[[#This Row],[Месяц]],1)=D1700),F1700,0)</f>
        <v>0</v>
      </c>
      <c r="K1699" s="8">
        <f>IF(AND(Таблицаx_2[[#This Row],[Месяц окончания]]=Таблицаx_2[[#This Row],[Месяц]],Таблицаx_2[[#This Row],[id]]=A1700,EDATE(Таблицаx_2[[#This Row],[Месяц]],2)=D1700),F1700,0)</f>
        <v>0</v>
      </c>
    </row>
    <row r="1700" spans="1:11" ht="12.75" hidden="1" customHeight="1" x14ac:dyDescent="0.2">
      <c r="A1700" s="8">
        <v>708</v>
      </c>
      <c r="B1700" s="8" t="s">
        <v>47</v>
      </c>
      <c r="C1700" s="8" t="s">
        <v>4</v>
      </c>
      <c r="D1700" s="12">
        <v>45139</v>
      </c>
      <c r="E1700" s="8">
        <v>2850</v>
      </c>
      <c r="F1700" s="10">
        <f>IF(ISTEXT(Таблицаx_2[[#This Row],[Значение]]), 0, Таблицаx_2[[#This Row],[Значение]])</f>
        <v>2850</v>
      </c>
      <c r="G1700" s="12">
        <v>44896</v>
      </c>
      <c r="H1700" s="10" t="str">
        <f>IFERROR(VLOOKUP(Таблицаx_2[[#This Row],[id]],prolongations!A:C,2,)," ")</f>
        <v>декабрь 2022</v>
      </c>
      <c r="I1700" s="10">
        <f>IF(Таблицаx_2[[#This Row],[Месяц окончания]]=Таблицаx_2[[#This Row],[Месяц]],Таблицаx_2[[#This Row],[Значения числа]],0)</f>
        <v>0</v>
      </c>
      <c r="J1700" s="8">
        <f>IF(AND(Таблицаx_2[[#This Row],[Месяц окончания]]=Таблицаx_2[[#This Row],[Месяц]],Таблицаx_2[[#This Row],[id]]=A1701,EDATE(Таблицаx_2[[#This Row],[Месяц]],1)=D1701),F1701,0)</f>
        <v>0</v>
      </c>
      <c r="K1700" s="8">
        <f>IF(AND(Таблицаx_2[[#This Row],[Месяц окончания]]=Таблицаx_2[[#This Row],[Месяц]],Таблицаx_2[[#This Row],[id]]=A1701,EDATE(Таблицаx_2[[#This Row],[Месяц]],2)=D1701),F1701,0)</f>
        <v>0</v>
      </c>
    </row>
    <row r="1701" spans="1:11" ht="12.75" hidden="1" customHeight="1" x14ac:dyDescent="0.2">
      <c r="A1701" s="8">
        <v>708</v>
      </c>
      <c r="B1701" s="8" t="s">
        <v>47</v>
      </c>
      <c r="C1701" s="8" t="s">
        <v>4</v>
      </c>
      <c r="D1701" s="12">
        <v>45170</v>
      </c>
      <c r="E1701" s="8">
        <v>3800</v>
      </c>
      <c r="F1701" s="10">
        <f>IF(ISTEXT(Таблицаx_2[[#This Row],[Значение]]), 0, Таблицаx_2[[#This Row],[Значение]])</f>
        <v>3800</v>
      </c>
      <c r="G1701" s="12">
        <v>44896</v>
      </c>
      <c r="H1701" s="10" t="str">
        <f>IFERROR(VLOOKUP(Таблицаx_2[[#This Row],[id]],prolongations!A:C,2,)," ")</f>
        <v>декабрь 2022</v>
      </c>
      <c r="I1701" s="10">
        <f>IF(Таблицаx_2[[#This Row],[Месяц окончания]]=Таблицаx_2[[#This Row],[Месяц]],Таблицаx_2[[#This Row],[Значения числа]],0)</f>
        <v>0</v>
      </c>
      <c r="J1701" s="8">
        <f>IF(AND(Таблицаx_2[[#This Row],[Месяц окончания]]=Таблицаx_2[[#This Row],[Месяц]],Таблицаx_2[[#This Row],[id]]=A1702,EDATE(Таблицаx_2[[#This Row],[Месяц]],1)=D1702),F1702,0)</f>
        <v>0</v>
      </c>
      <c r="K1701" s="8">
        <f>IF(AND(Таблицаx_2[[#This Row],[Месяц окончания]]=Таблицаx_2[[#This Row],[Месяц]],Таблицаx_2[[#This Row],[id]]=A1702,EDATE(Таблицаx_2[[#This Row],[Месяц]],2)=D1702),F1702,0)</f>
        <v>0</v>
      </c>
    </row>
    <row r="1702" spans="1:11" ht="12.75" hidden="1" customHeight="1" x14ac:dyDescent="0.2">
      <c r="A1702" s="8">
        <v>850</v>
      </c>
      <c r="B1702" s="8"/>
      <c r="C1702" s="8" t="s">
        <v>4</v>
      </c>
      <c r="D1702" s="12">
        <v>45047</v>
      </c>
      <c r="E1702" s="8">
        <v>84015</v>
      </c>
      <c r="F1702" s="10">
        <f>IF(ISTEXT(Таблицаx_2[[#This Row],[Значение]]), 0, Таблицаx_2[[#This Row],[Значение]])</f>
        <v>84015</v>
      </c>
      <c r="G1702" s="12">
        <v>45139</v>
      </c>
      <c r="H1702" s="10" t="str">
        <f>IFERROR(VLOOKUP(Таблицаx_2[[#This Row],[id]],prolongations!A:C,2,)," ")</f>
        <v>август 2023</v>
      </c>
      <c r="I1702" s="10">
        <f>IF(Таблицаx_2[[#This Row],[Месяц окончания]]=Таблицаx_2[[#This Row],[Месяц]],Таблицаx_2[[#This Row],[Значения числа]],0)</f>
        <v>0</v>
      </c>
      <c r="J1702" s="8">
        <f>IF(AND(Таблицаx_2[[#This Row],[Месяц окончания]]=Таблицаx_2[[#This Row],[Месяц]],Таблицаx_2[[#This Row],[id]]=A1703,EDATE(Таблицаx_2[[#This Row],[Месяц]],1)=D1703),F1703,0)</f>
        <v>0</v>
      </c>
      <c r="K1702" s="8">
        <f>IF(AND(Таблицаx_2[[#This Row],[Месяц окончания]]=Таблицаx_2[[#This Row],[Месяц]],Таблицаx_2[[#This Row],[id]]=A1703,EDATE(Таблицаx_2[[#This Row],[Месяц]],2)=D1703),F1703,0)</f>
        <v>0</v>
      </c>
    </row>
    <row r="1703" spans="1:11" ht="12.75" hidden="1" customHeight="1" x14ac:dyDescent="0.2">
      <c r="A1703" s="8">
        <v>850</v>
      </c>
      <c r="B1703" s="8"/>
      <c r="C1703" s="8" t="s">
        <v>4</v>
      </c>
      <c r="D1703" s="12">
        <v>45078</v>
      </c>
      <c r="E1703" s="8">
        <v>78015</v>
      </c>
      <c r="F1703" s="10">
        <f>IF(ISTEXT(Таблицаx_2[[#This Row],[Значение]]), 0, Таблицаx_2[[#This Row],[Значение]])</f>
        <v>78015</v>
      </c>
      <c r="G1703" s="12">
        <v>45139</v>
      </c>
      <c r="H1703" s="10" t="str">
        <f>IFERROR(VLOOKUP(Таблицаx_2[[#This Row],[id]],prolongations!A:C,2,)," ")</f>
        <v>август 2023</v>
      </c>
      <c r="I1703" s="10">
        <f>IF(Таблицаx_2[[#This Row],[Месяц окончания]]=Таблицаx_2[[#This Row],[Месяц]],Таблицаx_2[[#This Row],[Значения числа]],0)</f>
        <v>0</v>
      </c>
      <c r="J1703" s="8">
        <f>IF(AND(Таблицаx_2[[#This Row],[Месяц окончания]]=Таблицаx_2[[#This Row],[Месяц]],Таблицаx_2[[#This Row],[id]]=A1704,EDATE(Таблицаx_2[[#This Row],[Месяц]],1)=D1704),F1704,0)</f>
        <v>0</v>
      </c>
      <c r="K1703" s="8">
        <f>IF(AND(Таблицаx_2[[#This Row],[Месяц окончания]]=Таблицаx_2[[#This Row],[Месяц]],Таблицаx_2[[#This Row],[id]]=A1704,EDATE(Таблицаx_2[[#This Row],[Месяц]],2)=D1704),F1704,0)</f>
        <v>0</v>
      </c>
    </row>
    <row r="1704" spans="1:11" ht="12.75" hidden="1" customHeight="1" x14ac:dyDescent="0.2">
      <c r="A1704" s="8">
        <v>850</v>
      </c>
      <c r="B1704" s="8"/>
      <c r="C1704" s="8" t="s">
        <v>4</v>
      </c>
      <c r="D1704" s="12">
        <v>45108</v>
      </c>
      <c r="E1704" s="8">
        <v>78015</v>
      </c>
      <c r="F1704" s="10">
        <f>IF(ISTEXT(Таблицаx_2[[#This Row],[Значение]]), 0, Таблицаx_2[[#This Row],[Значение]])</f>
        <v>78015</v>
      </c>
      <c r="G1704" s="12">
        <v>45139</v>
      </c>
      <c r="H1704" s="10" t="str">
        <f>IFERROR(VLOOKUP(Таблицаx_2[[#This Row],[id]],prolongations!A:C,2,)," ")</f>
        <v>август 2023</v>
      </c>
      <c r="I1704" s="10">
        <f>IF(Таблицаx_2[[#This Row],[Месяц окончания]]=Таблицаx_2[[#This Row],[Месяц]],Таблицаx_2[[#This Row],[Значения числа]],0)</f>
        <v>0</v>
      </c>
      <c r="J1704" s="8">
        <f>IF(AND(Таблицаx_2[[#This Row],[Месяц окончания]]=Таблицаx_2[[#This Row],[Месяц]],Таблицаx_2[[#This Row],[id]]=A1705,EDATE(Таблицаx_2[[#This Row],[Месяц]],1)=D1705),F1705,0)</f>
        <v>0</v>
      </c>
      <c r="K1704" s="8">
        <f>IF(AND(Таблицаx_2[[#This Row],[Месяц окончания]]=Таблицаx_2[[#This Row],[Месяц]],Таблицаx_2[[#This Row],[id]]=A1705,EDATE(Таблицаx_2[[#This Row],[Месяц]],2)=D1705),F1705,0)</f>
        <v>0</v>
      </c>
    </row>
    <row r="1705" spans="1:11" ht="12.75" hidden="1" customHeight="1" x14ac:dyDescent="0.2">
      <c r="A1705" s="8">
        <v>850</v>
      </c>
      <c r="B1705" s="8"/>
      <c r="C1705" s="8" t="s">
        <v>4</v>
      </c>
      <c r="D1705" s="12">
        <v>45139</v>
      </c>
      <c r="E1705" s="8">
        <v>80505</v>
      </c>
      <c r="F1705" s="10">
        <f>IF(ISTEXT(Таблицаx_2[[#This Row],[Значение]]), 0, Таблицаx_2[[#This Row],[Значение]])</f>
        <v>80505</v>
      </c>
      <c r="G1705" s="12">
        <v>45139</v>
      </c>
      <c r="H1705" s="10" t="str">
        <f>IFERROR(VLOOKUP(Таблицаx_2[[#This Row],[id]],prolongations!A:C,2,)," ")</f>
        <v>август 2023</v>
      </c>
      <c r="I1705" s="10">
        <f>IF(Таблицаx_2[[#This Row],[Месяц окончания]]=Таблицаx_2[[#This Row],[Месяц]],Таблицаx_2[[#This Row],[Значения числа]],0)</f>
        <v>80505</v>
      </c>
      <c r="J1705" s="8">
        <f>IF(AND(Таблицаx_2[[#This Row],[Месяц окончания]]=Таблицаx_2[[#This Row],[Месяц]],Таблицаx_2[[#This Row],[id]]=A1706,EDATE(Таблицаx_2[[#This Row],[Месяц]],1)=D1706),F1706,0)</f>
        <v>80505</v>
      </c>
      <c r="K1705" s="8">
        <f>IF(AND(Таблицаx_2[[#This Row],[Месяц окончания]]=Таблицаx_2[[#This Row],[Месяц]],Таблицаx_2[[#This Row],[id]]=A1706,EDATE(Таблицаx_2[[#This Row],[Месяц]],2)=D1706),F1706,0)</f>
        <v>0</v>
      </c>
    </row>
    <row r="1706" spans="1:11" ht="12.75" hidden="1" customHeight="1" x14ac:dyDescent="0.2">
      <c r="A1706" s="8">
        <v>850</v>
      </c>
      <c r="B1706" s="8"/>
      <c r="C1706" s="8" t="s">
        <v>4</v>
      </c>
      <c r="D1706" s="12">
        <v>45170</v>
      </c>
      <c r="E1706" s="8">
        <v>80505</v>
      </c>
      <c r="F1706" s="10">
        <f>IF(ISTEXT(Таблицаx_2[[#This Row],[Значение]]), 0, Таблицаx_2[[#This Row],[Значение]])</f>
        <v>80505</v>
      </c>
      <c r="G1706" s="12">
        <v>45139</v>
      </c>
      <c r="H1706" s="10" t="str">
        <f>IFERROR(VLOOKUP(Таблицаx_2[[#This Row],[id]],prolongations!A:C,2,)," ")</f>
        <v>август 2023</v>
      </c>
      <c r="I1706" s="10">
        <f>IF(Таблицаx_2[[#This Row],[Месяц окончания]]=Таблицаx_2[[#This Row],[Месяц]],Таблицаx_2[[#This Row],[Значения числа]],0)</f>
        <v>0</v>
      </c>
      <c r="J1706" s="8">
        <f>IF(AND(Таблицаx_2[[#This Row],[Месяц окончания]]=Таблицаx_2[[#This Row],[Месяц]],Таблицаx_2[[#This Row],[id]]=A1707,EDATE(Таблицаx_2[[#This Row],[Месяц]],1)=D1707),F1707,0)</f>
        <v>0</v>
      </c>
      <c r="K1706" s="8">
        <f>IF(AND(Таблицаx_2[[#This Row],[Месяц окончания]]=Таблицаx_2[[#This Row],[Месяц]],Таблицаx_2[[#This Row],[id]]=A1707,EDATE(Таблицаx_2[[#This Row],[Месяц]],2)=D1707),F1707,0)</f>
        <v>0</v>
      </c>
    </row>
    <row r="1707" spans="1:11" ht="12.75" hidden="1" customHeight="1" x14ac:dyDescent="0.2">
      <c r="A1707" s="8">
        <v>850</v>
      </c>
      <c r="B1707" s="8"/>
      <c r="C1707" s="8" t="s">
        <v>4</v>
      </c>
      <c r="D1707" s="12">
        <v>45200</v>
      </c>
      <c r="E1707" s="8">
        <v>78660</v>
      </c>
      <c r="F1707" s="10">
        <f>IF(ISTEXT(Таблицаx_2[[#This Row],[Значение]]), 0, Таблицаx_2[[#This Row],[Значение]])</f>
        <v>78660</v>
      </c>
      <c r="G1707" s="12">
        <v>45139</v>
      </c>
      <c r="H1707" s="10" t="str">
        <f>IFERROR(VLOOKUP(Таблицаx_2[[#This Row],[id]],prolongations!A:C,2,)," ")</f>
        <v>август 2023</v>
      </c>
      <c r="I1707" s="10">
        <f>IF(Таблицаx_2[[#This Row],[Месяц окончания]]=Таблицаx_2[[#This Row],[Месяц]],Таблицаx_2[[#This Row],[Значения числа]],0)</f>
        <v>0</v>
      </c>
      <c r="J1707" s="8">
        <f>IF(AND(Таблицаx_2[[#This Row],[Месяц окончания]]=Таблицаx_2[[#This Row],[Месяц]],Таблицаx_2[[#This Row],[id]]=A1708,EDATE(Таблицаx_2[[#This Row],[Месяц]],1)=D1708),F1708,0)</f>
        <v>0</v>
      </c>
      <c r="K1707" s="8">
        <f>IF(AND(Таблицаx_2[[#This Row],[Месяц окончания]]=Таблицаx_2[[#This Row],[Месяц]],Таблицаx_2[[#This Row],[id]]=A1708,EDATE(Таблицаx_2[[#This Row],[Месяц]],2)=D1708),F1708,0)</f>
        <v>0</v>
      </c>
    </row>
    <row r="1708" spans="1:11" ht="12.75" hidden="1" customHeight="1" x14ac:dyDescent="0.2">
      <c r="A1708" s="8">
        <v>850</v>
      </c>
      <c r="B1708" s="8"/>
      <c r="C1708" s="8" t="s">
        <v>4</v>
      </c>
      <c r="D1708" s="12">
        <v>45231</v>
      </c>
      <c r="E1708" s="8">
        <v>80505</v>
      </c>
      <c r="F1708" s="10">
        <f>IF(ISTEXT(Таблицаx_2[[#This Row],[Значение]]), 0, Таблицаx_2[[#This Row],[Значение]])</f>
        <v>80505</v>
      </c>
      <c r="G1708" s="12">
        <v>45139</v>
      </c>
      <c r="H1708" s="10" t="str">
        <f>IFERROR(VLOOKUP(Таблицаx_2[[#This Row],[id]],prolongations!A:C,2,)," ")</f>
        <v>август 2023</v>
      </c>
      <c r="I1708" s="10">
        <f>IF(Таблицаx_2[[#This Row],[Месяц окончания]]=Таблицаx_2[[#This Row],[Месяц]],Таблицаx_2[[#This Row],[Значения числа]],0)</f>
        <v>0</v>
      </c>
      <c r="J1708" s="8">
        <f>IF(AND(Таблицаx_2[[#This Row],[Месяц окончания]]=Таблицаx_2[[#This Row],[Месяц]],Таблицаx_2[[#This Row],[id]]=A1709,EDATE(Таблицаx_2[[#This Row],[Месяц]],1)=D1709),F1709,0)</f>
        <v>0</v>
      </c>
      <c r="K1708" s="8">
        <f>IF(AND(Таблицаx_2[[#This Row],[Месяц окончания]]=Таблицаx_2[[#This Row],[Месяц]],Таблицаx_2[[#This Row],[id]]=A1709,EDATE(Таблицаx_2[[#This Row],[Месяц]],2)=D1709),F1709,0)</f>
        <v>0</v>
      </c>
    </row>
    <row r="1709" spans="1:11" ht="12.75" hidden="1" customHeight="1" x14ac:dyDescent="0.2">
      <c r="A1709" s="8">
        <v>850</v>
      </c>
      <c r="B1709" s="8"/>
      <c r="C1709" s="8" t="s">
        <v>4</v>
      </c>
      <c r="D1709" s="12">
        <v>45261</v>
      </c>
      <c r="E1709" s="8">
        <v>76170</v>
      </c>
      <c r="F1709" s="10">
        <f>IF(ISTEXT(Таблицаx_2[[#This Row],[Значение]]), 0, Таблицаx_2[[#This Row],[Значение]])</f>
        <v>76170</v>
      </c>
      <c r="G1709" s="12">
        <v>45139</v>
      </c>
      <c r="H1709" s="10" t="str">
        <f>IFERROR(VLOOKUP(Таблицаx_2[[#This Row],[id]],prolongations!A:C,2,)," ")</f>
        <v>август 2023</v>
      </c>
      <c r="I1709" s="10">
        <f>IF(Таблицаx_2[[#This Row],[Месяц окончания]]=Таблицаx_2[[#This Row],[Месяц]],Таблицаx_2[[#This Row],[Значения числа]],0)</f>
        <v>0</v>
      </c>
      <c r="J1709" s="8">
        <f>IF(AND(Таблицаx_2[[#This Row],[Месяц окончания]]=Таблицаx_2[[#This Row],[Месяц]],Таблицаx_2[[#This Row],[id]]=A1710,EDATE(Таблицаx_2[[#This Row],[Месяц]],1)=D1710),F1710,0)</f>
        <v>0</v>
      </c>
      <c r="K1709" s="8">
        <f>IF(AND(Таблицаx_2[[#This Row],[Месяц окончания]]=Таблицаx_2[[#This Row],[Месяц]],Таблицаx_2[[#This Row],[id]]=A1710,EDATE(Таблицаx_2[[#This Row],[Месяц]],2)=D1710),F1710,0)</f>
        <v>0</v>
      </c>
    </row>
    <row r="1710" spans="1:11" ht="12.75" hidden="1" customHeight="1" x14ac:dyDescent="0.2">
      <c r="A1710" s="8">
        <v>850</v>
      </c>
      <c r="B1710" s="8"/>
      <c r="C1710" s="8" t="s">
        <v>4</v>
      </c>
      <c r="D1710" s="12">
        <v>45292</v>
      </c>
      <c r="E1710" s="8">
        <v>106433</v>
      </c>
      <c r="F1710" s="10">
        <f>IF(ISTEXT(Таблицаx_2[[#This Row],[Значение]]), 0, Таблицаx_2[[#This Row],[Значение]])</f>
        <v>106433</v>
      </c>
      <c r="G1710" s="12">
        <v>45139</v>
      </c>
      <c r="H1710" s="10" t="str">
        <f>IFERROR(VLOOKUP(Таблицаx_2[[#This Row],[id]],prolongations!A:C,2,)," ")</f>
        <v>август 2023</v>
      </c>
      <c r="I1710" s="10">
        <f>IF(Таблицаx_2[[#This Row],[Месяц окончания]]=Таблицаx_2[[#This Row],[Месяц]],Таблицаx_2[[#This Row],[Значения числа]],0)</f>
        <v>0</v>
      </c>
      <c r="J1710" s="8">
        <f>IF(AND(Таблицаx_2[[#This Row],[Месяц окончания]]=Таблицаx_2[[#This Row],[Месяц]],Таблицаx_2[[#This Row],[id]]=A1711,EDATE(Таблицаx_2[[#This Row],[Месяц]],1)=D1711),F1711,0)</f>
        <v>0</v>
      </c>
      <c r="K1710" s="8">
        <f>IF(AND(Таблицаx_2[[#This Row],[Месяц окончания]]=Таблицаx_2[[#This Row],[Месяц]],Таблицаx_2[[#This Row],[id]]=A1711,EDATE(Таблицаx_2[[#This Row],[Месяц]],2)=D1711),F1711,0)</f>
        <v>0</v>
      </c>
    </row>
    <row r="1711" spans="1:11" ht="12.75" hidden="1" customHeight="1" x14ac:dyDescent="0.2">
      <c r="A1711" s="8">
        <v>850</v>
      </c>
      <c r="B1711" s="8"/>
      <c r="C1711" s="8" t="s">
        <v>4</v>
      </c>
      <c r="D1711" s="12">
        <v>45323</v>
      </c>
      <c r="E1711" s="8">
        <v>106433</v>
      </c>
      <c r="F1711" s="10">
        <f>IF(ISTEXT(Таблицаx_2[[#This Row],[Значение]]), 0, Таблицаx_2[[#This Row],[Значение]])</f>
        <v>106433</v>
      </c>
      <c r="G1711" s="12">
        <v>45139</v>
      </c>
      <c r="H1711" s="10" t="str">
        <f>IFERROR(VLOOKUP(Таблицаx_2[[#This Row],[id]],prolongations!A:C,2,)," ")</f>
        <v>август 2023</v>
      </c>
      <c r="I1711" s="10">
        <f>IF(Таблицаx_2[[#This Row],[Месяц окончания]]=Таблицаx_2[[#This Row],[Месяц]],Таблицаx_2[[#This Row],[Значения числа]],0)</f>
        <v>0</v>
      </c>
      <c r="J1711" s="8">
        <f>IF(AND(Таблицаx_2[[#This Row],[Месяц окончания]]=Таблицаx_2[[#This Row],[Месяц]],Таблицаx_2[[#This Row],[id]]=A1712,EDATE(Таблицаx_2[[#This Row],[Месяц]],1)=D1712),F1712,0)</f>
        <v>0</v>
      </c>
      <c r="K1711" s="8">
        <f>IF(AND(Таблицаx_2[[#This Row],[Месяц окончания]]=Таблицаx_2[[#This Row],[Месяц]],Таблицаx_2[[#This Row],[id]]=A1712,EDATE(Таблицаx_2[[#This Row],[Месяц]],2)=D1712),F1712,0)</f>
        <v>0</v>
      </c>
    </row>
    <row r="1712" spans="1:11" ht="12.75" hidden="1" customHeight="1" x14ac:dyDescent="0.2">
      <c r="A1712" s="8">
        <v>958</v>
      </c>
      <c r="B1712" s="8" t="s">
        <v>45</v>
      </c>
      <c r="C1712" s="8" t="s">
        <v>26</v>
      </c>
      <c r="D1712" s="12">
        <v>45170</v>
      </c>
      <c r="E1712" s="8">
        <v>91450</v>
      </c>
      <c r="F1712" s="10">
        <f>IF(ISTEXT(Таблицаx_2[[#This Row],[Значение]]), 0, Таблицаx_2[[#This Row],[Значение]])</f>
        <v>91450</v>
      </c>
      <c r="G1712" s="12">
        <v>45261</v>
      </c>
      <c r="H1712" s="10" t="str">
        <f>IFERROR(VLOOKUP(Таблицаx_2[[#This Row],[id]],prolongations!A:C,2,)," ")</f>
        <v>декабрь 2023</v>
      </c>
      <c r="I1712" s="10">
        <f>IF(Таблицаx_2[[#This Row],[Месяц окончания]]=Таблицаx_2[[#This Row],[Месяц]],Таблицаx_2[[#This Row],[Значения числа]],0)</f>
        <v>0</v>
      </c>
      <c r="J1712" s="8">
        <f>IF(AND(Таблицаx_2[[#This Row],[Месяц окончания]]=Таблицаx_2[[#This Row],[Месяц]],Таблицаx_2[[#This Row],[id]]=A1713,EDATE(Таблицаx_2[[#This Row],[Месяц]],1)=D1713),F1713,0)</f>
        <v>0</v>
      </c>
      <c r="K1712" s="8">
        <f>IF(AND(Таблицаx_2[[#This Row],[Месяц окончания]]=Таблицаx_2[[#This Row],[Месяц]],Таблицаx_2[[#This Row],[id]]=A1713,EDATE(Таблицаx_2[[#This Row],[Месяц]],2)=D1713),F1713,0)</f>
        <v>0</v>
      </c>
    </row>
    <row r="1713" spans="1:11" ht="12.75" hidden="1" customHeight="1" x14ac:dyDescent="0.2">
      <c r="A1713" s="8">
        <v>958</v>
      </c>
      <c r="B1713" s="8" t="s">
        <v>45</v>
      </c>
      <c r="C1713" s="8" t="s">
        <v>26</v>
      </c>
      <c r="D1713" s="12">
        <v>45200</v>
      </c>
      <c r="E1713" s="8">
        <v>83850</v>
      </c>
      <c r="F1713" s="10">
        <f>IF(ISTEXT(Таблицаx_2[[#This Row],[Значение]]), 0, Таблицаx_2[[#This Row],[Значение]])</f>
        <v>83850</v>
      </c>
      <c r="G1713" s="12">
        <v>45261</v>
      </c>
      <c r="H1713" s="10" t="str">
        <f>IFERROR(VLOOKUP(Таблицаx_2[[#This Row],[id]],prolongations!A:C,2,)," ")</f>
        <v>декабрь 2023</v>
      </c>
      <c r="I1713" s="10">
        <f>IF(Таблицаx_2[[#This Row],[Месяц окончания]]=Таблицаx_2[[#This Row],[Месяц]],Таблицаx_2[[#This Row],[Значения числа]],0)</f>
        <v>0</v>
      </c>
      <c r="J1713" s="8">
        <f>IF(AND(Таблицаx_2[[#This Row],[Месяц окончания]]=Таблицаx_2[[#This Row],[Месяц]],Таблицаx_2[[#This Row],[id]]=A1714,EDATE(Таблицаx_2[[#This Row],[Месяц]],1)=D1714),F1714,0)</f>
        <v>0</v>
      </c>
      <c r="K1713" s="8">
        <f>IF(AND(Таблицаx_2[[#This Row],[Месяц окончания]]=Таблицаx_2[[#This Row],[Месяц]],Таблицаx_2[[#This Row],[id]]=A1714,EDATE(Таблицаx_2[[#This Row],[Месяц]],2)=D1714),F1714,0)</f>
        <v>0</v>
      </c>
    </row>
    <row r="1714" spans="1:11" ht="12.75" hidden="1" customHeight="1" x14ac:dyDescent="0.2">
      <c r="A1714" s="8">
        <v>958</v>
      </c>
      <c r="B1714" s="8" t="s">
        <v>45</v>
      </c>
      <c r="C1714" s="8" t="s">
        <v>26</v>
      </c>
      <c r="D1714" s="12">
        <v>45231</v>
      </c>
      <c r="E1714" s="8">
        <v>84850</v>
      </c>
      <c r="F1714" s="10">
        <f>IF(ISTEXT(Таблицаx_2[[#This Row],[Значение]]), 0, Таблицаx_2[[#This Row],[Значение]])</f>
        <v>84850</v>
      </c>
      <c r="G1714" s="12">
        <v>45261</v>
      </c>
      <c r="H1714" s="10" t="str">
        <f>IFERROR(VLOOKUP(Таблицаx_2[[#This Row],[id]],prolongations!A:C,2,)," ")</f>
        <v>декабрь 2023</v>
      </c>
      <c r="I1714" s="10">
        <f>IF(Таблицаx_2[[#This Row],[Месяц окончания]]=Таблицаx_2[[#This Row],[Месяц]],Таблицаx_2[[#This Row],[Значения числа]],0)</f>
        <v>0</v>
      </c>
      <c r="J1714" s="8">
        <f>IF(AND(Таблицаx_2[[#This Row],[Месяц окончания]]=Таблицаx_2[[#This Row],[Месяц]],Таблицаx_2[[#This Row],[id]]=A1715,EDATE(Таблицаx_2[[#This Row],[Месяц]],1)=D1715),F1715,0)</f>
        <v>0</v>
      </c>
      <c r="K1714" s="8">
        <f>IF(AND(Таблицаx_2[[#This Row],[Месяц окончания]]=Таблицаx_2[[#This Row],[Месяц]],Таблицаx_2[[#This Row],[id]]=A1715,EDATE(Таблицаx_2[[#This Row],[Месяц]],2)=D1715),F1715,0)</f>
        <v>0</v>
      </c>
    </row>
    <row r="1715" spans="1:11" ht="12.75" hidden="1" customHeight="1" x14ac:dyDescent="0.2">
      <c r="A1715" s="8">
        <v>958</v>
      </c>
      <c r="B1715" s="8" t="s">
        <v>45</v>
      </c>
      <c r="C1715" s="8" t="s">
        <v>26</v>
      </c>
      <c r="D1715" s="12">
        <v>45261</v>
      </c>
      <c r="E1715" s="8">
        <v>50250</v>
      </c>
      <c r="F1715" s="10">
        <f>IF(ISTEXT(Таблицаx_2[[#This Row],[Значение]]), 0, Таблицаx_2[[#This Row],[Значение]])</f>
        <v>50250</v>
      </c>
      <c r="G1715" s="12">
        <v>45261</v>
      </c>
      <c r="H1715" s="10" t="str">
        <f>IFERROR(VLOOKUP(Таблицаx_2[[#This Row],[id]],prolongations!A:C,2,)," ")</f>
        <v>декабрь 2023</v>
      </c>
      <c r="I1715" s="10">
        <f>IF(Таблицаx_2[[#This Row],[Месяц окончания]]=Таблицаx_2[[#This Row],[Месяц]],Таблицаx_2[[#This Row],[Значения числа]],0)</f>
        <v>50250</v>
      </c>
      <c r="J1715" s="8">
        <f>IF(AND(Таблицаx_2[[#This Row],[Месяц окончания]]=Таблицаx_2[[#This Row],[Месяц]],Таблицаx_2[[#This Row],[id]]=A1716,EDATE(Таблицаx_2[[#This Row],[Месяц]],1)=D1716),F1716,0)</f>
        <v>0</v>
      </c>
      <c r="K1715" s="8">
        <f>IF(AND(Таблицаx_2[[#This Row],[Месяц окончания]]=Таблицаx_2[[#This Row],[Месяц]],Таблицаx_2[[#This Row],[id]]=A1716,EDATE(Таблицаx_2[[#This Row],[Месяц]],2)=D1716),F1716,0)</f>
        <v>0</v>
      </c>
    </row>
    <row r="1716" spans="1:11" ht="12.75" hidden="1" customHeight="1" x14ac:dyDescent="0.2">
      <c r="A1716" s="8">
        <v>962</v>
      </c>
      <c r="B1716" s="8"/>
      <c r="C1716" s="8" t="s">
        <v>10</v>
      </c>
      <c r="D1716" s="12">
        <v>45170</v>
      </c>
      <c r="E1716" s="8">
        <v>40400</v>
      </c>
      <c r="F1716" s="10">
        <f>IF(ISTEXT(Таблицаx_2[[#This Row],[Значение]]), 0, Таблицаx_2[[#This Row],[Значение]])</f>
        <v>40400</v>
      </c>
      <c r="G1716" s="12">
        <v>45261</v>
      </c>
      <c r="H1716" s="10" t="str">
        <f>IFERROR(VLOOKUP(Таблицаx_2[[#This Row],[id]],prolongations!A:C,2,)," ")</f>
        <v>декабрь 2023</v>
      </c>
      <c r="I1716" s="10">
        <f>IF(Таблицаx_2[[#This Row],[Месяц окончания]]=Таблицаx_2[[#This Row],[Месяц]],Таблицаx_2[[#This Row],[Значения числа]],0)</f>
        <v>0</v>
      </c>
      <c r="J1716" s="8">
        <f>IF(AND(Таблицаx_2[[#This Row],[Месяц окончания]]=Таблицаx_2[[#This Row],[Месяц]],Таблицаx_2[[#This Row],[id]]=A1717,EDATE(Таблицаx_2[[#This Row],[Месяц]],1)=D1717),F1717,0)</f>
        <v>0</v>
      </c>
      <c r="K1716" s="8">
        <f>IF(AND(Таблицаx_2[[#This Row],[Месяц окончания]]=Таблицаx_2[[#This Row],[Месяц]],Таблицаx_2[[#This Row],[id]]=A1717,EDATE(Таблицаx_2[[#This Row],[Месяц]],2)=D1717),F1717,0)</f>
        <v>0</v>
      </c>
    </row>
    <row r="1717" spans="1:11" ht="12.75" hidden="1" customHeight="1" x14ac:dyDescent="0.2">
      <c r="A1717" s="8">
        <v>962</v>
      </c>
      <c r="B1717" s="8"/>
      <c r="C1717" s="8" t="s">
        <v>10</v>
      </c>
      <c r="D1717" s="12">
        <v>45200</v>
      </c>
      <c r="E1717" s="8">
        <v>40600</v>
      </c>
      <c r="F1717" s="10">
        <f>IF(ISTEXT(Таблицаx_2[[#This Row],[Значение]]), 0, Таблицаx_2[[#This Row],[Значение]])</f>
        <v>40600</v>
      </c>
      <c r="G1717" s="12">
        <v>45261</v>
      </c>
      <c r="H1717" s="10" t="str">
        <f>IFERROR(VLOOKUP(Таблицаx_2[[#This Row],[id]],prolongations!A:C,2,)," ")</f>
        <v>декабрь 2023</v>
      </c>
      <c r="I1717" s="10">
        <f>IF(Таблицаx_2[[#This Row],[Месяц окончания]]=Таблицаx_2[[#This Row],[Месяц]],Таблицаx_2[[#This Row],[Значения числа]],0)</f>
        <v>0</v>
      </c>
      <c r="J1717" s="8">
        <f>IF(AND(Таблицаx_2[[#This Row],[Месяц окончания]]=Таблицаx_2[[#This Row],[Месяц]],Таблицаx_2[[#This Row],[id]]=A1718,EDATE(Таблицаx_2[[#This Row],[Месяц]],1)=D1718),F1718,0)</f>
        <v>0</v>
      </c>
      <c r="K1717" s="8">
        <f>IF(AND(Таблицаx_2[[#This Row],[Месяц окончания]]=Таблицаx_2[[#This Row],[Месяц]],Таблицаx_2[[#This Row],[id]]=A1718,EDATE(Таблицаx_2[[#This Row],[Месяц]],2)=D1718),F1718,0)</f>
        <v>0</v>
      </c>
    </row>
    <row r="1718" spans="1:11" ht="12.75" hidden="1" customHeight="1" x14ac:dyDescent="0.2">
      <c r="A1718" s="8">
        <v>962</v>
      </c>
      <c r="B1718" s="8"/>
      <c r="C1718" s="8" t="s">
        <v>10</v>
      </c>
      <c r="D1718" s="12">
        <v>45231</v>
      </c>
      <c r="E1718" s="8">
        <v>43400</v>
      </c>
      <c r="F1718" s="10">
        <f>IF(ISTEXT(Таблицаx_2[[#This Row],[Значение]]), 0, Таблицаx_2[[#This Row],[Значение]])</f>
        <v>43400</v>
      </c>
      <c r="G1718" s="12">
        <v>45261</v>
      </c>
      <c r="H1718" s="10" t="str">
        <f>IFERROR(VLOOKUP(Таблицаx_2[[#This Row],[id]],prolongations!A:C,2,)," ")</f>
        <v>декабрь 2023</v>
      </c>
      <c r="I1718" s="10">
        <f>IF(Таблицаx_2[[#This Row],[Месяц окончания]]=Таблицаx_2[[#This Row],[Месяц]],Таблицаx_2[[#This Row],[Значения числа]],0)</f>
        <v>0</v>
      </c>
      <c r="J1718" s="8">
        <f>IF(AND(Таблицаx_2[[#This Row],[Месяц окончания]]=Таблицаx_2[[#This Row],[Месяц]],Таблицаx_2[[#This Row],[id]]=A1719,EDATE(Таблицаx_2[[#This Row],[Месяц]],1)=D1719),F1719,0)</f>
        <v>0</v>
      </c>
      <c r="K1718" s="8">
        <f>IF(AND(Таблицаx_2[[#This Row],[Месяц окончания]]=Таблицаx_2[[#This Row],[Месяц]],Таблицаx_2[[#This Row],[id]]=A1719,EDATE(Таблицаx_2[[#This Row],[Месяц]],2)=D1719),F1719,0)</f>
        <v>0</v>
      </c>
    </row>
    <row r="1719" spans="1:11" ht="12.75" hidden="1" customHeight="1" x14ac:dyDescent="0.2">
      <c r="A1719" s="8">
        <v>962</v>
      </c>
      <c r="B1719" s="8"/>
      <c r="C1719" s="8" t="s">
        <v>10</v>
      </c>
      <c r="D1719" s="12">
        <v>45261</v>
      </c>
      <c r="E1719" s="8">
        <v>46700</v>
      </c>
      <c r="F1719" s="10">
        <f>IF(ISTEXT(Таблицаx_2[[#This Row],[Значение]]), 0, Таблицаx_2[[#This Row],[Значение]])</f>
        <v>46700</v>
      </c>
      <c r="G1719" s="12">
        <v>45261</v>
      </c>
      <c r="H1719" s="10" t="str">
        <f>IFERROR(VLOOKUP(Таблицаx_2[[#This Row],[id]],prolongations!A:C,2,)," ")</f>
        <v>декабрь 2023</v>
      </c>
      <c r="I1719" s="10">
        <f>IF(Таблицаx_2[[#This Row],[Месяц окончания]]=Таблицаx_2[[#This Row],[Месяц]],Таблицаx_2[[#This Row],[Значения числа]],0)</f>
        <v>46700</v>
      </c>
      <c r="J1719" s="8">
        <f>IF(AND(Таблицаx_2[[#This Row],[Месяц окончания]]=Таблицаx_2[[#This Row],[Месяц]],Таблицаx_2[[#This Row],[id]]=A1720,EDATE(Таблицаx_2[[#This Row],[Месяц]],1)=D1720),F1720,0)</f>
        <v>0</v>
      </c>
      <c r="K1719" s="8">
        <f>IF(AND(Таблицаx_2[[#This Row],[Месяц окончания]]=Таблицаx_2[[#This Row],[Месяц]],Таблицаx_2[[#This Row],[id]]=A1720,EDATE(Таблицаx_2[[#This Row],[Месяц]],2)=D1720),F1720,0)</f>
        <v>0</v>
      </c>
    </row>
    <row r="1720" spans="1:11" ht="12.75" hidden="1" customHeight="1" x14ac:dyDescent="0.2">
      <c r="A1720" s="8">
        <v>39</v>
      </c>
      <c r="B1720" s="8" t="s">
        <v>45</v>
      </c>
      <c r="C1720" s="8" t="s">
        <v>8</v>
      </c>
      <c r="D1720" s="12">
        <v>44866</v>
      </c>
      <c r="E1720" s="8">
        <v>137700</v>
      </c>
      <c r="F1720" s="10">
        <f>IF(ISTEXT(Таблицаx_2[[#This Row],[Значение]]), 0, Таблицаx_2[[#This Row],[Значение]])</f>
        <v>137700</v>
      </c>
      <c r="G1720" s="12">
        <v>44896</v>
      </c>
      <c r="H1720" s="10" t="str">
        <f>IFERROR(VLOOKUP(Таблицаx_2[[#This Row],[id]],prolongations!A:C,2,)," ")</f>
        <v>декабрь 2022</v>
      </c>
      <c r="I1720" s="10">
        <f>IF(Таблицаx_2[[#This Row],[Месяц окончания]]=Таблицаx_2[[#This Row],[Месяц]],Таблицаx_2[[#This Row],[Значения числа]],0)</f>
        <v>0</v>
      </c>
      <c r="J1720" s="8">
        <f>IF(AND(Таблицаx_2[[#This Row],[Месяц окончания]]=Таблицаx_2[[#This Row],[Месяц]],Таблицаx_2[[#This Row],[id]]=A1721,EDATE(Таблицаx_2[[#This Row],[Месяц]],1)=D1721),F1721,0)</f>
        <v>0</v>
      </c>
      <c r="K1720" s="8">
        <f>IF(AND(Таблицаx_2[[#This Row],[Месяц окончания]]=Таблицаx_2[[#This Row],[Месяц]],Таблицаx_2[[#This Row],[id]]=A1721,EDATE(Таблицаx_2[[#This Row],[Месяц]],2)=D1721),F1721,0)</f>
        <v>0</v>
      </c>
    </row>
    <row r="1721" spans="1:11" hidden="1" x14ac:dyDescent="0.2">
      <c r="A1721" s="8">
        <v>39</v>
      </c>
      <c r="B1721" s="8" t="s">
        <v>45</v>
      </c>
      <c r="C1721" s="8" t="s">
        <v>8</v>
      </c>
      <c r="D1721" s="12">
        <v>44896</v>
      </c>
      <c r="E1721" s="8">
        <v>137700</v>
      </c>
      <c r="F1721" s="10">
        <f>IF(ISTEXT(Таблицаx_2[[#This Row],[Значение]]), 0, Таблицаx_2[[#This Row],[Значение]])</f>
        <v>137700</v>
      </c>
      <c r="G1721" s="12">
        <v>44896</v>
      </c>
      <c r="H1721" s="10" t="str">
        <f>IFERROR(VLOOKUP(Таблицаx_2[[#This Row],[id]],prolongations!A:C,2,)," ")</f>
        <v>декабрь 2022</v>
      </c>
      <c r="I1721" s="10">
        <f>IF(Таблицаx_2[[#This Row],[Месяц окончания]]=Таблицаx_2[[#This Row],[Месяц]],Таблицаx_2[[#This Row],[Значения числа]],0)</f>
        <v>137700</v>
      </c>
      <c r="J1721" s="8">
        <f>IF(AND(Таблицаx_2[[#This Row],[Месяц окончания]]=Таблицаx_2[[#This Row],[Месяц]],Таблицаx_2[[#This Row],[id]]=A1722,EDATE(Таблицаx_2[[#This Row],[Месяц]],1)=D1722),F1722,0)</f>
        <v>149206.5</v>
      </c>
      <c r="K1721" s="8">
        <f>IF(AND(Таблицаx_2[[#This Row],[Месяц окончания]]=Таблицаx_2[[#This Row],[Месяц]],Таблицаx_2[[#This Row],[id]]=A1722,EDATE(Таблицаx_2[[#This Row],[Месяц]],2)=D1722),F1722,0)</f>
        <v>0</v>
      </c>
    </row>
    <row r="1722" spans="1:11" ht="12.75" hidden="1" customHeight="1" x14ac:dyDescent="0.2">
      <c r="A1722" s="8">
        <v>39</v>
      </c>
      <c r="B1722" s="8" t="s">
        <v>45</v>
      </c>
      <c r="C1722" s="8" t="s">
        <v>8</v>
      </c>
      <c r="D1722" s="12">
        <v>44927</v>
      </c>
      <c r="E1722" s="8">
        <v>149206.5</v>
      </c>
      <c r="F1722" s="10">
        <f>IF(ISTEXT(Таблицаx_2[[#This Row],[Значение]]), 0, Таблицаx_2[[#This Row],[Значение]])</f>
        <v>149206.5</v>
      </c>
      <c r="G1722" s="12">
        <v>44896</v>
      </c>
      <c r="H1722" s="10" t="str">
        <f>IFERROR(VLOOKUP(Таблицаx_2[[#This Row],[id]],prolongations!A:C,2,)," ")</f>
        <v>декабрь 2022</v>
      </c>
      <c r="I1722" s="10">
        <f>IF(Таблицаx_2[[#This Row],[Месяц окончания]]=Таблицаx_2[[#This Row],[Месяц]],Таблицаx_2[[#This Row],[Значения числа]],0)</f>
        <v>0</v>
      </c>
      <c r="J1722" s="8">
        <f>IF(AND(Таблицаx_2[[#This Row],[Месяц окончания]]=Таблицаx_2[[#This Row],[Месяц]],Таблицаx_2[[#This Row],[id]]=A1723,EDATE(Таблицаx_2[[#This Row],[Месяц]],1)=D1723),F1723,0)</f>
        <v>0</v>
      </c>
      <c r="K1722" s="8">
        <f>IF(AND(Таблицаx_2[[#This Row],[Месяц окончания]]=Таблицаx_2[[#This Row],[Месяц]],Таблицаx_2[[#This Row],[id]]=A1723,EDATE(Таблицаx_2[[#This Row],[Месяц]],2)=D1723),F1723,0)</f>
        <v>0</v>
      </c>
    </row>
    <row r="1723" spans="1:11" ht="12.75" hidden="1" customHeight="1" x14ac:dyDescent="0.2">
      <c r="A1723" s="8">
        <v>39</v>
      </c>
      <c r="B1723" s="8" t="s">
        <v>45</v>
      </c>
      <c r="C1723" s="8" t="s">
        <v>8</v>
      </c>
      <c r="D1723" s="12">
        <v>44958</v>
      </c>
      <c r="E1723" s="8">
        <v>149206.5</v>
      </c>
      <c r="F1723" s="10">
        <f>IF(ISTEXT(Таблицаx_2[[#This Row],[Значение]]), 0, Таблицаx_2[[#This Row],[Значение]])</f>
        <v>149206.5</v>
      </c>
      <c r="G1723" s="12">
        <v>44896</v>
      </c>
      <c r="H1723" s="10" t="str">
        <f>IFERROR(VLOOKUP(Таблицаx_2[[#This Row],[id]],prolongations!A:C,2,)," ")</f>
        <v>декабрь 2022</v>
      </c>
      <c r="I1723" s="10">
        <f>IF(Таблицаx_2[[#This Row],[Месяц окончания]]=Таблицаx_2[[#This Row],[Месяц]],Таблицаx_2[[#This Row],[Значения числа]],0)</f>
        <v>0</v>
      </c>
      <c r="J1723" s="8">
        <f>IF(AND(Таблицаx_2[[#This Row],[Месяц окончания]]=Таблицаx_2[[#This Row],[Месяц]],Таблицаx_2[[#This Row],[id]]=A1724,EDATE(Таблицаx_2[[#This Row],[Месяц]],1)=D1724),F1724,0)</f>
        <v>0</v>
      </c>
      <c r="K1723" s="8">
        <f>IF(AND(Таблицаx_2[[#This Row],[Месяц окончания]]=Таблицаx_2[[#This Row],[Месяц]],Таблицаx_2[[#This Row],[id]]=A1724,EDATE(Таблицаx_2[[#This Row],[Месяц]],2)=D1724),F1724,0)</f>
        <v>0</v>
      </c>
    </row>
    <row r="1724" spans="1:11" ht="12.75" hidden="1" customHeight="1" x14ac:dyDescent="0.2">
      <c r="A1724" s="8">
        <v>39</v>
      </c>
      <c r="B1724" s="8" t="s">
        <v>45</v>
      </c>
      <c r="C1724" s="8" t="s">
        <v>8</v>
      </c>
      <c r="D1724" s="12">
        <v>44986</v>
      </c>
      <c r="E1724" s="8">
        <v>149206.5</v>
      </c>
      <c r="F1724" s="10">
        <f>IF(ISTEXT(Таблицаx_2[[#This Row],[Значение]]), 0, Таблицаx_2[[#This Row],[Значение]])</f>
        <v>149206.5</v>
      </c>
      <c r="G1724" s="12">
        <v>44896</v>
      </c>
      <c r="H1724" s="10" t="str">
        <f>IFERROR(VLOOKUP(Таблицаx_2[[#This Row],[id]],prolongations!A:C,2,)," ")</f>
        <v>декабрь 2022</v>
      </c>
      <c r="I1724" s="10">
        <f>IF(Таблицаx_2[[#This Row],[Месяц окончания]]=Таблицаx_2[[#This Row],[Месяц]],Таблицаx_2[[#This Row],[Значения числа]],0)</f>
        <v>0</v>
      </c>
      <c r="J1724" s="8">
        <f>IF(AND(Таблицаx_2[[#This Row],[Месяц окончания]]=Таблицаx_2[[#This Row],[Месяц]],Таблицаx_2[[#This Row],[id]]=A1725,EDATE(Таблицаx_2[[#This Row],[Месяц]],1)=D1725),F1725,0)</f>
        <v>0</v>
      </c>
      <c r="K1724" s="8">
        <f>IF(AND(Таблицаx_2[[#This Row],[Месяц окончания]]=Таблицаx_2[[#This Row],[Месяц]],Таблицаx_2[[#This Row],[id]]=A1725,EDATE(Таблицаx_2[[#This Row],[Месяц]],2)=D1725),F1725,0)</f>
        <v>0</v>
      </c>
    </row>
    <row r="1725" spans="1:11" ht="12.75" hidden="1" customHeight="1" x14ac:dyDescent="0.2">
      <c r="A1725" s="8">
        <v>39</v>
      </c>
      <c r="B1725" s="8" t="s">
        <v>45</v>
      </c>
      <c r="C1725" s="8" t="s">
        <v>8</v>
      </c>
      <c r="D1725" s="12">
        <v>45017</v>
      </c>
      <c r="E1725" s="8">
        <v>149206.5</v>
      </c>
      <c r="F1725" s="10">
        <f>IF(ISTEXT(Таблицаx_2[[#This Row],[Значение]]), 0, Таблицаx_2[[#This Row],[Значение]])</f>
        <v>149206.5</v>
      </c>
      <c r="G1725" s="12">
        <v>44896</v>
      </c>
      <c r="H1725" s="10" t="str">
        <f>IFERROR(VLOOKUP(Таблицаx_2[[#This Row],[id]],prolongations!A:C,2,)," ")</f>
        <v>декабрь 2022</v>
      </c>
      <c r="I1725" s="10">
        <f>IF(Таблицаx_2[[#This Row],[Месяц окончания]]=Таблицаx_2[[#This Row],[Месяц]],Таблицаx_2[[#This Row],[Значения числа]],0)</f>
        <v>0</v>
      </c>
      <c r="J1725" s="8">
        <f>IF(AND(Таблицаx_2[[#This Row],[Месяц окончания]]=Таблицаx_2[[#This Row],[Месяц]],Таблицаx_2[[#This Row],[id]]=A1726,EDATE(Таблицаx_2[[#This Row],[Месяц]],1)=D1726),F1726,0)</f>
        <v>0</v>
      </c>
      <c r="K1725" s="8">
        <f>IF(AND(Таблицаx_2[[#This Row],[Месяц окончания]]=Таблицаx_2[[#This Row],[Месяц]],Таблицаx_2[[#This Row],[id]]=A1726,EDATE(Таблицаx_2[[#This Row],[Месяц]],2)=D1726),F1726,0)</f>
        <v>0</v>
      </c>
    </row>
    <row r="1726" spans="1:11" ht="12.75" hidden="1" customHeight="1" x14ac:dyDescent="0.2">
      <c r="A1726" s="8">
        <v>39</v>
      </c>
      <c r="B1726" s="8" t="s">
        <v>45</v>
      </c>
      <c r="C1726" s="8" t="s">
        <v>8</v>
      </c>
      <c r="D1726" s="12">
        <v>45047</v>
      </c>
      <c r="E1726" s="8">
        <v>149206.5</v>
      </c>
      <c r="F1726" s="10">
        <f>IF(ISTEXT(Таблицаx_2[[#This Row],[Значение]]), 0, Таблицаx_2[[#This Row],[Значение]])</f>
        <v>149206.5</v>
      </c>
      <c r="G1726" s="12">
        <v>44896</v>
      </c>
      <c r="H1726" s="10" t="str">
        <f>IFERROR(VLOOKUP(Таблицаx_2[[#This Row],[id]],prolongations!A:C,2,)," ")</f>
        <v>декабрь 2022</v>
      </c>
      <c r="I1726" s="10">
        <f>IF(Таблицаx_2[[#This Row],[Месяц окончания]]=Таблицаx_2[[#This Row],[Месяц]],Таблицаx_2[[#This Row],[Значения числа]],0)</f>
        <v>0</v>
      </c>
      <c r="J1726" s="8">
        <f>IF(AND(Таблицаx_2[[#This Row],[Месяц окончания]]=Таблицаx_2[[#This Row],[Месяц]],Таблицаx_2[[#This Row],[id]]=A1727,EDATE(Таблицаx_2[[#This Row],[Месяц]],1)=D1727),F1727,0)</f>
        <v>0</v>
      </c>
      <c r="K1726" s="8">
        <f>IF(AND(Таблицаx_2[[#This Row],[Месяц окончания]]=Таблицаx_2[[#This Row],[Месяц]],Таблицаx_2[[#This Row],[id]]=A1727,EDATE(Таблицаx_2[[#This Row],[Месяц]],2)=D1727),F1727,0)</f>
        <v>0</v>
      </c>
    </row>
    <row r="1727" spans="1:11" ht="12.75" hidden="1" customHeight="1" x14ac:dyDescent="0.2">
      <c r="A1727" s="8">
        <v>39</v>
      </c>
      <c r="B1727" s="8" t="s">
        <v>45</v>
      </c>
      <c r="C1727" s="8" t="s">
        <v>8</v>
      </c>
      <c r="D1727" s="12">
        <v>45078</v>
      </c>
      <c r="E1727" s="8">
        <v>149206.5</v>
      </c>
      <c r="F1727" s="10">
        <f>IF(ISTEXT(Таблицаx_2[[#This Row],[Значение]]), 0, Таблицаx_2[[#This Row],[Значение]])</f>
        <v>149206.5</v>
      </c>
      <c r="G1727" s="12">
        <v>44896</v>
      </c>
      <c r="H1727" s="10" t="str">
        <f>IFERROR(VLOOKUP(Таблицаx_2[[#This Row],[id]],prolongations!A:C,2,)," ")</f>
        <v>декабрь 2022</v>
      </c>
      <c r="I1727" s="10">
        <f>IF(Таблицаx_2[[#This Row],[Месяц окончания]]=Таблицаx_2[[#This Row],[Месяц]],Таблицаx_2[[#This Row],[Значения числа]],0)</f>
        <v>0</v>
      </c>
      <c r="J1727" s="8">
        <f>IF(AND(Таблицаx_2[[#This Row],[Месяц окончания]]=Таблицаx_2[[#This Row],[Месяц]],Таблицаx_2[[#This Row],[id]]=A1728,EDATE(Таблицаx_2[[#This Row],[Месяц]],1)=D1728),F1728,0)</f>
        <v>0</v>
      </c>
      <c r="K1727" s="8">
        <f>IF(AND(Таблицаx_2[[#This Row],[Месяц окончания]]=Таблицаx_2[[#This Row],[Месяц]],Таблицаx_2[[#This Row],[id]]=A1728,EDATE(Таблицаx_2[[#This Row],[Месяц]],2)=D1728),F1728,0)</f>
        <v>0</v>
      </c>
    </row>
    <row r="1728" spans="1:11" ht="12.75" hidden="1" customHeight="1" x14ac:dyDescent="0.2">
      <c r="A1728" s="8">
        <v>39</v>
      </c>
      <c r="B1728" s="8" t="s">
        <v>45</v>
      </c>
      <c r="C1728" s="8" t="s">
        <v>8</v>
      </c>
      <c r="D1728" s="12">
        <v>45108</v>
      </c>
      <c r="E1728" s="8">
        <v>149206.5</v>
      </c>
      <c r="F1728" s="10">
        <f>IF(ISTEXT(Таблицаx_2[[#This Row],[Значение]]), 0, Таблицаx_2[[#This Row],[Значение]])</f>
        <v>149206.5</v>
      </c>
      <c r="G1728" s="12">
        <v>44896</v>
      </c>
      <c r="H1728" s="10" t="str">
        <f>IFERROR(VLOOKUP(Таблицаx_2[[#This Row],[id]],prolongations!A:C,2,)," ")</f>
        <v>декабрь 2022</v>
      </c>
      <c r="I1728" s="10">
        <f>IF(Таблицаx_2[[#This Row],[Месяц окончания]]=Таблицаx_2[[#This Row],[Месяц]],Таблицаx_2[[#This Row],[Значения числа]],0)</f>
        <v>0</v>
      </c>
      <c r="J1728" s="8">
        <f>IF(AND(Таблицаx_2[[#This Row],[Месяц окончания]]=Таблицаx_2[[#This Row],[Месяц]],Таблицаx_2[[#This Row],[id]]=A1729,EDATE(Таблицаx_2[[#This Row],[Месяц]],1)=D1729),F1729,0)</f>
        <v>0</v>
      </c>
      <c r="K1728" s="8">
        <f>IF(AND(Таблицаx_2[[#This Row],[Месяц окончания]]=Таблицаx_2[[#This Row],[Месяц]],Таблицаx_2[[#This Row],[id]]=A1729,EDATE(Таблицаx_2[[#This Row],[Месяц]],2)=D1729),F1729,0)</f>
        <v>0</v>
      </c>
    </row>
    <row r="1729" spans="1:11" ht="12.75" hidden="1" customHeight="1" x14ac:dyDescent="0.2">
      <c r="A1729" s="8">
        <v>39</v>
      </c>
      <c r="B1729" s="8" t="s">
        <v>45</v>
      </c>
      <c r="C1729" s="8" t="s">
        <v>8</v>
      </c>
      <c r="D1729" s="12">
        <v>45139</v>
      </c>
      <c r="E1729" s="8">
        <v>149206.5</v>
      </c>
      <c r="F1729" s="10">
        <f>IF(ISTEXT(Таблицаx_2[[#This Row],[Значение]]), 0, Таблицаx_2[[#This Row],[Значение]])</f>
        <v>149206.5</v>
      </c>
      <c r="G1729" s="12">
        <v>44896</v>
      </c>
      <c r="H1729" s="10" t="str">
        <f>IFERROR(VLOOKUP(Таблицаx_2[[#This Row],[id]],prolongations!A:C,2,)," ")</f>
        <v>декабрь 2022</v>
      </c>
      <c r="I1729" s="10">
        <f>IF(Таблицаx_2[[#This Row],[Месяц окончания]]=Таблицаx_2[[#This Row],[Месяц]],Таблицаx_2[[#This Row],[Значения числа]],0)</f>
        <v>0</v>
      </c>
      <c r="J1729" s="8">
        <f>IF(AND(Таблицаx_2[[#This Row],[Месяц окончания]]=Таблицаx_2[[#This Row],[Месяц]],Таблицаx_2[[#This Row],[id]]=A1730,EDATE(Таблицаx_2[[#This Row],[Месяц]],1)=D1730),F1730,0)</f>
        <v>0</v>
      </c>
      <c r="K1729" s="8">
        <f>IF(AND(Таблицаx_2[[#This Row],[Месяц окончания]]=Таблицаx_2[[#This Row],[Месяц]],Таблицаx_2[[#This Row],[id]]=A1730,EDATE(Таблицаx_2[[#This Row],[Месяц]],2)=D1730),F1730,0)</f>
        <v>0</v>
      </c>
    </row>
    <row r="1730" spans="1:11" ht="12.75" hidden="1" customHeight="1" x14ac:dyDescent="0.2">
      <c r="A1730" s="8">
        <v>39</v>
      </c>
      <c r="B1730" s="8" t="s">
        <v>45</v>
      </c>
      <c r="C1730" s="8" t="s">
        <v>8</v>
      </c>
      <c r="D1730" s="12">
        <v>45170</v>
      </c>
      <c r="E1730" s="8">
        <v>149206.5</v>
      </c>
      <c r="F1730" s="10">
        <f>IF(ISTEXT(Таблицаx_2[[#This Row],[Значение]]), 0, Таблицаx_2[[#This Row],[Значение]])</f>
        <v>149206.5</v>
      </c>
      <c r="G1730" s="12">
        <v>44896</v>
      </c>
      <c r="H1730" s="10" t="str">
        <f>IFERROR(VLOOKUP(Таблицаx_2[[#This Row],[id]],prolongations!A:C,2,)," ")</f>
        <v>декабрь 2022</v>
      </c>
      <c r="I1730" s="10">
        <f>IF(Таблицаx_2[[#This Row],[Месяц окончания]]=Таблицаx_2[[#This Row],[Месяц]],Таблицаx_2[[#This Row],[Значения числа]],0)</f>
        <v>0</v>
      </c>
      <c r="J1730" s="8">
        <f>IF(AND(Таблицаx_2[[#This Row],[Месяц окончания]]=Таблицаx_2[[#This Row],[Месяц]],Таблицаx_2[[#This Row],[id]]=A1731,EDATE(Таблицаx_2[[#This Row],[Месяц]],1)=D1731),F1731,0)</f>
        <v>0</v>
      </c>
      <c r="K1730" s="8">
        <f>IF(AND(Таблицаx_2[[#This Row],[Месяц окончания]]=Таблицаx_2[[#This Row],[Месяц]],Таблицаx_2[[#This Row],[id]]=A1731,EDATE(Таблицаx_2[[#This Row],[Месяц]],2)=D1731),F1731,0)</f>
        <v>0</v>
      </c>
    </row>
    <row r="1731" spans="1:11" ht="12.75" hidden="1" customHeight="1" x14ac:dyDescent="0.2">
      <c r="A1731" s="8">
        <v>39</v>
      </c>
      <c r="B1731" s="8" t="s">
        <v>45</v>
      </c>
      <c r="C1731" s="8" t="s">
        <v>8</v>
      </c>
      <c r="D1731" s="12">
        <v>45200</v>
      </c>
      <c r="E1731" s="8">
        <v>149206.5</v>
      </c>
      <c r="F1731" s="10">
        <f>IF(ISTEXT(Таблицаx_2[[#This Row],[Значение]]), 0, Таблицаx_2[[#This Row],[Значение]])</f>
        <v>149206.5</v>
      </c>
      <c r="G1731" s="12">
        <v>44896</v>
      </c>
      <c r="H1731" s="10" t="str">
        <f>IFERROR(VLOOKUP(Таблицаx_2[[#This Row],[id]],prolongations!A:C,2,)," ")</f>
        <v>декабрь 2022</v>
      </c>
      <c r="I1731" s="10">
        <f>IF(Таблицаx_2[[#This Row],[Месяц окончания]]=Таблицаx_2[[#This Row],[Месяц]],Таблицаx_2[[#This Row],[Значения числа]],0)</f>
        <v>0</v>
      </c>
      <c r="J1731" s="8">
        <f>IF(AND(Таблицаx_2[[#This Row],[Месяц окончания]]=Таблицаx_2[[#This Row],[Месяц]],Таблицаx_2[[#This Row],[id]]=A1732,EDATE(Таблицаx_2[[#This Row],[Месяц]],1)=D1732),F1732,0)</f>
        <v>0</v>
      </c>
      <c r="K1731" s="8">
        <f>IF(AND(Таблицаx_2[[#This Row],[Месяц окончания]]=Таблицаx_2[[#This Row],[Месяц]],Таблицаx_2[[#This Row],[id]]=A1732,EDATE(Таблицаx_2[[#This Row],[Месяц]],2)=D1732),F1732,0)</f>
        <v>0</v>
      </c>
    </row>
    <row r="1732" spans="1:11" ht="12.75" hidden="1" customHeight="1" x14ac:dyDescent="0.2">
      <c r="A1732" s="8">
        <v>39</v>
      </c>
      <c r="B1732" s="8" t="s">
        <v>45</v>
      </c>
      <c r="C1732" s="8" t="s">
        <v>8</v>
      </c>
      <c r="D1732" s="12">
        <v>45231</v>
      </c>
      <c r="E1732" s="8">
        <v>149206.5</v>
      </c>
      <c r="F1732" s="10">
        <f>IF(ISTEXT(Таблицаx_2[[#This Row],[Значение]]), 0, Таблицаx_2[[#This Row],[Значение]])</f>
        <v>149206.5</v>
      </c>
      <c r="G1732" s="12">
        <v>44896</v>
      </c>
      <c r="H1732" s="10" t="str">
        <f>IFERROR(VLOOKUP(Таблицаx_2[[#This Row],[id]],prolongations!A:C,2,)," ")</f>
        <v>декабрь 2022</v>
      </c>
      <c r="I1732" s="10">
        <f>IF(Таблицаx_2[[#This Row],[Месяц окончания]]=Таблицаx_2[[#This Row],[Месяц]],Таблицаx_2[[#This Row],[Значения числа]],0)</f>
        <v>0</v>
      </c>
      <c r="J1732" s="8">
        <f>IF(AND(Таблицаx_2[[#This Row],[Месяц окончания]]=Таблицаx_2[[#This Row],[Месяц]],Таблицаx_2[[#This Row],[id]]=A1733,EDATE(Таблицаx_2[[#This Row],[Месяц]],1)=D1733),F1733,0)</f>
        <v>0</v>
      </c>
      <c r="K1732" s="8">
        <f>IF(AND(Таблицаx_2[[#This Row],[Месяц окончания]]=Таблицаx_2[[#This Row],[Месяц]],Таблицаx_2[[#This Row],[id]]=A1733,EDATE(Таблицаx_2[[#This Row],[Месяц]],2)=D1733),F1733,0)</f>
        <v>0</v>
      </c>
    </row>
    <row r="1733" spans="1:11" ht="12.75" hidden="1" customHeight="1" x14ac:dyDescent="0.2">
      <c r="A1733" s="8">
        <v>39</v>
      </c>
      <c r="B1733" s="8" t="s">
        <v>45</v>
      </c>
      <c r="C1733" s="8" t="s">
        <v>8</v>
      </c>
      <c r="D1733" s="12">
        <v>45261</v>
      </c>
      <c r="E1733" s="8">
        <v>149206.5</v>
      </c>
      <c r="F1733" s="10">
        <f>IF(ISTEXT(Таблицаx_2[[#This Row],[Значение]]), 0, Таблицаx_2[[#This Row],[Значение]])</f>
        <v>149206.5</v>
      </c>
      <c r="G1733" s="12">
        <v>44896</v>
      </c>
      <c r="H1733" s="10" t="str">
        <f>IFERROR(VLOOKUP(Таблицаx_2[[#This Row],[id]],prolongations!A:C,2,)," ")</f>
        <v>декабрь 2022</v>
      </c>
      <c r="I1733" s="10">
        <f>IF(Таблицаx_2[[#This Row],[Месяц окончания]]=Таблицаx_2[[#This Row],[Месяц]],Таблицаx_2[[#This Row],[Значения числа]],0)</f>
        <v>0</v>
      </c>
      <c r="J1733" s="8">
        <f>IF(AND(Таблицаx_2[[#This Row],[Месяц окончания]]=Таблицаx_2[[#This Row],[Месяц]],Таблицаx_2[[#This Row],[id]]=A1734,EDATE(Таблицаx_2[[#This Row],[Месяц]],1)=D1734),F1734,0)</f>
        <v>0</v>
      </c>
      <c r="K1733" s="8">
        <f>IF(AND(Таблицаx_2[[#This Row],[Месяц окончания]]=Таблицаx_2[[#This Row],[Месяц]],Таблицаx_2[[#This Row],[id]]=A1734,EDATE(Таблицаx_2[[#This Row],[Месяц]],2)=D1734),F1734,0)</f>
        <v>0</v>
      </c>
    </row>
    <row r="1734" spans="1:11" ht="12.75" hidden="1" customHeight="1" x14ac:dyDescent="0.2">
      <c r="A1734" s="8">
        <v>742</v>
      </c>
      <c r="B1734" s="8" t="s">
        <v>45</v>
      </c>
      <c r="C1734" s="8" t="s">
        <v>8</v>
      </c>
      <c r="D1734" s="12">
        <v>44896</v>
      </c>
      <c r="E1734" s="8">
        <v>126530</v>
      </c>
      <c r="F1734" s="10">
        <f>IF(ISTEXT(Таблицаx_2[[#This Row],[Значение]]), 0, Таблицаx_2[[#This Row],[Значение]])</f>
        <v>126530</v>
      </c>
      <c r="G1734" s="12">
        <v>45261</v>
      </c>
      <c r="H1734" s="10" t="str">
        <f>IFERROR(VLOOKUP(Таблицаx_2[[#This Row],[id]],prolongations!A:C,2,)," ")</f>
        <v>декабрь 2023</v>
      </c>
      <c r="I1734" s="10">
        <f>IF(Таблицаx_2[[#This Row],[Месяц окончания]]=Таблицаx_2[[#This Row],[Месяц]],Таблицаx_2[[#This Row],[Значения числа]],0)</f>
        <v>0</v>
      </c>
      <c r="J1734" s="8">
        <f>IF(AND(Таблицаx_2[[#This Row],[Месяц окончания]]=Таблицаx_2[[#This Row],[Месяц]],Таблицаx_2[[#This Row],[id]]=A1735,EDATE(Таблицаx_2[[#This Row],[Месяц]],1)=D1735),F1735,0)</f>
        <v>0</v>
      </c>
      <c r="K1734" s="8">
        <f>IF(AND(Таблицаx_2[[#This Row],[Месяц окончания]]=Таблицаx_2[[#This Row],[Месяц]],Таблицаx_2[[#This Row],[id]]=A1735,EDATE(Таблицаx_2[[#This Row],[Месяц]],2)=D1735),F1735,0)</f>
        <v>0</v>
      </c>
    </row>
    <row r="1735" spans="1:11" ht="12.75" hidden="1" customHeight="1" x14ac:dyDescent="0.2">
      <c r="A1735" s="8">
        <v>742</v>
      </c>
      <c r="B1735" s="8" t="s">
        <v>45</v>
      </c>
      <c r="C1735" s="8" t="s">
        <v>8</v>
      </c>
      <c r="D1735" s="12">
        <v>44927</v>
      </c>
      <c r="E1735" s="8">
        <v>117455</v>
      </c>
      <c r="F1735" s="10">
        <f>IF(ISTEXT(Таблицаx_2[[#This Row],[Значение]]), 0, Таблицаx_2[[#This Row],[Значение]])</f>
        <v>117455</v>
      </c>
      <c r="G1735" s="12">
        <v>45261</v>
      </c>
      <c r="H1735" s="10" t="str">
        <f>IFERROR(VLOOKUP(Таблицаx_2[[#This Row],[id]],prolongations!A:C,2,)," ")</f>
        <v>декабрь 2023</v>
      </c>
      <c r="I1735" s="10">
        <f>IF(Таблицаx_2[[#This Row],[Месяц окончания]]=Таблицаx_2[[#This Row],[Месяц]],Таблицаx_2[[#This Row],[Значения числа]],0)</f>
        <v>0</v>
      </c>
      <c r="J1735" s="8">
        <f>IF(AND(Таблицаx_2[[#This Row],[Месяц окончания]]=Таблицаx_2[[#This Row],[Месяц]],Таблицаx_2[[#This Row],[id]]=A1736,EDATE(Таблицаx_2[[#This Row],[Месяц]],1)=D1736),F1736,0)</f>
        <v>0</v>
      </c>
      <c r="K1735" s="8">
        <f>IF(AND(Таблицаx_2[[#This Row],[Месяц окончания]]=Таблицаx_2[[#This Row],[Месяц]],Таблицаx_2[[#This Row],[id]]=A1736,EDATE(Таблицаx_2[[#This Row],[Месяц]],2)=D1736),F1736,0)</f>
        <v>0</v>
      </c>
    </row>
    <row r="1736" spans="1:11" ht="12.75" hidden="1" customHeight="1" x14ac:dyDescent="0.2">
      <c r="A1736" s="8">
        <v>742</v>
      </c>
      <c r="B1736" s="8" t="s">
        <v>45</v>
      </c>
      <c r="C1736" s="8" t="s">
        <v>8</v>
      </c>
      <c r="D1736" s="12">
        <v>44958</v>
      </c>
      <c r="E1736" s="8">
        <v>117455</v>
      </c>
      <c r="F1736" s="10">
        <f>IF(ISTEXT(Таблицаx_2[[#This Row],[Значение]]), 0, Таблицаx_2[[#This Row],[Значение]])</f>
        <v>117455</v>
      </c>
      <c r="G1736" s="12">
        <v>45261</v>
      </c>
      <c r="H1736" s="10" t="str">
        <f>IFERROR(VLOOKUP(Таблицаx_2[[#This Row],[id]],prolongations!A:C,2,)," ")</f>
        <v>декабрь 2023</v>
      </c>
      <c r="I1736" s="10">
        <f>IF(Таблицаx_2[[#This Row],[Месяц окончания]]=Таблицаx_2[[#This Row],[Месяц]],Таблицаx_2[[#This Row],[Значения числа]],0)</f>
        <v>0</v>
      </c>
      <c r="J1736" s="8">
        <f>IF(AND(Таблицаx_2[[#This Row],[Месяц окончания]]=Таблицаx_2[[#This Row],[Месяц]],Таблицаx_2[[#This Row],[id]]=A1737,EDATE(Таблицаx_2[[#This Row],[Месяц]],1)=D1737),F1737,0)</f>
        <v>0</v>
      </c>
      <c r="K1736" s="8">
        <f>IF(AND(Таблицаx_2[[#This Row],[Месяц окончания]]=Таблицаx_2[[#This Row],[Месяц]],Таблицаx_2[[#This Row],[id]]=A1737,EDATE(Таблицаx_2[[#This Row],[Месяц]],2)=D1737),F1737,0)</f>
        <v>0</v>
      </c>
    </row>
    <row r="1737" spans="1:11" ht="12.75" hidden="1" customHeight="1" x14ac:dyDescent="0.2">
      <c r="A1737" s="8">
        <v>742</v>
      </c>
      <c r="B1737" s="8" t="s">
        <v>45</v>
      </c>
      <c r="C1737" s="8" t="s">
        <v>8</v>
      </c>
      <c r="D1737" s="12">
        <v>44986</v>
      </c>
      <c r="E1737" s="8">
        <v>117455</v>
      </c>
      <c r="F1737" s="10">
        <f>IF(ISTEXT(Таблицаx_2[[#This Row],[Значение]]), 0, Таблицаx_2[[#This Row],[Значение]])</f>
        <v>117455</v>
      </c>
      <c r="G1737" s="12">
        <v>45261</v>
      </c>
      <c r="H1737" s="10" t="str">
        <f>IFERROR(VLOOKUP(Таблицаx_2[[#This Row],[id]],prolongations!A:C,2,)," ")</f>
        <v>декабрь 2023</v>
      </c>
      <c r="I1737" s="10">
        <f>IF(Таблицаx_2[[#This Row],[Месяц окончания]]=Таблицаx_2[[#This Row],[Месяц]],Таблицаx_2[[#This Row],[Значения числа]],0)</f>
        <v>0</v>
      </c>
      <c r="J1737" s="8">
        <f>IF(AND(Таблицаx_2[[#This Row],[Месяц окончания]]=Таблицаx_2[[#This Row],[Месяц]],Таблицаx_2[[#This Row],[id]]=A1738,EDATE(Таблицаx_2[[#This Row],[Месяц]],1)=D1738),F1738,0)</f>
        <v>0</v>
      </c>
      <c r="K1737" s="8">
        <f>IF(AND(Таблицаx_2[[#This Row],[Месяц окончания]]=Таблицаx_2[[#This Row],[Месяц]],Таблицаx_2[[#This Row],[id]]=A1738,EDATE(Таблицаx_2[[#This Row],[Месяц]],2)=D1738),F1738,0)</f>
        <v>0</v>
      </c>
    </row>
    <row r="1738" spans="1:11" ht="12.75" hidden="1" customHeight="1" x14ac:dyDescent="0.2">
      <c r="A1738" s="8">
        <v>742</v>
      </c>
      <c r="B1738" s="8" t="s">
        <v>45</v>
      </c>
      <c r="C1738" s="8" t="s">
        <v>8</v>
      </c>
      <c r="D1738" s="12">
        <v>45017</v>
      </c>
      <c r="E1738" s="8">
        <v>117455</v>
      </c>
      <c r="F1738" s="10">
        <f>IF(ISTEXT(Таблицаx_2[[#This Row],[Значение]]), 0, Таблицаx_2[[#This Row],[Значение]])</f>
        <v>117455</v>
      </c>
      <c r="G1738" s="12">
        <v>45261</v>
      </c>
      <c r="H1738" s="10" t="str">
        <f>IFERROR(VLOOKUP(Таблицаx_2[[#This Row],[id]],prolongations!A:C,2,)," ")</f>
        <v>декабрь 2023</v>
      </c>
      <c r="I1738" s="10">
        <f>IF(Таблицаx_2[[#This Row],[Месяц окончания]]=Таблицаx_2[[#This Row],[Месяц]],Таблицаx_2[[#This Row],[Значения числа]],0)</f>
        <v>0</v>
      </c>
      <c r="J1738" s="8">
        <f>IF(AND(Таблицаx_2[[#This Row],[Месяц окончания]]=Таблицаx_2[[#This Row],[Месяц]],Таблицаx_2[[#This Row],[id]]=A1739,EDATE(Таблицаx_2[[#This Row],[Месяц]],1)=D1739),F1739,0)</f>
        <v>0</v>
      </c>
      <c r="K1738" s="8">
        <f>IF(AND(Таблицаx_2[[#This Row],[Месяц окончания]]=Таблицаx_2[[#This Row],[Месяц]],Таблицаx_2[[#This Row],[id]]=A1739,EDATE(Таблицаx_2[[#This Row],[Месяц]],2)=D1739),F1739,0)</f>
        <v>0</v>
      </c>
    </row>
    <row r="1739" spans="1:11" ht="12.75" hidden="1" customHeight="1" x14ac:dyDescent="0.2">
      <c r="A1739" s="8">
        <v>742</v>
      </c>
      <c r="B1739" s="8" t="s">
        <v>45</v>
      </c>
      <c r="C1739" s="8" t="s">
        <v>8</v>
      </c>
      <c r="D1739" s="12">
        <v>45047</v>
      </c>
      <c r="E1739" s="8">
        <v>117455</v>
      </c>
      <c r="F1739" s="10">
        <f>IF(ISTEXT(Таблицаx_2[[#This Row],[Значение]]), 0, Таблицаx_2[[#This Row],[Значение]])</f>
        <v>117455</v>
      </c>
      <c r="G1739" s="12">
        <v>45261</v>
      </c>
      <c r="H1739" s="10" t="str">
        <f>IFERROR(VLOOKUP(Таблицаx_2[[#This Row],[id]],prolongations!A:C,2,)," ")</f>
        <v>декабрь 2023</v>
      </c>
      <c r="I1739" s="10">
        <f>IF(Таблицаx_2[[#This Row],[Месяц окончания]]=Таблицаx_2[[#This Row],[Месяц]],Таблицаx_2[[#This Row],[Значения числа]],0)</f>
        <v>0</v>
      </c>
      <c r="J1739" s="8">
        <f>IF(AND(Таблицаx_2[[#This Row],[Месяц окончания]]=Таблицаx_2[[#This Row],[Месяц]],Таблицаx_2[[#This Row],[id]]=A1740,EDATE(Таблицаx_2[[#This Row],[Месяц]],1)=D1740),F1740,0)</f>
        <v>0</v>
      </c>
      <c r="K1739" s="8">
        <f>IF(AND(Таблицаx_2[[#This Row],[Месяц окончания]]=Таблицаx_2[[#This Row],[Месяц]],Таблицаx_2[[#This Row],[id]]=A1740,EDATE(Таблицаx_2[[#This Row],[Месяц]],2)=D1740),F1740,0)</f>
        <v>0</v>
      </c>
    </row>
    <row r="1740" spans="1:11" ht="12.75" hidden="1" customHeight="1" x14ac:dyDescent="0.2">
      <c r="A1740" s="8">
        <v>742</v>
      </c>
      <c r="B1740" s="8" t="s">
        <v>45</v>
      </c>
      <c r="C1740" s="8" t="s">
        <v>8</v>
      </c>
      <c r="D1740" s="12">
        <v>45078</v>
      </c>
      <c r="E1740" s="8">
        <v>117455</v>
      </c>
      <c r="F1740" s="10">
        <f>IF(ISTEXT(Таблицаx_2[[#This Row],[Значение]]), 0, Таблицаx_2[[#This Row],[Значение]])</f>
        <v>117455</v>
      </c>
      <c r="G1740" s="12">
        <v>45261</v>
      </c>
      <c r="H1740" s="10" t="str">
        <f>IFERROR(VLOOKUP(Таблицаx_2[[#This Row],[id]],prolongations!A:C,2,)," ")</f>
        <v>декабрь 2023</v>
      </c>
      <c r="I1740" s="10">
        <f>IF(Таблицаx_2[[#This Row],[Месяц окончания]]=Таблицаx_2[[#This Row],[Месяц]],Таблицаx_2[[#This Row],[Значения числа]],0)</f>
        <v>0</v>
      </c>
      <c r="J1740" s="8">
        <f>IF(AND(Таблицаx_2[[#This Row],[Месяц окончания]]=Таблицаx_2[[#This Row],[Месяц]],Таблицаx_2[[#This Row],[id]]=A1741,EDATE(Таблицаx_2[[#This Row],[Месяц]],1)=D1741),F1741,0)</f>
        <v>0</v>
      </c>
      <c r="K1740" s="8">
        <f>IF(AND(Таблицаx_2[[#This Row],[Месяц окончания]]=Таблицаx_2[[#This Row],[Месяц]],Таблицаx_2[[#This Row],[id]]=A1741,EDATE(Таблицаx_2[[#This Row],[Месяц]],2)=D1741),F1741,0)</f>
        <v>0</v>
      </c>
    </row>
    <row r="1741" spans="1:11" ht="12.75" hidden="1" customHeight="1" x14ac:dyDescent="0.2">
      <c r="A1741" s="8">
        <v>742</v>
      </c>
      <c r="B1741" s="8" t="s">
        <v>45</v>
      </c>
      <c r="C1741" s="8" t="s">
        <v>8</v>
      </c>
      <c r="D1741" s="12">
        <v>45108</v>
      </c>
      <c r="E1741" s="8">
        <v>117455</v>
      </c>
      <c r="F1741" s="10">
        <f>IF(ISTEXT(Таблицаx_2[[#This Row],[Значение]]), 0, Таблицаx_2[[#This Row],[Значение]])</f>
        <v>117455</v>
      </c>
      <c r="G1741" s="12">
        <v>45261</v>
      </c>
      <c r="H1741" s="10" t="str">
        <f>IFERROR(VLOOKUP(Таблицаx_2[[#This Row],[id]],prolongations!A:C,2,)," ")</f>
        <v>декабрь 2023</v>
      </c>
      <c r="I1741" s="10">
        <f>IF(Таблицаx_2[[#This Row],[Месяц окончания]]=Таблицаx_2[[#This Row],[Месяц]],Таблицаx_2[[#This Row],[Значения числа]],0)</f>
        <v>0</v>
      </c>
      <c r="J1741" s="8">
        <f>IF(AND(Таблицаx_2[[#This Row],[Месяц окончания]]=Таблицаx_2[[#This Row],[Месяц]],Таблицаx_2[[#This Row],[id]]=A1742,EDATE(Таблицаx_2[[#This Row],[Месяц]],1)=D1742),F1742,0)</f>
        <v>0</v>
      </c>
      <c r="K1741" s="8">
        <f>IF(AND(Таблицаx_2[[#This Row],[Месяц окончания]]=Таблицаx_2[[#This Row],[Месяц]],Таблицаx_2[[#This Row],[id]]=A1742,EDATE(Таблицаx_2[[#This Row],[Месяц]],2)=D1742),F1742,0)</f>
        <v>0</v>
      </c>
    </row>
    <row r="1742" spans="1:11" ht="12.75" hidden="1" customHeight="1" x14ac:dyDescent="0.2">
      <c r="A1742" s="8">
        <v>742</v>
      </c>
      <c r="B1742" s="8" t="s">
        <v>45</v>
      </c>
      <c r="C1742" s="8" t="s">
        <v>8</v>
      </c>
      <c r="D1742" s="12">
        <v>45139</v>
      </c>
      <c r="E1742" s="8">
        <v>140535</v>
      </c>
      <c r="F1742" s="10">
        <f>IF(ISTEXT(Таблицаx_2[[#This Row],[Значение]]), 0, Таблицаx_2[[#This Row],[Значение]])</f>
        <v>140535</v>
      </c>
      <c r="G1742" s="12">
        <v>45261</v>
      </c>
      <c r="H1742" s="10" t="str">
        <f>IFERROR(VLOOKUP(Таблицаx_2[[#This Row],[id]],prolongations!A:C,2,)," ")</f>
        <v>декабрь 2023</v>
      </c>
      <c r="I1742" s="10">
        <f>IF(Таблицаx_2[[#This Row],[Месяц окончания]]=Таблицаx_2[[#This Row],[Месяц]],Таблицаx_2[[#This Row],[Значения числа]],0)</f>
        <v>0</v>
      </c>
      <c r="J1742" s="8">
        <f>IF(AND(Таблицаx_2[[#This Row],[Месяц окончания]]=Таблицаx_2[[#This Row],[Месяц]],Таблицаx_2[[#This Row],[id]]=A1743,EDATE(Таблицаx_2[[#This Row],[Месяц]],1)=D1743),F1743,0)</f>
        <v>0</v>
      </c>
      <c r="K1742" s="8">
        <f>IF(AND(Таблицаx_2[[#This Row],[Месяц окончания]]=Таблицаx_2[[#This Row],[Месяц]],Таблицаx_2[[#This Row],[id]]=A1743,EDATE(Таблицаx_2[[#This Row],[Месяц]],2)=D1743),F1743,0)</f>
        <v>0</v>
      </c>
    </row>
    <row r="1743" spans="1:11" ht="12.75" hidden="1" customHeight="1" x14ac:dyDescent="0.2">
      <c r="A1743" s="8">
        <v>742</v>
      </c>
      <c r="B1743" s="8" t="s">
        <v>45</v>
      </c>
      <c r="C1743" s="8" t="s">
        <v>8</v>
      </c>
      <c r="D1743" s="12">
        <v>45170</v>
      </c>
      <c r="E1743" s="8">
        <v>117455</v>
      </c>
      <c r="F1743" s="10">
        <f>IF(ISTEXT(Таблицаx_2[[#This Row],[Значение]]), 0, Таблицаx_2[[#This Row],[Значение]])</f>
        <v>117455</v>
      </c>
      <c r="G1743" s="12">
        <v>45261</v>
      </c>
      <c r="H1743" s="10" t="str">
        <f>IFERROR(VLOOKUP(Таблицаx_2[[#This Row],[id]],prolongations!A:C,2,)," ")</f>
        <v>декабрь 2023</v>
      </c>
      <c r="I1743" s="10">
        <f>IF(Таблицаx_2[[#This Row],[Месяц окончания]]=Таблицаx_2[[#This Row],[Месяц]],Таблицаx_2[[#This Row],[Значения числа]],0)</f>
        <v>0</v>
      </c>
      <c r="J1743" s="8">
        <f>IF(AND(Таблицаx_2[[#This Row],[Месяц окончания]]=Таблицаx_2[[#This Row],[Месяц]],Таблицаx_2[[#This Row],[id]]=A1744,EDATE(Таблицаx_2[[#This Row],[Месяц]],1)=D1744),F1744,0)</f>
        <v>0</v>
      </c>
      <c r="K1743" s="8">
        <f>IF(AND(Таблицаx_2[[#This Row],[Месяц окончания]]=Таблицаx_2[[#This Row],[Месяц]],Таблицаx_2[[#This Row],[id]]=A1744,EDATE(Таблицаx_2[[#This Row],[Месяц]],2)=D1744),F1744,0)</f>
        <v>0</v>
      </c>
    </row>
    <row r="1744" spans="1:11" ht="12.75" hidden="1" customHeight="1" x14ac:dyDescent="0.2">
      <c r="A1744" s="8">
        <v>742</v>
      </c>
      <c r="B1744" s="8" t="s">
        <v>45</v>
      </c>
      <c r="C1744" s="8" t="s">
        <v>8</v>
      </c>
      <c r="D1744" s="12">
        <v>45200</v>
      </c>
      <c r="E1744" s="8">
        <v>117455</v>
      </c>
      <c r="F1744" s="10">
        <f>IF(ISTEXT(Таблицаx_2[[#This Row],[Значение]]), 0, Таблицаx_2[[#This Row],[Значение]])</f>
        <v>117455</v>
      </c>
      <c r="G1744" s="12">
        <v>45261</v>
      </c>
      <c r="H1744" s="10" t="str">
        <f>IFERROR(VLOOKUP(Таблицаx_2[[#This Row],[id]],prolongations!A:C,2,)," ")</f>
        <v>декабрь 2023</v>
      </c>
      <c r="I1744" s="10">
        <f>IF(Таблицаx_2[[#This Row],[Месяц окончания]]=Таблицаx_2[[#This Row],[Месяц]],Таблицаx_2[[#This Row],[Значения числа]],0)</f>
        <v>0</v>
      </c>
      <c r="J1744" s="8">
        <f>IF(AND(Таблицаx_2[[#This Row],[Месяц окончания]]=Таблицаx_2[[#This Row],[Месяц]],Таблицаx_2[[#This Row],[id]]=A1745,EDATE(Таблицаx_2[[#This Row],[Месяц]],1)=D1745),F1745,0)</f>
        <v>0</v>
      </c>
      <c r="K1744" s="8">
        <f>IF(AND(Таблицаx_2[[#This Row],[Месяц окончания]]=Таблицаx_2[[#This Row],[Месяц]],Таблицаx_2[[#This Row],[id]]=A1745,EDATE(Таблицаx_2[[#This Row],[Месяц]],2)=D1745),F1745,0)</f>
        <v>0</v>
      </c>
    </row>
    <row r="1745" spans="1:11" ht="12.75" hidden="1" customHeight="1" x14ac:dyDescent="0.2">
      <c r="A1745" s="8">
        <v>742</v>
      </c>
      <c r="B1745" s="8" t="s">
        <v>45</v>
      </c>
      <c r="C1745" s="8" t="s">
        <v>8</v>
      </c>
      <c r="D1745" s="12">
        <v>45261</v>
      </c>
      <c r="E1745" s="8">
        <v>130750</v>
      </c>
      <c r="F1745" s="10">
        <f>IF(ISTEXT(Таблицаx_2[[#This Row],[Значение]]), 0, Таблицаx_2[[#This Row],[Значение]])</f>
        <v>130750</v>
      </c>
      <c r="G1745" s="12">
        <v>45261</v>
      </c>
      <c r="H1745" s="10" t="str">
        <f>IFERROR(VLOOKUP(Таблицаx_2[[#This Row],[id]],prolongations!A:C,2,)," ")</f>
        <v>декабрь 2023</v>
      </c>
      <c r="I1745" s="10">
        <f>IF(Таблицаx_2[[#This Row],[Месяц окончания]]=Таблицаx_2[[#This Row],[Месяц]],Таблицаx_2[[#This Row],[Значения числа]],0)</f>
        <v>130750</v>
      </c>
      <c r="J1745" s="8">
        <f>IF(AND(Таблицаx_2[[#This Row],[Месяц окончания]]=Таблицаx_2[[#This Row],[Месяц]],Таблицаx_2[[#This Row],[id]]=A1746,EDATE(Таблицаx_2[[#This Row],[Месяц]],1)=D1746),F1746,0)</f>
        <v>147680</v>
      </c>
      <c r="K1745" s="8">
        <f>IF(AND(Таблицаx_2[[#This Row],[Месяц окончания]]=Таблицаx_2[[#This Row],[Месяц]],Таблицаx_2[[#This Row],[id]]=A1746,EDATE(Таблицаx_2[[#This Row],[Месяц]],2)=D1746),F1746,0)</f>
        <v>0</v>
      </c>
    </row>
    <row r="1746" spans="1:11" ht="12.75" hidden="1" customHeight="1" x14ac:dyDescent="0.2">
      <c r="A1746" s="8">
        <v>742</v>
      </c>
      <c r="B1746" s="8" t="s">
        <v>45</v>
      </c>
      <c r="C1746" s="8" t="s">
        <v>8</v>
      </c>
      <c r="D1746" s="12">
        <v>45292</v>
      </c>
      <c r="E1746" s="8">
        <v>147680</v>
      </c>
      <c r="F1746" s="10">
        <f>IF(ISTEXT(Таблицаx_2[[#This Row],[Значение]]), 0, Таблицаx_2[[#This Row],[Значение]])</f>
        <v>147680</v>
      </c>
      <c r="G1746" s="12">
        <v>45261</v>
      </c>
      <c r="H1746" s="10" t="str">
        <f>IFERROR(VLOOKUP(Таблицаx_2[[#This Row],[id]],prolongations!A:C,2,)," ")</f>
        <v>декабрь 2023</v>
      </c>
      <c r="I1746" s="10">
        <f>IF(Таблицаx_2[[#This Row],[Месяц окончания]]=Таблицаx_2[[#This Row],[Месяц]],Таблицаx_2[[#This Row],[Значения числа]],0)</f>
        <v>0</v>
      </c>
      <c r="J1746" s="8">
        <f>IF(AND(Таблицаx_2[[#This Row],[Месяц окончания]]=Таблицаx_2[[#This Row],[Месяц]],Таблицаx_2[[#This Row],[id]]=A1747,EDATE(Таблицаx_2[[#This Row],[Месяц]],1)=D1747),F1747,0)</f>
        <v>0</v>
      </c>
      <c r="K1746" s="8">
        <f>IF(AND(Таблицаx_2[[#This Row],[Месяц окончания]]=Таблицаx_2[[#This Row],[Месяц]],Таблицаx_2[[#This Row],[id]]=A1747,EDATE(Таблицаx_2[[#This Row],[Месяц]],2)=D1747),F1747,0)</f>
        <v>0</v>
      </c>
    </row>
    <row r="1747" spans="1:11" ht="12.75" hidden="1" customHeight="1" x14ac:dyDescent="0.2">
      <c r="A1747" s="8">
        <v>742</v>
      </c>
      <c r="B1747" s="8" t="s">
        <v>45</v>
      </c>
      <c r="C1747" s="8" t="s">
        <v>8</v>
      </c>
      <c r="D1747" s="12">
        <v>45323</v>
      </c>
      <c r="E1747" s="8">
        <v>147680</v>
      </c>
      <c r="F1747" s="10">
        <f>IF(ISTEXT(Таблицаx_2[[#This Row],[Значение]]), 0, Таблицаx_2[[#This Row],[Значение]])</f>
        <v>147680</v>
      </c>
      <c r="G1747" s="12">
        <v>45261</v>
      </c>
      <c r="H1747" s="10" t="str">
        <f>IFERROR(VLOOKUP(Таблицаx_2[[#This Row],[id]],prolongations!A:C,2,)," ")</f>
        <v>декабрь 2023</v>
      </c>
      <c r="I1747" s="10">
        <f>IF(Таблицаx_2[[#This Row],[Месяц окончания]]=Таблицаx_2[[#This Row],[Месяц]],Таблицаx_2[[#This Row],[Значения числа]],0)</f>
        <v>0</v>
      </c>
      <c r="J1747" s="8">
        <f>IF(AND(Таблицаx_2[[#This Row],[Месяц окончания]]=Таблицаx_2[[#This Row],[Месяц]],Таблицаx_2[[#This Row],[id]]=A1748,EDATE(Таблицаx_2[[#This Row],[Месяц]],1)=D1748),F1748,0)</f>
        <v>0</v>
      </c>
      <c r="K1747" s="8">
        <f>IF(AND(Таблицаx_2[[#This Row],[Месяц окончания]]=Таблицаx_2[[#This Row],[Месяц]],Таблицаx_2[[#This Row],[id]]=A1748,EDATE(Таблицаx_2[[#This Row],[Месяц]],2)=D1748),F1748,0)</f>
        <v>0</v>
      </c>
    </row>
    <row r="1748" spans="1:11" ht="12.75" hidden="1" customHeight="1" x14ac:dyDescent="0.2">
      <c r="A1748" s="8">
        <v>742</v>
      </c>
      <c r="B1748" s="8" t="s">
        <v>47</v>
      </c>
      <c r="C1748" s="8" t="s">
        <v>8</v>
      </c>
      <c r="D1748" s="12">
        <v>45323</v>
      </c>
      <c r="E1748" s="8">
        <v>3500</v>
      </c>
      <c r="F1748" s="10">
        <f>IF(ISTEXT(Таблицаx_2[[#This Row],[Значение]]), 0, Таблицаx_2[[#This Row],[Значение]])</f>
        <v>3500</v>
      </c>
      <c r="G1748" s="12">
        <v>45261</v>
      </c>
      <c r="H1748" s="10" t="str">
        <f>IFERROR(VLOOKUP(Таблицаx_2[[#This Row],[id]],prolongations!A:C,2,)," ")</f>
        <v>декабрь 2023</v>
      </c>
      <c r="I1748" s="10">
        <f>IF(Таблицаx_2[[#This Row],[Месяц окончания]]=Таблицаx_2[[#This Row],[Месяц]],Таблицаx_2[[#This Row],[Значения числа]],0)</f>
        <v>0</v>
      </c>
      <c r="J1748" s="8">
        <f>IF(AND(Таблицаx_2[[#This Row],[Месяц окончания]]=Таблицаx_2[[#This Row],[Месяц]],Таблицаx_2[[#This Row],[id]]=A1749,EDATE(Таблицаx_2[[#This Row],[Месяц]],1)=D1749),F1749,0)</f>
        <v>0</v>
      </c>
      <c r="K1748" s="8">
        <f>IF(AND(Таблицаx_2[[#This Row],[Месяц окончания]]=Таблицаx_2[[#This Row],[Месяц]],Таблицаx_2[[#This Row],[id]]=A1749,EDATE(Таблицаx_2[[#This Row],[Месяц]],2)=D1749),F1749,0)</f>
        <v>0</v>
      </c>
    </row>
    <row r="1749" spans="1:11" ht="12.75" hidden="1" customHeight="1" x14ac:dyDescent="0.2">
      <c r="A1749" s="8">
        <v>772</v>
      </c>
      <c r="B1749" s="8" t="s">
        <v>45</v>
      </c>
      <c r="C1749" s="8" t="s">
        <v>8</v>
      </c>
      <c r="D1749" s="12">
        <v>44927</v>
      </c>
      <c r="E1749" s="8">
        <v>45570</v>
      </c>
      <c r="F1749" s="10">
        <f>IF(ISTEXT(Таблицаx_2[[#This Row],[Значение]]), 0, Таблицаx_2[[#This Row],[Значение]])</f>
        <v>45570</v>
      </c>
      <c r="G1749" s="12">
        <v>45261</v>
      </c>
      <c r="H1749" s="10" t="str">
        <f>IFERROR(VLOOKUP(Таблицаx_2[[#This Row],[id]],prolongations!A:C,2,)," ")</f>
        <v>декабрь 2023</v>
      </c>
      <c r="I1749" s="10">
        <f>IF(Таблицаx_2[[#This Row],[Месяц окончания]]=Таблицаx_2[[#This Row],[Месяц]],Таблицаx_2[[#This Row],[Значения числа]],0)</f>
        <v>0</v>
      </c>
      <c r="J1749" s="8">
        <f>IF(AND(Таблицаx_2[[#This Row],[Месяц окончания]]=Таблицаx_2[[#This Row],[Месяц]],Таблицаx_2[[#This Row],[id]]=A1750,EDATE(Таблицаx_2[[#This Row],[Месяц]],1)=D1750),F1750,0)</f>
        <v>0</v>
      </c>
      <c r="K1749" s="8">
        <f>IF(AND(Таблицаx_2[[#This Row],[Месяц окончания]]=Таблицаx_2[[#This Row],[Месяц]],Таблицаx_2[[#This Row],[id]]=A1750,EDATE(Таблицаx_2[[#This Row],[Месяц]],2)=D1750),F1750,0)</f>
        <v>0</v>
      </c>
    </row>
    <row r="1750" spans="1:11" ht="12.75" hidden="1" customHeight="1" x14ac:dyDescent="0.2">
      <c r="A1750" s="8">
        <v>772</v>
      </c>
      <c r="B1750" s="8" t="s">
        <v>45</v>
      </c>
      <c r="C1750" s="8" t="s">
        <v>8</v>
      </c>
      <c r="D1750" s="12">
        <v>44958</v>
      </c>
      <c r="E1750" s="8">
        <v>42570</v>
      </c>
      <c r="F1750" s="10">
        <f>IF(ISTEXT(Таблицаx_2[[#This Row],[Значение]]), 0, Таблицаx_2[[#This Row],[Значение]])</f>
        <v>42570</v>
      </c>
      <c r="G1750" s="12">
        <v>45261</v>
      </c>
      <c r="H1750" s="10" t="str">
        <f>IFERROR(VLOOKUP(Таблицаx_2[[#This Row],[id]],prolongations!A:C,2,)," ")</f>
        <v>декабрь 2023</v>
      </c>
      <c r="I1750" s="10">
        <f>IF(Таблицаx_2[[#This Row],[Месяц окончания]]=Таблицаx_2[[#This Row],[Месяц]],Таблицаx_2[[#This Row],[Значения числа]],0)</f>
        <v>0</v>
      </c>
      <c r="J1750" s="8">
        <f>IF(AND(Таблицаx_2[[#This Row],[Месяц окончания]]=Таблицаx_2[[#This Row],[Месяц]],Таблицаx_2[[#This Row],[id]]=A1751,EDATE(Таблицаx_2[[#This Row],[Месяц]],1)=D1751),F1751,0)</f>
        <v>0</v>
      </c>
      <c r="K1750" s="8">
        <f>IF(AND(Таблицаx_2[[#This Row],[Месяц окончания]]=Таблицаx_2[[#This Row],[Месяц]],Таблицаx_2[[#This Row],[id]]=A1751,EDATE(Таблицаx_2[[#This Row],[Месяц]],2)=D1751),F1751,0)</f>
        <v>0</v>
      </c>
    </row>
    <row r="1751" spans="1:11" ht="12.75" hidden="1" customHeight="1" x14ac:dyDescent="0.2">
      <c r="A1751" s="8">
        <v>772</v>
      </c>
      <c r="B1751" s="8" t="s">
        <v>45</v>
      </c>
      <c r="C1751" s="8" t="s">
        <v>8</v>
      </c>
      <c r="D1751" s="12">
        <v>44986</v>
      </c>
      <c r="E1751" s="8">
        <v>42570</v>
      </c>
      <c r="F1751" s="10">
        <f>IF(ISTEXT(Таблицаx_2[[#This Row],[Значение]]), 0, Таблицаx_2[[#This Row],[Значение]])</f>
        <v>42570</v>
      </c>
      <c r="G1751" s="12">
        <v>45261</v>
      </c>
      <c r="H1751" s="10" t="str">
        <f>IFERROR(VLOOKUP(Таблицаx_2[[#This Row],[id]],prolongations!A:C,2,)," ")</f>
        <v>декабрь 2023</v>
      </c>
      <c r="I1751" s="10">
        <f>IF(Таблицаx_2[[#This Row],[Месяц окончания]]=Таблицаx_2[[#This Row],[Месяц]],Таблицаx_2[[#This Row],[Значения числа]],0)</f>
        <v>0</v>
      </c>
      <c r="J1751" s="8">
        <f>IF(AND(Таблицаx_2[[#This Row],[Месяц окончания]]=Таблицаx_2[[#This Row],[Месяц]],Таблицаx_2[[#This Row],[id]]=A1752,EDATE(Таблицаx_2[[#This Row],[Месяц]],1)=D1752),F1752,0)</f>
        <v>0</v>
      </c>
      <c r="K1751" s="8">
        <f>IF(AND(Таблицаx_2[[#This Row],[Месяц окончания]]=Таблицаx_2[[#This Row],[Месяц]],Таблицаx_2[[#This Row],[id]]=A1752,EDATE(Таблицаx_2[[#This Row],[Месяц]],2)=D1752),F1752,0)</f>
        <v>0</v>
      </c>
    </row>
    <row r="1752" spans="1:11" ht="12.75" hidden="1" customHeight="1" x14ac:dyDescent="0.2">
      <c r="A1752" s="8">
        <v>772</v>
      </c>
      <c r="B1752" s="8" t="s">
        <v>45</v>
      </c>
      <c r="C1752" s="8" t="s">
        <v>8</v>
      </c>
      <c r="D1752" s="12">
        <v>45017</v>
      </c>
      <c r="E1752" s="8">
        <v>44680</v>
      </c>
      <c r="F1752" s="10">
        <f>IF(ISTEXT(Таблицаx_2[[#This Row],[Значение]]), 0, Таблицаx_2[[#This Row],[Значение]])</f>
        <v>44680</v>
      </c>
      <c r="G1752" s="12">
        <v>45261</v>
      </c>
      <c r="H1752" s="10" t="str">
        <f>IFERROR(VLOOKUP(Таблицаx_2[[#This Row],[id]],prolongations!A:C,2,)," ")</f>
        <v>декабрь 2023</v>
      </c>
      <c r="I1752" s="10">
        <f>IF(Таблицаx_2[[#This Row],[Месяц окончания]]=Таблицаx_2[[#This Row],[Месяц]],Таблицаx_2[[#This Row],[Значения числа]],0)</f>
        <v>0</v>
      </c>
      <c r="J1752" s="8">
        <f>IF(AND(Таблицаx_2[[#This Row],[Месяц окончания]]=Таблицаx_2[[#This Row],[Месяц]],Таблицаx_2[[#This Row],[id]]=A1753,EDATE(Таблицаx_2[[#This Row],[Месяц]],1)=D1753),F1753,0)</f>
        <v>0</v>
      </c>
      <c r="K1752" s="8">
        <f>IF(AND(Таблицаx_2[[#This Row],[Месяц окончания]]=Таблицаx_2[[#This Row],[Месяц]],Таблицаx_2[[#This Row],[id]]=A1753,EDATE(Таблицаx_2[[#This Row],[Месяц]],2)=D1753),F1753,0)</f>
        <v>0</v>
      </c>
    </row>
    <row r="1753" spans="1:11" ht="12.75" hidden="1" customHeight="1" x14ac:dyDescent="0.2">
      <c r="A1753" s="8">
        <v>772</v>
      </c>
      <c r="B1753" s="8" t="s">
        <v>45</v>
      </c>
      <c r="C1753" s="8" t="s">
        <v>8</v>
      </c>
      <c r="D1753" s="12">
        <v>45047</v>
      </c>
      <c r="E1753" s="8">
        <v>44680</v>
      </c>
      <c r="F1753" s="10">
        <f>IF(ISTEXT(Таблицаx_2[[#This Row],[Значение]]), 0, Таблицаx_2[[#This Row],[Значение]])</f>
        <v>44680</v>
      </c>
      <c r="G1753" s="12">
        <v>45261</v>
      </c>
      <c r="H1753" s="10" t="str">
        <f>IFERROR(VLOOKUP(Таблицаx_2[[#This Row],[id]],prolongations!A:C,2,)," ")</f>
        <v>декабрь 2023</v>
      </c>
      <c r="I1753" s="10">
        <f>IF(Таблицаx_2[[#This Row],[Месяц окончания]]=Таблицаx_2[[#This Row],[Месяц]],Таблицаx_2[[#This Row],[Значения числа]],0)</f>
        <v>0</v>
      </c>
      <c r="J1753" s="8">
        <f>IF(AND(Таблицаx_2[[#This Row],[Месяц окончания]]=Таблицаx_2[[#This Row],[Месяц]],Таблицаx_2[[#This Row],[id]]=A1754,EDATE(Таблицаx_2[[#This Row],[Месяц]],1)=D1754),F1754,0)</f>
        <v>0</v>
      </c>
      <c r="K1753" s="8">
        <f>IF(AND(Таблицаx_2[[#This Row],[Месяц окончания]]=Таблицаx_2[[#This Row],[Месяц]],Таблицаx_2[[#This Row],[id]]=A1754,EDATE(Таблицаx_2[[#This Row],[Месяц]],2)=D1754),F1754,0)</f>
        <v>0</v>
      </c>
    </row>
    <row r="1754" spans="1:11" ht="12.75" hidden="1" customHeight="1" x14ac:dyDescent="0.2">
      <c r="A1754" s="8">
        <v>772</v>
      </c>
      <c r="B1754" s="8" t="s">
        <v>45</v>
      </c>
      <c r="C1754" s="8" t="s">
        <v>8</v>
      </c>
      <c r="D1754" s="12">
        <v>45078</v>
      </c>
      <c r="E1754" s="8">
        <v>44680</v>
      </c>
      <c r="F1754" s="10">
        <f>IF(ISTEXT(Таблицаx_2[[#This Row],[Значение]]), 0, Таблицаx_2[[#This Row],[Значение]])</f>
        <v>44680</v>
      </c>
      <c r="G1754" s="12">
        <v>45261</v>
      </c>
      <c r="H1754" s="10" t="str">
        <f>IFERROR(VLOOKUP(Таблицаx_2[[#This Row],[id]],prolongations!A:C,2,)," ")</f>
        <v>декабрь 2023</v>
      </c>
      <c r="I1754" s="10">
        <f>IF(Таблицаx_2[[#This Row],[Месяц окончания]]=Таблицаx_2[[#This Row],[Месяц]],Таблицаx_2[[#This Row],[Значения числа]],0)</f>
        <v>0</v>
      </c>
      <c r="J1754" s="8">
        <f>IF(AND(Таблицаx_2[[#This Row],[Месяц окончания]]=Таблицаx_2[[#This Row],[Месяц]],Таблицаx_2[[#This Row],[id]]=A1755,EDATE(Таблицаx_2[[#This Row],[Месяц]],1)=D1755),F1755,0)</f>
        <v>0</v>
      </c>
      <c r="K1754" s="8">
        <f>IF(AND(Таблицаx_2[[#This Row],[Месяц окончания]]=Таблицаx_2[[#This Row],[Месяц]],Таблицаx_2[[#This Row],[id]]=A1755,EDATE(Таблицаx_2[[#This Row],[Месяц]],2)=D1755),F1755,0)</f>
        <v>0</v>
      </c>
    </row>
    <row r="1755" spans="1:11" ht="12.75" hidden="1" customHeight="1" x14ac:dyDescent="0.2">
      <c r="A1755" s="8">
        <v>772</v>
      </c>
      <c r="B1755" s="8" t="s">
        <v>45</v>
      </c>
      <c r="C1755" s="8" t="s">
        <v>8</v>
      </c>
      <c r="D1755" s="12">
        <v>45108</v>
      </c>
      <c r="E1755" s="8">
        <v>44680</v>
      </c>
      <c r="F1755" s="10">
        <f>IF(ISTEXT(Таблицаx_2[[#This Row],[Значение]]), 0, Таблицаx_2[[#This Row],[Значение]])</f>
        <v>44680</v>
      </c>
      <c r="G1755" s="12">
        <v>45261</v>
      </c>
      <c r="H1755" s="10" t="str">
        <f>IFERROR(VLOOKUP(Таблицаx_2[[#This Row],[id]],prolongations!A:C,2,)," ")</f>
        <v>декабрь 2023</v>
      </c>
      <c r="I1755" s="10">
        <f>IF(Таблицаx_2[[#This Row],[Месяц окончания]]=Таблицаx_2[[#This Row],[Месяц]],Таблицаx_2[[#This Row],[Значения числа]],0)</f>
        <v>0</v>
      </c>
      <c r="J1755" s="8">
        <f>IF(AND(Таблицаx_2[[#This Row],[Месяц окончания]]=Таблицаx_2[[#This Row],[Месяц]],Таблицаx_2[[#This Row],[id]]=A1756,EDATE(Таблицаx_2[[#This Row],[Месяц]],1)=D1756),F1756,0)</f>
        <v>0</v>
      </c>
      <c r="K1755" s="8">
        <f>IF(AND(Таблицаx_2[[#This Row],[Месяц окончания]]=Таблицаx_2[[#This Row],[Месяц]],Таблицаx_2[[#This Row],[id]]=A1756,EDATE(Таблицаx_2[[#This Row],[Месяц]],2)=D1756),F1756,0)</f>
        <v>0</v>
      </c>
    </row>
    <row r="1756" spans="1:11" ht="12.75" hidden="1" customHeight="1" x14ac:dyDescent="0.2">
      <c r="A1756" s="8">
        <v>772</v>
      </c>
      <c r="B1756" s="8" t="s">
        <v>45</v>
      </c>
      <c r="C1756" s="8" t="s">
        <v>8</v>
      </c>
      <c r="D1756" s="12">
        <v>45139</v>
      </c>
      <c r="E1756" s="8">
        <v>44680</v>
      </c>
      <c r="F1756" s="10">
        <f>IF(ISTEXT(Таблицаx_2[[#This Row],[Значение]]), 0, Таблицаx_2[[#This Row],[Значение]])</f>
        <v>44680</v>
      </c>
      <c r="G1756" s="12">
        <v>45261</v>
      </c>
      <c r="H1756" s="10" t="str">
        <f>IFERROR(VLOOKUP(Таблицаx_2[[#This Row],[id]],prolongations!A:C,2,)," ")</f>
        <v>декабрь 2023</v>
      </c>
      <c r="I1756" s="10">
        <f>IF(Таблицаx_2[[#This Row],[Месяц окончания]]=Таблицаx_2[[#This Row],[Месяц]],Таблицаx_2[[#This Row],[Значения числа]],0)</f>
        <v>0</v>
      </c>
      <c r="J1756" s="8">
        <f>IF(AND(Таблицаx_2[[#This Row],[Месяц окончания]]=Таблицаx_2[[#This Row],[Месяц]],Таблицаx_2[[#This Row],[id]]=A1757,EDATE(Таблицаx_2[[#This Row],[Месяц]],1)=D1757),F1757,0)</f>
        <v>0</v>
      </c>
      <c r="K1756" s="8">
        <f>IF(AND(Таблицаx_2[[#This Row],[Месяц окончания]]=Таблицаx_2[[#This Row],[Месяц]],Таблицаx_2[[#This Row],[id]]=A1757,EDATE(Таблицаx_2[[#This Row],[Месяц]],2)=D1757),F1757,0)</f>
        <v>0</v>
      </c>
    </row>
    <row r="1757" spans="1:11" ht="12.75" hidden="1" customHeight="1" x14ac:dyDescent="0.2">
      <c r="A1757" s="8">
        <v>772</v>
      </c>
      <c r="B1757" s="8" t="s">
        <v>45</v>
      </c>
      <c r="C1757" s="8" t="s">
        <v>8</v>
      </c>
      <c r="D1757" s="12">
        <v>45170</v>
      </c>
      <c r="E1757" s="8">
        <v>46790</v>
      </c>
      <c r="F1757" s="10">
        <f>IF(ISTEXT(Таблицаx_2[[#This Row],[Значение]]), 0, Таблицаx_2[[#This Row],[Значение]])</f>
        <v>46790</v>
      </c>
      <c r="G1757" s="12">
        <v>45261</v>
      </c>
      <c r="H1757" s="10" t="str">
        <f>IFERROR(VLOOKUP(Таблицаx_2[[#This Row],[id]],prolongations!A:C,2,)," ")</f>
        <v>декабрь 2023</v>
      </c>
      <c r="I1757" s="10">
        <f>IF(Таблицаx_2[[#This Row],[Месяц окончания]]=Таблицаx_2[[#This Row],[Месяц]],Таблицаx_2[[#This Row],[Значения числа]],0)</f>
        <v>0</v>
      </c>
      <c r="J1757" s="8">
        <f>IF(AND(Таблицаx_2[[#This Row],[Месяц окончания]]=Таблицаx_2[[#This Row],[Месяц]],Таблицаx_2[[#This Row],[id]]=A1758,EDATE(Таблицаx_2[[#This Row],[Месяц]],1)=D1758),F1758,0)</f>
        <v>0</v>
      </c>
      <c r="K1757" s="8">
        <f>IF(AND(Таблицаx_2[[#This Row],[Месяц окончания]]=Таблицаx_2[[#This Row],[Месяц]],Таблицаx_2[[#This Row],[id]]=A1758,EDATE(Таблицаx_2[[#This Row],[Месяц]],2)=D1758),F1758,0)</f>
        <v>0</v>
      </c>
    </row>
    <row r="1758" spans="1:11" ht="12.75" hidden="1" customHeight="1" x14ac:dyDescent="0.2">
      <c r="A1758" s="8">
        <v>772</v>
      </c>
      <c r="B1758" s="8" t="s">
        <v>45</v>
      </c>
      <c r="C1758" s="8" t="s">
        <v>8</v>
      </c>
      <c r="D1758" s="12">
        <v>45200</v>
      </c>
      <c r="E1758" s="8">
        <v>46790</v>
      </c>
      <c r="F1758" s="10">
        <f>IF(ISTEXT(Таблицаx_2[[#This Row],[Значение]]), 0, Таблицаx_2[[#This Row],[Значение]])</f>
        <v>46790</v>
      </c>
      <c r="G1758" s="12">
        <v>45261</v>
      </c>
      <c r="H1758" s="10" t="str">
        <f>IFERROR(VLOOKUP(Таблицаx_2[[#This Row],[id]],prolongations!A:C,2,)," ")</f>
        <v>декабрь 2023</v>
      </c>
      <c r="I1758" s="10">
        <f>IF(Таблицаx_2[[#This Row],[Месяц окончания]]=Таблицаx_2[[#This Row],[Месяц]],Таблицаx_2[[#This Row],[Значения числа]],0)</f>
        <v>0</v>
      </c>
      <c r="J1758" s="8">
        <f>IF(AND(Таблицаx_2[[#This Row],[Месяц окончания]]=Таблицаx_2[[#This Row],[Месяц]],Таблицаx_2[[#This Row],[id]]=A1759,EDATE(Таблицаx_2[[#This Row],[Месяц]],1)=D1759),F1759,0)</f>
        <v>0</v>
      </c>
      <c r="K1758" s="8">
        <f>IF(AND(Таблицаx_2[[#This Row],[Месяц окончания]]=Таблицаx_2[[#This Row],[Месяц]],Таблицаx_2[[#This Row],[id]]=A1759,EDATE(Таблицаx_2[[#This Row],[Месяц]],2)=D1759),F1759,0)</f>
        <v>0</v>
      </c>
    </row>
    <row r="1759" spans="1:11" ht="12.75" hidden="1" customHeight="1" x14ac:dyDescent="0.2">
      <c r="A1759" s="8">
        <v>772</v>
      </c>
      <c r="B1759" s="8" t="s">
        <v>45</v>
      </c>
      <c r="C1759" s="8" t="s">
        <v>8</v>
      </c>
      <c r="D1759" s="12">
        <v>45231</v>
      </c>
      <c r="E1759" s="8">
        <v>46790</v>
      </c>
      <c r="F1759" s="10">
        <f>IF(ISTEXT(Таблицаx_2[[#This Row],[Значение]]), 0, Таблицаx_2[[#This Row],[Значение]])</f>
        <v>46790</v>
      </c>
      <c r="G1759" s="12">
        <v>45261</v>
      </c>
      <c r="H1759" s="10" t="str">
        <f>IFERROR(VLOOKUP(Таблицаx_2[[#This Row],[id]],prolongations!A:C,2,)," ")</f>
        <v>декабрь 2023</v>
      </c>
      <c r="I1759" s="10">
        <f>IF(Таблицаx_2[[#This Row],[Месяц окончания]]=Таблицаx_2[[#This Row],[Месяц]],Таблицаx_2[[#This Row],[Значения числа]],0)</f>
        <v>0</v>
      </c>
      <c r="J1759" s="8">
        <f>IF(AND(Таблицаx_2[[#This Row],[Месяц окончания]]=Таблицаx_2[[#This Row],[Месяц]],Таблицаx_2[[#This Row],[id]]=A1760,EDATE(Таблицаx_2[[#This Row],[Месяц]],1)=D1760),F1760,0)</f>
        <v>0</v>
      </c>
      <c r="K1759" s="8">
        <f>IF(AND(Таблицаx_2[[#This Row],[Месяц окончания]]=Таблицаx_2[[#This Row],[Месяц]],Таблицаx_2[[#This Row],[id]]=A1760,EDATE(Таблицаx_2[[#This Row],[Месяц]],2)=D1760),F1760,0)</f>
        <v>0</v>
      </c>
    </row>
    <row r="1760" spans="1:11" ht="12.75" hidden="1" customHeight="1" x14ac:dyDescent="0.2">
      <c r="A1760" s="8">
        <v>772</v>
      </c>
      <c r="B1760" s="8" t="s">
        <v>45</v>
      </c>
      <c r="C1760" s="8" t="s">
        <v>8</v>
      </c>
      <c r="D1760" s="12">
        <v>45261</v>
      </c>
      <c r="E1760" s="8">
        <v>46790</v>
      </c>
      <c r="F1760" s="10">
        <f>IF(ISTEXT(Таблицаx_2[[#This Row],[Значение]]), 0, Таблицаx_2[[#This Row],[Значение]])</f>
        <v>46790</v>
      </c>
      <c r="G1760" s="12">
        <v>45261</v>
      </c>
      <c r="H1760" s="10" t="str">
        <f>IFERROR(VLOOKUP(Таблицаx_2[[#This Row],[id]],prolongations!A:C,2,)," ")</f>
        <v>декабрь 2023</v>
      </c>
      <c r="I1760" s="10">
        <f>IF(Таблицаx_2[[#This Row],[Месяц окончания]]=Таблицаx_2[[#This Row],[Месяц]],Таблицаx_2[[#This Row],[Значения числа]],0)</f>
        <v>46790</v>
      </c>
      <c r="J1760" s="8">
        <f>IF(AND(Таблицаx_2[[#This Row],[Месяц окончания]]=Таблицаx_2[[#This Row],[Месяц]],Таблицаx_2[[#This Row],[id]]=A1761,EDATE(Таблицаx_2[[#This Row],[Месяц]],1)=D1761),F1761,0)</f>
        <v>62500</v>
      </c>
      <c r="K1760" s="8">
        <f>IF(AND(Таблицаx_2[[#This Row],[Месяц окончания]]=Таблицаx_2[[#This Row],[Месяц]],Таблицаx_2[[#This Row],[id]]=A1761,EDATE(Таблицаx_2[[#This Row],[Месяц]],2)=D1761),F1761,0)</f>
        <v>0</v>
      </c>
    </row>
    <row r="1761" spans="1:11" ht="12.75" hidden="1" customHeight="1" x14ac:dyDescent="0.2">
      <c r="A1761" s="8">
        <v>772</v>
      </c>
      <c r="B1761" s="8" t="s">
        <v>45</v>
      </c>
      <c r="C1761" s="8" t="s">
        <v>8</v>
      </c>
      <c r="D1761" s="12">
        <v>45292</v>
      </c>
      <c r="E1761" s="8">
        <v>62500</v>
      </c>
      <c r="F1761" s="10">
        <f>IF(ISTEXT(Таблицаx_2[[#This Row],[Значение]]), 0, Таблицаx_2[[#This Row],[Значение]])</f>
        <v>62500</v>
      </c>
      <c r="G1761" s="12">
        <v>45261</v>
      </c>
      <c r="H1761" s="10" t="str">
        <f>IFERROR(VLOOKUP(Таблицаx_2[[#This Row],[id]],prolongations!A:C,2,)," ")</f>
        <v>декабрь 2023</v>
      </c>
      <c r="I1761" s="10">
        <f>IF(Таблицаx_2[[#This Row],[Месяц окончания]]=Таблицаx_2[[#This Row],[Месяц]],Таблицаx_2[[#This Row],[Значения числа]],0)</f>
        <v>0</v>
      </c>
      <c r="J1761" s="8">
        <f>IF(AND(Таблицаx_2[[#This Row],[Месяц окончания]]=Таблицаx_2[[#This Row],[Месяц]],Таблицаx_2[[#This Row],[id]]=A1762,EDATE(Таблицаx_2[[#This Row],[Месяц]],1)=D1762),F1762,0)</f>
        <v>0</v>
      </c>
      <c r="K1761" s="8">
        <f>IF(AND(Таблицаx_2[[#This Row],[Месяц окончания]]=Таблицаx_2[[#This Row],[Месяц]],Таблицаx_2[[#This Row],[id]]=A1762,EDATE(Таблицаx_2[[#This Row],[Месяц]],2)=D1762),F1762,0)</f>
        <v>0</v>
      </c>
    </row>
    <row r="1762" spans="1:11" ht="12.75" hidden="1" customHeight="1" x14ac:dyDescent="0.2">
      <c r="A1762" s="8">
        <v>772</v>
      </c>
      <c r="B1762" s="8" t="s">
        <v>45</v>
      </c>
      <c r="C1762" s="8" t="s">
        <v>8</v>
      </c>
      <c r="D1762" s="12">
        <v>45323</v>
      </c>
      <c r="E1762" s="8">
        <v>62500</v>
      </c>
      <c r="F1762" s="10">
        <f>IF(ISTEXT(Таблицаx_2[[#This Row],[Значение]]), 0, Таблицаx_2[[#This Row],[Значение]])</f>
        <v>62500</v>
      </c>
      <c r="G1762" s="12">
        <v>45261</v>
      </c>
      <c r="H1762" s="10" t="str">
        <f>IFERROR(VLOOKUP(Таблицаx_2[[#This Row],[id]],prolongations!A:C,2,)," ")</f>
        <v>декабрь 2023</v>
      </c>
      <c r="I1762" s="10">
        <f>IF(Таблицаx_2[[#This Row],[Месяц окончания]]=Таблицаx_2[[#This Row],[Месяц]],Таблицаx_2[[#This Row],[Значения числа]],0)</f>
        <v>0</v>
      </c>
      <c r="J1762" s="8">
        <f>IF(AND(Таблицаx_2[[#This Row],[Месяц окончания]]=Таблицаx_2[[#This Row],[Месяц]],Таблицаx_2[[#This Row],[id]]=A1763,EDATE(Таблицаx_2[[#This Row],[Месяц]],1)=D1763),F1763,0)</f>
        <v>0</v>
      </c>
      <c r="K1762" s="8">
        <f>IF(AND(Таблицаx_2[[#This Row],[Месяц окончания]]=Таблицаx_2[[#This Row],[Месяц]],Таблицаx_2[[#This Row],[id]]=A1763,EDATE(Таблицаx_2[[#This Row],[Месяц]],2)=D1763),F1763,0)</f>
        <v>0</v>
      </c>
    </row>
    <row r="1763" spans="1:11" ht="12.75" hidden="1" customHeight="1" x14ac:dyDescent="0.2">
      <c r="A1763" s="8">
        <v>772</v>
      </c>
      <c r="B1763" s="8" t="s">
        <v>47</v>
      </c>
      <c r="C1763" s="8" t="s">
        <v>8</v>
      </c>
      <c r="D1763" s="12">
        <v>44927</v>
      </c>
      <c r="E1763" s="8">
        <v>1055</v>
      </c>
      <c r="F1763" s="10">
        <f>IF(ISTEXT(Таблицаx_2[[#This Row],[Значение]]), 0, Таблицаx_2[[#This Row],[Значение]])</f>
        <v>1055</v>
      </c>
      <c r="G1763" s="12">
        <v>45261</v>
      </c>
      <c r="H1763" s="10" t="str">
        <f>IFERROR(VLOOKUP(Таблицаx_2[[#This Row],[id]],prolongations!A:C,2,)," ")</f>
        <v>декабрь 2023</v>
      </c>
      <c r="I1763" s="10">
        <f>IF(Таблицаx_2[[#This Row],[Месяц окончания]]=Таблицаx_2[[#This Row],[Месяц]],Таблицаx_2[[#This Row],[Значения числа]],0)</f>
        <v>0</v>
      </c>
      <c r="J1763" s="8">
        <f>IF(AND(Таблицаx_2[[#This Row],[Месяц окончания]]=Таблицаx_2[[#This Row],[Месяц]],Таблицаx_2[[#This Row],[id]]=A1764,EDATE(Таблицаx_2[[#This Row],[Месяц]],1)=D1764),F1764,0)</f>
        <v>0</v>
      </c>
      <c r="K1763" s="8">
        <f>IF(AND(Таблицаx_2[[#This Row],[Месяц окончания]]=Таблицаx_2[[#This Row],[Месяц]],Таблицаx_2[[#This Row],[id]]=A1764,EDATE(Таблицаx_2[[#This Row],[Месяц]],2)=D1764),F1764,0)</f>
        <v>0</v>
      </c>
    </row>
    <row r="1764" spans="1:11" ht="12.75" hidden="1" customHeight="1" x14ac:dyDescent="0.2">
      <c r="A1764" s="8">
        <v>772</v>
      </c>
      <c r="B1764" s="8" t="s">
        <v>47</v>
      </c>
      <c r="C1764" s="8" t="s">
        <v>8</v>
      </c>
      <c r="D1764" s="12">
        <v>44958</v>
      </c>
      <c r="E1764" s="8">
        <v>6620</v>
      </c>
      <c r="F1764" s="10">
        <f>IF(ISTEXT(Таблицаx_2[[#This Row],[Значение]]), 0, Таблицаx_2[[#This Row],[Значение]])</f>
        <v>6620</v>
      </c>
      <c r="G1764" s="12">
        <v>45261</v>
      </c>
      <c r="H1764" s="10" t="str">
        <f>IFERROR(VLOOKUP(Таблицаx_2[[#This Row],[id]],prolongations!A:C,2,)," ")</f>
        <v>декабрь 2023</v>
      </c>
      <c r="I1764" s="10">
        <f>IF(Таблицаx_2[[#This Row],[Месяц окончания]]=Таблицаx_2[[#This Row],[Месяц]],Таблицаx_2[[#This Row],[Значения числа]],0)</f>
        <v>0</v>
      </c>
      <c r="J1764" s="8">
        <f>IF(AND(Таблицаx_2[[#This Row],[Месяц окончания]]=Таблицаx_2[[#This Row],[Месяц]],Таблицаx_2[[#This Row],[id]]=A1765,EDATE(Таблицаx_2[[#This Row],[Месяц]],1)=D1765),F1765,0)</f>
        <v>0</v>
      </c>
      <c r="K1764" s="8">
        <f>IF(AND(Таблицаx_2[[#This Row],[Месяц окончания]]=Таблицаx_2[[#This Row],[Месяц]],Таблицаx_2[[#This Row],[id]]=A1765,EDATE(Таблицаx_2[[#This Row],[Месяц]],2)=D1765),F1765,0)</f>
        <v>0</v>
      </c>
    </row>
    <row r="1765" spans="1:11" ht="12.75" hidden="1" customHeight="1" x14ac:dyDescent="0.2">
      <c r="A1765" s="8">
        <v>772</v>
      </c>
      <c r="B1765" s="8" t="s">
        <v>47</v>
      </c>
      <c r="C1765" s="8" t="s">
        <v>8</v>
      </c>
      <c r="D1765" s="12">
        <v>44986</v>
      </c>
      <c r="E1765" s="8">
        <v>6860</v>
      </c>
      <c r="F1765" s="10">
        <f>IF(ISTEXT(Таблицаx_2[[#This Row],[Значение]]), 0, Таблицаx_2[[#This Row],[Значение]])</f>
        <v>6860</v>
      </c>
      <c r="G1765" s="12">
        <v>45261</v>
      </c>
      <c r="H1765" s="10" t="str">
        <f>IFERROR(VLOOKUP(Таблицаx_2[[#This Row],[id]],prolongations!A:C,2,)," ")</f>
        <v>декабрь 2023</v>
      </c>
      <c r="I1765" s="10">
        <f>IF(Таблицаx_2[[#This Row],[Месяц окончания]]=Таблицаx_2[[#This Row],[Месяц]],Таблицаx_2[[#This Row],[Значения числа]],0)</f>
        <v>0</v>
      </c>
      <c r="J1765" s="8">
        <f>IF(AND(Таблицаx_2[[#This Row],[Месяц окончания]]=Таблицаx_2[[#This Row],[Месяц]],Таблицаx_2[[#This Row],[id]]=A1766,EDATE(Таблицаx_2[[#This Row],[Месяц]],1)=D1766),F1766,0)</f>
        <v>0</v>
      </c>
      <c r="K1765" s="8">
        <f>IF(AND(Таблицаx_2[[#This Row],[Месяц окончания]]=Таблицаx_2[[#This Row],[Месяц]],Таблицаx_2[[#This Row],[id]]=A1766,EDATE(Таблицаx_2[[#This Row],[Месяц]],2)=D1766),F1766,0)</f>
        <v>0</v>
      </c>
    </row>
    <row r="1766" spans="1:11" ht="12.75" hidden="1" customHeight="1" x14ac:dyDescent="0.2">
      <c r="A1766" s="8">
        <v>772</v>
      </c>
      <c r="B1766" s="8" t="s">
        <v>47</v>
      </c>
      <c r="C1766" s="8" t="s">
        <v>8</v>
      </c>
      <c r="D1766" s="12">
        <v>45017</v>
      </c>
      <c r="E1766" s="8">
        <v>2400</v>
      </c>
      <c r="F1766" s="10">
        <f>IF(ISTEXT(Таблицаx_2[[#This Row],[Значение]]), 0, Таблицаx_2[[#This Row],[Значение]])</f>
        <v>2400</v>
      </c>
      <c r="G1766" s="12">
        <v>45261</v>
      </c>
      <c r="H1766" s="10" t="str">
        <f>IFERROR(VLOOKUP(Таблицаx_2[[#This Row],[id]],prolongations!A:C,2,)," ")</f>
        <v>декабрь 2023</v>
      </c>
      <c r="I1766" s="10">
        <f>IF(Таблицаx_2[[#This Row],[Месяц окончания]]=Таблицаx_2[[#This Row],[Месяц]],Таблицаx_2[[#This Row],[Значения числа]],0)</f>
        <v>0</v>
      </c>
      <c r="J1766" s="8">
        <f>IF(AND(Таблицаx_2[[#This Row],[Месяц окончания]]=Таблицаx_2[[#This Row],[Месяц]],Таблицаx_2[[#This Row],[id]]=A1767,EDATE(Таблицаx_2[[#This Row],[Месяц]],1)=D1767),F1767,0)</f>
        <v>0</v>
      </c>
      <c r="K1766" s="8">
        <f>IF(AND(Таблицаx_2[[#This Row],[Месяц окончания]]=Таблицаx_2[[#This Row],[Месяц]],Таблицаx_2[[#This Row],[id]]=A1767,EDATE(Таблицаx_2[[#This Row],[Месяц]],2)=D1767),F1767,0)</f>
        <v>0</v>
      </c>
    </row>
    <row r="1767" spans="1:11" ht="12.75" hidden="1" customHeight="1" x14ac:dyDescent="0.2">
      <c r="A1767" s="8">
        <v>772</v>
      </c>
      <c r="B1767" s="8" t="s">
        <v>47</v>
      </c>
      <c r="C1767" s="8" t="s">
        <v>8</v>
      </c>
      <c r="D1767" s="12">
        <v>45047</v>
      </c>
      <c r="E1767" s="8">
        <v>17745</v>
      </c>
      <c r="F1767" s="10">
        <f>IF(ISTEXT(Таблицаx_2[[#This Row],[Значение]]), 0, Таблицаx_2[[#This Row],[Значение]])</f>
        <v>17745</v>
      </c>
      <c r="G1767" s="12">
        <v>45261</v>
      </c>
      <c r="H1767" s="10" t="str">
        <f>IFERROR(VLOOKUP(Таблицаx_2[[#This Row],[id]],prolongations!A:C,2,)," ")</f>
        <v>декабрь 2023</v>
      </c>
      <c r="I1767" s="10">
        <f>IF(Таблицаx_2[[#This Row],[Месяц окончания]]=Таблицаx_2[[#This Row],[Месяц]],Таблицаx_2[[#This Row],[Значения числа]],0)</f>
        <v>0</v>
      </c>
      <c r="J1767" s="8">
        <f>IF(AND(Таблицаx_2[[#This Row],[Месяц окончания]]=Таблицаx_2[[#This Row],[Месяц]],Таблицаx_2[[#This Row],[id]]=A1768,EDATE(Таблицаx_2[[#This Row],[Месяц]],1)=D1768),F1768,0)</f>
        <v>0</v>
      </c>
      <c r="K1767" s="8">
        <f>IF(AND(Таблицаx_2[[#This Row],[Месяц окончания]]=Таблицаx_2[[#This Row],[Месяц]],Таблицаx_2[[#This Row],[id]]=A1768,EDATE(Таблицаx_2[[#This Row],[Месяц]],2)=D1768),F1768,0)</f>
        <v>0</v>
      </c>
    </row>
    <row r="1768" spans="1:11" ht="12.75" hidden="1" customHeight="1" x14ac:dyDescent="0.2">
      <c r="A1768" s="8">
        <v>772</v>
      </c>
      <c r="B1768" s="8" t="s">
        <v>47</v>
      </c>
      <c r="C1768" s="8" t="s">
        <v>8</v>
      </c>
      <c r="D1768" s="12">
        <v>45078</v>
      </c>
      <c r="E1768" s="8">
        <v>14770</v>
      </c>
      <c r="F1768" s="10">
        <f>IF(ISTEXT(Таблицаx_2[[#This Row],[Значение]]), 0, Таблицаx_2[[#This Row],[Значение]])</f>
        <v>14770</v>
      </c>
      <c r="G1768" s="12">
        <v>45261</v>
      </c>
      <c r="H1768" s="10" t="str">
        <f>IFERROR(VLOOKUP(Таблицаx_2[[#This Row],[id]],prolongations!A:C,2,)," ")</f>
        <v>декабрь 2023</v>
      </c>
      <c r="I1768" s="10">
        <f>IF(Таблицаx_2[[#This Row],[Месяц окончания]]=Таблицаx_2[[#This Row],[Месяц]],Таблицаx_2[[#This Row],[Значения числа]],0)</f>
        <v>0</v>
      </c>
      <c r="J1768" s="8">
        <f>IF(AND(Таблицаx_2[[#This Row],[Месяц окончания]]=Таблицаx_2[[#This Row],[Месяц]],Таблицаx_2[[#This Row],[id]]=A1769,EDATE(Таблицаx_2[[#This Row],[Месяц]],1)=D1769),F1769,0)</f>
        <v>0</v>
      </c>
      <c r="K1768" s="8">
        <f>IF(AND(Таблицаx_2[[#This Row],[Месяц окончания]]=Таблицаx_2[[#This Row],[Месяц]],Таблицаx_2[[#This Row],[id]]=A1769,EDATE(Таблицаx_2[[#This Row],[Месяц]],2)=D1769),F1769,0)</f>
        <v>0</v>
      </c>
    </row>
    <row r="1769" spans="1:11" ht="12.75" hidden="1" customHeight="1" x14ac:dyDescent="0.2">
      <c r="A1769" s="8">
        <v>772</v>
      </c>
      <c r="B1769" s="8" t="s">
        <v>47</v>
      </c>
      <c r="C1769" s="8" t="s">
        <v>8</v>
      </c>
      <c r="D1769" s="12">
        <v>45108</v>
      </c>
      <c r="E1769" s="8">
        <v>15825</v>
      </c>
      <c r="F1769" s="10">
        <f>IF(ISTEXT(Таблицаx_2[[#This Row],[Значение]]), 0, Таблицаx_2[[#This Row],[Значение]])</f>
        <v>15825</v>
      </c>
      <c r="G1769" s="12">
        <v>45261</v>
      </c>
      <c r="H1769" s="10" t="str">
        <f>IFERROR(VLOOKUP(Таблицаx_2[[#This Row],[id]],prolongations!A:C,2,)," ")</f>
        <v>декабрь 2023</v>
      </c>
      <c r="I1769" s="10">
        <f>IF(Таблицаx_2[[#This Row],[Месяц окончания]]=Таблицаx_2[[#This Row],[Месяц]],Таблицаx_2[[#This Row],[Значения числа]],0)</f>
        <v>0</v>
      </c>
      <c r="J1769" s="8">
        <f>IF(AND(Таблицаx_2[[#This Row],[Месяц окончания]]=Таблицаx_2[[#This Row],[Месяц]],Таблицаx_2[[#This Row],[id]]=A1770,EDATE(Таблицаx_2[[#This Row],[Месяц]],1)=D1770),F1770,0)</f>
        <v>0</v>
      </c>
      <c r="K1769" s="8">
        <f>IF(AND(Таблицаx_2[[#This Row],[Месяц окончания]]=Таблицаx_2[[#This Row],[Месяц]],Таблицаx_2[[#This Row],[id]]=A1770,EDATE(Таблицаx_2[[#This Row],[Месяц]],2)=D1770),F1770,0)</f>
        <v>0</v>
      </c>
    </row>
    <row r="1770" spans="1:11" ht="12.75" hidden="1" customHeight="1" x14ac:dyDescent="0.2">
      <c r="A1770" s="8">
        <v>772</v>
      </c>
      <c r="B1770" s="8" t="s">
        <v>47</v>
      </c>
      <c r="C1770" s="8" t="s">
        <v>8</v>
      </c>
      <c r="D1770" s="12">
        <v>45139</v>
      </c>
      <c r="E1770" s="8">
        <v>15060</v>
      </c>
      <c r="F1770" s="10">
        <f>IF(ISTEXT(Таблицаx_2[[#This Row],[Значение]]), 0, Таблицаx_2[[#This Row],[Значение]])</f>
        <v>15060</v>
      </c>
      <c r="G1770" s="12">
        <v>45261</v>
      </c>
      <c r="H1770" s="10" t="str">
        <f>IFERROR(VLOOKUP(Таблицаx_2[[#This Row],[id]],prolongations!A:C,2,)," ")</f>
        <v>декабрь 2023</v>
      </c>
      <c r="I1770" s="10">
        <f>IF(Таблицаx_2[[#This Row],[Месяц окончания]]=Таблицаx_2[[#This Row],[Месяц]],Таблицаx_2[[#This Row],[Значения числа]],0)</f>
        <v>0</v>
      </c>
      <c r="J1770" s="8">
        <f>IF(AND(Таблицаx_2[[#This Row],[Месяц окончания]]=Таблицаx_2[[#This Row],[Месяц]],Таблицаx_2[[#This Row],[id]]=A1771,EDATE(Таблицаx_2[[#This Row],[Месяц]],1)=D1771),F1771,0)</f>
        <v>0</v>
      </c>
      <c r="K1770" s="8">
        <f>IF(AND(Таблицаx_2[[#This Row],[Месяц окончания]]=Таблицаx_2[[#This Row],[Месяц]],Таблицаx_2[[#This Row],[id]]=A1771,EDATE(Таблицаx_2[[#This Row],[Месяц]],2)=D1771),F1771,0)</f>
        <v>0</v>
      </c>
    </row>
    <row r="1771" spans="1:11" ht="12.75" hidden="1" customHeight="1" x14ac:dyDescent="0.2">
      <c r="A1771" s="8">
        <v>772</v>
      </c>
      <c r="B1771" s="8" t="s">
        <v>47</v>
      </c>
      <c r="C1771" s="8" t="s">
        <v>8</v>
      </c>
      <c r="D1771" s="12">
        <v>45170</v>
      </c>
      <c r="E1771" s="8" t="s">
        <v>48</v>
      </c>
      <c r="F1771" s="10">
        <f>IF(ISTEXT(Таблицаx_2[[#This Row],[Значение]]), 0, Таблицаx_2[[#This Row],[Значение]])</f>
        <v>0</v>
      </c>
      <c r="G1771" s="12">
        <v>45261</v>
      </c>
      <c r="H1771" s="10" t="str">
        <f>IFERROR(VLOOKUP(Таблицаx_2[[#This Row],[id]],prolongations!A:C,2,)," ")</f>
        <v>декабрь 2023</v>
      </c>
      <c r="I1771" s="10">
        <f>IF(Таблицаx_2[[#This Row],[Месяц окончания]]=Таблицаx_2[[#This Row],[Месяц]],Таблицаx_2[[#This Row],[Значения числа]],0)</f>
        <v>0</v>
      </c>
      <c r="J1771" s="8">
        <f>IF(AND(Таблицаx_2[[#This Row],[Месяц окончания]]=Таблицаx_2[[#This Row],[Месяц]],Таблицаx_2[[#This Row],[id]]=A1772,EDATE(Таблицаx_2[[#This Row],[Месяц]],1)=D1772),F1772,0)</f>
        <v>0</v>
      </c>
      <c r="K1771" s="8">
        <f>IF(AND(Таблицаx_2[[#This Row],[Месяц окончания]]=Таблицаx_2[[#This Row],[Месяц]],Таблицаx_2[[#This Row],[id]]=A1772,EDATE(Таблицаx_2[[#This Row],[Месяц]],2)=D1772),F1772,0)</f>
        <v>0</v>
      </c>
    </row>
    <row r="1772" spans="1:11" ht="12.75" hidden="1" customHeight="1" x14ac:dyDescent="0.2">
      <c r="A1772" s="8">
        <v>772</v>
      </c>
      <c r="B1772" s="8" t="s">
        <v>47</v>
      </c>
      <c r="C1772" s="8" t="s">
        <v>8</v>
      </c>
      <c r="D1772" s="12">
        <v>45200</v>
      </c>
      <c r="E1772" s="8">
        <v>18990</v>
      </c>
      <c r="F1772" s="10">
        <f>IF(ISTEXT(Таблицаx_2[[#This Row],[Значение]]), 0, Таблицаx_2[[#This Row],[Значение]])</f>
        <v>18990</v>
      </c>
      <c r="G1772" s="12">
        <v>45261</v>
      </c>
      <c r="H1772" s="10" t="str">
        <f>IFERROR(VLOOKUP(Таблицаx_2[[#This Row],[id]],prolongations!A:C,2,)," ")</f>
        <v>декабрь 2023</v>
      </c>
      <c r="I1772" s="10">
        <f>IF(Таблицаx_2[[#This Row],[Месяц окончания]]=Таблицаx_2[[#This Row],[Месяц]],Таблицаx_2[[#This Row],[Значения числа]],0)</f>
        <v>0</v>
      </c>
      <c r="J1772" s="8">
        <f>IF(AND(Таблицаx_2[[#This Row],[Месяц окончания]]=Таблицаx_2[[#This Row],[Месяц]],Таблицаx_2[[#This Row],[id]]=A1773,EDATE(Таблицаx_2[[#This Row],[Месяц]],1)=D1773),F1773,0)</f>
        <v>0</v>
      </c>
      <c r="K1772" s="8">
        <f>IF(AND(Таблицаx_2[[#This Row],[Месяц окончания]]=Таблицаx_2[[#This Row],[Месяц]],Таблицаx_2[[#This Row],[id]]=A1773,EDATE(Таблицаx_2[[#This Row],[Месяц]],2)=D1773),F1773,0)</f>
        <v>0</v>
      </c>
    </row>
    <row r="1773" spans="1:11" ht="12.75" hidden="1" customHeight="1" x14ac:dyDescent="0.2">
      <c r="A1773" s="8">
        <v>772</v>
      </c>
      <c r="B1773" s="8" t="s">
        <v>47</v>
      </c>
      <c r="C1773" s="8" t="s">
        <v>8</v>
      </c>
      <c r="D1773" s="12">
        <v>45231</v>
      </c>
      <c r="E1773" s="8">
        <v>13460</v>
      </c>
      <c r="F1773" s="10">
        <f>IF(ISTEXT(Таблицаx_2[[#This Row],[Значение]]), 0, Таблицаx_2[[#This Row],[Значение]])</f>
        <v>13460</v>
      </c>
      <c r="G1773" s="12">
        <v>45261</v>
      </c>
      <c r="H1773" s="10" t="str">
        <f>IFERROR(VLOOKUP(Таблицаx_2[[#This Row],[id]],prolongations!A:C,2,)," ")</f>
        <v>декабрь 2023</v>
      </c>
      <c r="I1773" s="10">
        <f>IF(Таблицаx_2[[#This Row],[Месяц окончания]]=Таблицаx_2[[#This Row],[Месяц]],Таблицаx_2[[#This Row],[Значения числа]],0)</f>
        <v>0</v>
      </c>
      <c r="J1773" s="8">
        <f>IF(AND(Таблицаx_2[[#This Row],[Месяц окончания]]=Таблицаx_2[[#This Row],[Месяц]],Таблицаx_2[[#This Row],[id]]=A1774,EDATE(Таблицаx_2[[#This Row],[Месяц]],1)=D1774),F1774,0)</f>
        <v>0</v>
      </c>
      <c r="K1773" s="8">
        <f>IF(AND(Таблицаx_2[[#This Row],[Месяц окончания]]=Таблицаx_2[[#This Row],[Месяц]],Таблицаx_2[[#This Row],[id]]=A1774,EDATE(Таблицаx_2[[#This Row],[Месяц]],2)=D1774),F1774,0)</f>
        <v>0</v>
      </c>
    </row>
    <row r="1774" spans="1:11" ht="12.75" hidden="1" customHeight="1" x14ac:dyDescent="0.2">
      <c r="A1774" s="8">
        <v>772</v>
      </c>
      <c r="B1774" s="8" t="s">
        <v>47</v>
      </c>
      <c r="C1774" s="8" t="s">
        <v>8</v>
      </c>
      <c r="D1774" s="12">
        <v>45261</v>
      </c>
      <c r="E1774" s="8">
        <v>15570</v>
      </c>
      <c r="F1774" s="10">
        <f>IF(ISTEXT(Таблицаx_2[[#This Row],[Значение]]), 0, Таблицаx_2[[#This Row],[Значение]])</f>
        <v>15570</v>
      </c>
      <c r="G1774" s="12">
        <v>45261</v>
      </c>
      <c r="H1774" s="10" t="str">
        <f>IFERROR(VLOOKUP(Таблицаx_2[[#This Row],[id]],prolongations!A:C,2,)," ")</f>
        <v>декабрь 2023</v>
      </c>
      <c r="I1774" s="10">
        <f>IF(Таблицаx_2[[#This Row],[Месяц окончания]]=Таблицаx_2[[#This Row],[Месяц]],Таблицаx_2[[#This Row],[Значения числа]],0)</f>
        <v>15570</v>
      </c>
      <c r="J1774" s="8">
        <f>IF(AND(Таблицаx_2[[#This Row],[Месяц окончания]]=Таблицаx_2[[#This Row],[Месяц]],Таблицаx_2[[#This Row],[id]]=A1775,EDATE(Таблицаx_2[[#This Row],[Месяц]],1)=D1775),F1775,0)</f>
        <v>13300</v>
      </c>
      <c r="K1774" s="8">
        <f>IF(AND(Таблицаx_2[[#This Row],[Месяц окончания]]=Таблицаx_2[[#This Row],[Месяц]],Таблицаx_2[[#This Row],[id]]=A1775,EDATE(Таблицаx_2[[#This Row],[Месяц]],2)=D1775),F1775,0)</f>
        <v>0</v>
      </c>
    </row>
    <row r="1775" spans="1:11" ht="12.75" hidden="1" customHeight="1" x14ac:dyDescent="0.2">
      <c r="A1775" s="8">
        <v>772</v>
      </c>
      <c r="B1775" s="8" t="s">
        <v>47</v>
      </c>
      <c r="C1775" s="8" t="s">
        <v>8</v>
      </c>
      <c r="D1775" s="12">
        <v>45292</v>
      </c>
      <c r="E1775" s="8">
        <v>13300</v>
      </c>
      <c r="F1775" s="10">
        <f>IF(ISTEXT(Таблицаx_2[[#This Row],[Значение]]), 0, Таблицаx_2[[#This Row],[Значение]])</f>
        <v>13300</v>
      </c>
      <c r="G1775" s="12">
        <v>45261</v>
      </c>
      <c r="H1775" s="10" t="str">
        <f>IFERROR(VLOOKUP(Таблицаx_2[[#This Row],[id]],prolongations!A:C,2,)," ")</f>
        <v>декабрь 2023</v>
      </c>
      <c r="I1775" s="10">
        <f>IF(Таблицаx_2[[#This Row],[Месяц окончания]]=Таблицаx_2[[#This Row],[Месяц]],Таблицаx_2[[#This Row],[Значения числа]],0)</f>
        <v>0</v>
      </c>
      <c r="J1775" s="8">
        <f>IF(AND(Таблицаx_2[[#This Row],[Месяц окончания]]=Таблицаx_2[[#This Row],[Месяц]],Таблицаx_2[[#This Row],[id]]=A1776,EDATE(Таблицаx_2[[#This Row],[Месяц]],1)=D1776),F1776,0)</f>
        <v>0</v>
      </c>
      <c r="K1775" s="8">
        <f>IF(AND(Таблицаx_2[[#This Row],[Месяц окончания]]=Таблицаx_2[[#This Row],[Месяц]],Таблицаx_2[[#This Row],[id]]=A1776,EDATE(Таблицаx_2[[#This Row],[Месяц]],2)=D1776),F1776,0)</f>
        <v>0</v>
      </c>
    </row>
    <row r="1776" spans="1:11" ht="12.75" hidden="1" customHeight="1" x14ac:dyDescent="0.2">
      <c r="A1776" s="8">
        <v>772</v>
      </c>
      <c r="B1776" s="8" t="s">
        <v>47</v>
      </c>
      <c r="C1776" s="8" t="s">
        <v>8</v>
      </c>
      <c r="D1776" s="12">
        <v>45323</v>
      </c>
      <c r="E1776" s="8">
        <v>13300</v>
      </c>
      <c r="F1776" s="10">
        <f>IF(ISTEXT(Таблицаx_2[[#This Row],[Значение]]), 0, Таблицаx_2[[#This Row],[Значение]])</f>
        <v>13300</v>
      </c>
      <c r="G1776" s="12">
        <v>45261</v>
      </c>
      <c r="H1776" s="10" t="str">
        <f>IFERROR(VLOOKUP(Таблицаx_2[[#This Row],[id]],prolongations!A:C,2,)," ")</f>
        <v>декабрь 2023</v>
      </c>
      <c r="I1776" s="10">
        <f>IF(Таблицаx_2[[#This Row],[Месяц окончания]]=Таблицаx_2[[#This Row],[Месяц]],Таблицаx_2[[#This Row],[Значения числа]],0)</f>
        <v>0</v>
      </c>
      <c r="J1776" s="8">
        <f>IF(AND(Таблицаx_2[[#This Row],[Месяц окончания]]=Таблицаx_2[[#This Row],[Месяц]],Таблицаx_2[[#This Row],[id]]=A1777,EDATE(Таблицаx_2[[#This Row],[Месяц]],1)=D1777),F1777,0)</f>
        <v>0</v>
      </c>
      <c r="K1776" s="8">
        <f>IF(AND(Таблицаx_2[[#This Row],[Месяц окончания]]=Таблицаx_2[[#This Row],[Месяц]],Таблицаx_2[[#This Row],[id]]=A1777,EDATE(Таблицаx_2[[#This Row],[Месяц]],2)=D1777),F1777,0)</f>
        <v>0</v>
      </c>
    </row>
    <row r="1777" spans="1:11" ht="12.75" hidden="1" customHeight="1" x14ac:dyDescent="0.2">
      <c r="A1777" s="8">
        <v>45</v>
      </c>
      <c r="B1777" s="8" t="s">
        <v>45</v>
      </c>
      <c r="C1777" s="8" t="s">
        <v>8</v>
      </c>
      <c r="D1777" s="12">
        <v>44927</v>
      </c>
      <c r="E1777" s="8">
        <v>22200</v>
      </c>
      <c r="F1777" s="10">
        <f>IF(ISTEXT(Таблицаx_2[[#This Row],[Значение]]), 0, Таблицаx_2[[#This Row],[Значение]])</f>
        <v>22200</v>
      </c>
      <c r="G1777" s="12">
        <v>44896</v>
      </c>
      <c r="H1777" s="10" t="str">
        <f>IFERROR(VLOOKUP(Таблицаx_2[[#This Row],[id]],prolongations!A:C,2,)," ")</f>
        <v>декабрь 2022</v>
      </c>
      <c r="I1777" s="10">
        <f>IF(Таблицаx_2[[#This Row],[Месяц окончания]]=Таблицаx_2[[#This Row],[Месяц]],Таблицаx_2[[#This Row],[Значения числа]],0)</f>
        <v>0</v>
      </c>
      <c r="J1777" s="8">
        <f>IF(AND(Таблицаx_2[[#This Row],[Месяц окончания]]=Таблицаx_2[[#This Row],[Месяц]],Таблицаx_2[[#This Row],[id]]=A1778,EDATE(Таблицаx_2[[#This Row],[Месяц]],1)=D1778),F1778,0)</f>
        <v>0</v>
      </c>
      <c r="K1777" s="8">
        <f>IF(AND(Таблицаx_2[[#This Row],[Месяц окончания]]=Таблицаx_2[[#This Row],[Месяц]],Таблицаx_2[[#This Row],[id]]=A1778,EDATE(Таблицаx_2[[#This Row],[Месяц]],2)=D1778),F1778,0)</f>
        <v>0</v>
      </c>
    </row>
    <row r="1778" spans="1:11" ht="12.75" hidden="1" customHeight="1" x14ac:dyDescent="0.2">
      <c r="A1778" s="8">
        <v>45</v>
      </c>
      <c r="B1778" s="8" t="s">
        <v>45</v>
      </c>
      <c r="C1778" s="8" t="s">
        <v>8</v>
      </c>
      <c r="D1778" s="12">
        <v>44958</v>
      </c>
      <c r="E1778" s="8">
        <v>22200</v>
      </c>
      <c r="F1778" s="10">
        <f>IF(ISTEXT(Таблицаx_2[[#This Row],[Значение]]), 0, Таблицаx_2[[#This Row],[Значение]])</f>
        <v>22200</v>
      </c>
      <c r="G1778" s="12">
        <v>44896</v>
      </c>
      <c r="H1778" s="10" t="str">
        <f>IFERROR(VLOOKUP(Таблицаx_2[[#This Row],[id]],prolongations!A:C,2,)," ")</f>
        <v>декабрь 2022</v>
      </c>
      <c r="I1778" s="10">
        <f>IF(Таблицаx_2[[#This Row],[Месяц окончания]]=Таблицаx_2[[#This Row],[Месяц]],Таблицаx_2[[#This Row],[Значения числа]],0)</f>
        <v>0</v>
      </c>
      <c r="J1778" s="8">
        <f>IF(AND(Таблицаx_2[[#This Row],[Месяц окончания]]=Таблицаx_2[[#This Row],[Месяц]],Таблицаx_2[[#This Row],[id]]=A1779,EDATE(Таблицаx_2[[#This Row],[Месяц]],1)=D1779),F1779,0)</f>
        <v>0</v>
      </c>
      <c r="K1778" s="8">
        <f>IF(AND(Таблицаx_2[[#This Row],[Месяц окончания]]=Таблицаx_2[[#This Row],[Месяц]],Таблицаx_2[[#This Row],[id]]=A1779,EDATE(Таблицаx_2[[#This Row],[Месяц]],2)=D1779),F1779,0)</f>
        <v>0</v>
      </c>
    </row>
    <row r="1779" spans="1:11" ht="12.75" hidden="1" customHeight="1" x14ac:dyDescent="0.2">
      <c r="A1779" s="8">
        <v>45</v>
      </c>
      <c r="B1779" s="8" t="s">
        <v>45</v>
      </c>
      <c r="C1779" s="8" t="s">
        <v>8</v>
      </c>
      <c r="D1779" s="12">
        <v>44986</v>
      </c>
      <c r="E1779" s="8">
        <v>22200</v>
      </c>
      <c r="F1779" s="10">
        <f>IF(ISTEXT(Таблицаx_2[[#This Row],[Значение]]), 0, Таблицаx_2[[#This Row],[Значение]])</f>
        <v>22200</v>
      </c>
      <c r="G1779" s="12">
        <v>44896</v>
      </c>
      <c r="H1779" s="10" t="str">
        <f>IFERROR(VLOOKUP(Таблицаx_2[[#This Row],[id]],prolongations!A:C,2,)," ")</f>
        <v>декабрь 2022</v>
      </c>
      <c r="I1779" s="10">
        <f>IF(Таблицаx_2[[#This Row],[Месяц окончания]]=Таблицаx_2[[#This Row],[Месяц]],Таблицаx_2[[#This Row],[Значения числа]],0)</f>
        <v>0</v>
      </c>
      <c r="J1779" s="8">
        <f>IF(AND(Таблицаx_2[[#This Row],[Месяц окончания]]=Таблицаx_2[[#This Row],[Месяц]],Таблицаx_2[[#This Row],[id]]=A1780,EDATE(Таблицаx_2[[#This Row],[Месяц]],1)=D1780),F1780,0)</f>
        <v>0</v>
      </c>
      <c r="K1779" s="8">
        <f>IF(AND(Таблицаx_2[[#This Row],[Месяц окончания]]=Таблицаx_2[[#This Row],[Месяц]],Таблицаx_2[[#This Row],[id]]=A1780,EDATE(Таблицаx_2[[#This Row],[Месяц]],2)=D1780),F1780,0)</f>
        <v>0</v>
      </c>
    </row>
    <row r="1780" spans="1:11" ht="12.75" hidden="1" customHeight="1" x14ac:dyDescent="0.2">
      <c r="A1780" s="8">
        <v>45</v>
      </c>
      <c r="B1780" s="8" t="s">
        <v>45</v>
      </c>
      <c r="C1780" s="8" t="s">
        <v>8</v>
      </c>
      <c r="D1780" s="12">
        <v>45017</v>
      </c>
      <c r="E1780" s="8">
        <v>22200</v>
      </c>
      <c r="F1780" s="10">
        <f>IF(ISTEXT(Таблицаx_2[[#This Row],[Значение]]), 0, Таблицаx_2[[#This Row],[Значение]])</f>
        <v>22200</v>
      </c>
      <c r="G1780" s="12">
        <v>44896</v>
      </c>
      <c r="H1780" s="10" t="str">
        <f>IFERROR(VLOOKUP(Таблицаx_2[[#This Row],[id]],prolongations!A:C,2,)," ")</f>
        <v>декабрь 2022</v>
      </c>
      <c r="I1780" s="10">
        <f>IF(Таблицаx_2[[#This Row],[Месяц окончания]]=Таблицаx_2[[#This Row],[Месяц]],Таблицаx_2[[#This Row],[Значения числа]],0)</f>
        <v>0</v>
      </c>
      <c r="J1780" s="8">
        <f>IF(AND(Таблицаx_2[[#This Row],[Месяц окончания]]=Таблицаx_2[[#This Row],[Месяц]],Таблицаx_2[[#This Row],[id]]=A1781,EDATE(Таблицаx_2[[#This Row],[Месяц]],1)=D1781),F1781,0)</f>
        <v>0</v>
      </c>
      <c r="K1780" s="8">
        <f>IF(AND(Таблицаx_2[[#This Row],[Месяц окончания]]=Таблицаx_2[[#This Row],[Месяц]],Таблицаx_2[[#This Row],[id]]=A1781,EDATE(Таблицаx_2[[#This Row],[Месяц]],2)=D1781),F1781,0)</f>
        <v>0</v>
      </c>
    </row>
    <row r="1781" spans="1:11" ht="12.75" hidden="1" customHeight="1" x14ac:dyDescent="0.2">
      <c r="A1781" s="8">
        <v>45</v>
      </c>
      <c r="B1781" s="8" t="s">
        <v>45</v>
      </c>
      <c r="C1781" s="8" t="s">
        <v>8</v>
      </c>
      <c r="D1781" s="12">
        <v>45047</v>
      </c>
      <c r="E1781" s="8">
        <v>22200</v>
      </c>
      <c r="F1781" s="10">
        <f>IF(ISTEXT(Таблицаx_2[[#This Row],[Значение]]), 0, Таблицаx_2[[#This Row],[Значение]])</f>
        <v>22200</v>
      </c>
      <c r="G1781" s="12">
        <v>44896</v>
      </c>
      <c r="H1781" s="10" t="str">
        <f>IFERROR(VLOOKUP(Таблицаx_2[[#This Row],[id]],prolongations!A:C,2,)," ")</f>
        <v>декабрь 2022</v>
      </c>
      <c r="I1781" s="10">
        <f>IF(Таблицаx_2[[#This Row],[Месяц окончания]]=Таблицаx_2[[#This Row],[Месяц]],Таблицаx_2[[#This Row],[Значения числа]],0)</f>
        <v>0</v>
      </c>
      <c r="J1781" s="8">
        <f>IF(AND(Таблицаx_2[[#This Row],[Месяц окончания]]=Таблицаx_2[[#This Row],[Месяц]],Таблицаx_2[[#This Row],[id]]=A1782,EDATE(Таблицаx_2[[#This Row],[Месяц]],1)=D1782),F1782,0)</f>
        <v>0</v>
      </c>
      <c r="K1781" s="8">
        <f>IF(AND(Таблицаx_2[[#This Row],[Месяц окончания]]=Таблицаx_2[[#This Row],[Месяц]],Таблицаx_2[[#This Row],[id]]=A1782,EDATE(Таблицаx_2[[#This Row],[Месяц]],2)=D1782),F1782,0)</f>
        <v>0</v>
      </c>
    </row>
    <row r="1782" spans="1:11" ht="12.75" hidden="1" customHeight="1" x14ac:dyDescent="0.2">
      <c r="A1782" s="8">
        <v>45</v>
      </c>
      <c r="B1782" s="8" t="s">
        <v>45</v>
      </c>
      <c r="C1782" s="8" t="s">
        <v>8</v>
      </c>
      <c r="D1782" s="12">
        <v>45078</v>
      </c>
      <c r="E1782" s="8">
        <v>22200</v>
      </c>
      <c r="F1782" s="10">
        <f>IF(ISTEXT(Таблицаx_2[[#This Row],[Значение]]), 0, Таблицаx_2[[#This Row],[Значение]])</f>
        <v>22200</v>
      </c>
      <c r="G1782" s="12">
        <v>44896</v>
      </c>
      <c r="H1782" s="10" t="str">
        <f>IFERROR(VLOOKUP(Таблицаx_2[[#This Row],[id]],prolongations!A:C,2,)," ")</f>
        <v>декабрь 2022</v>
      </c>
      <c r="I1782" s="10">
        <f>IF(Таблицаx_2[[#This Row],[Месяц окончания]]=Таблицаx_2[[#This Row],[Месяц]],Таблицаx_2[[#This Row],[Значения числа]],0)</f>
        <v>0</v>
      </c>
      <c r="J1782" s="8">
        <f>IF(AND(Таблицаx_2[[#This Row],[Месяц окончания]]=Таблицаx_2[[#This Row],[Месяц]],Таблицаx_2[[#This Row],[id]]=A1783,EDATE(Таблицаx_2[[#This Row],[Месяц]],1)=D1783),F1783,0)</f>
        <v>0</v>
      </c>
      <c r="K1782" s="8">
        <f>IF(AND(Таблицаx_2[[#This Row],[Месяц окончания]]=Таблицаx_2[[#This Row],[Месяц]],Таблицаx_2[[#This Row],[id]]=A1783,EDATE(Таблицаx_2[[#This Row],[Месяц]],2)=D1783),F1783,0)</f>
        <v>0</v>
      </c>
    </row>
    <row r="1783" spans="1:11" ht="12.75" hidden="1" customHeight="1" x14ac:dyDescent="0.2">
      <c r="A1783" s="8">
        <v>45</v>
      </c>
      <c r="B1783" s="8" t="s">
        <v>45</v>
      </c>
      <c r="C1783" s="8" t="s">
        <v>8</v>
      </c>
      <c r="D1783" s="12">
        <v>45108</v>
      </c>
      <c r="E1783" s="8">
        <v>22200</v>
      </c>
      <c r="F1783" s="10">
        <f>IF(ISTEXT(Таблицаx_2[[#This Row],[Значение]]), 0, Таблицаx_2[[#This Row],[Значение]])</f>
        <v>22200</v>
      </c>
      <c r="G1783" s="12">
        <v>44896</v>
      </c>
      <c r="H1783" s="10" t="str">
        <f>IFERROR(VLOOKUP(Таблицаx_2[[#This Row],[id]],prolongations!A:C,2,)," ")</f>
        <v>декабрь 2022</v>
      </c>
      <c r="I1783" s="10">
        <f>IF(Таблицаx_2[[#This Row],[Месяц окончания]]=Таблицаx_2[[#This Row],[Месяц]],Таблицаx_2[[#This Row],[Значения числа]],0)</f>
        <v>0</v>
      </c>
      <c r="J1783" s="8">
        <f>IF(AND(Таблицаx_2[[#This Row],[Месяц окончания]]=Таблицаx_2[[#This Row],[Месяц]],Таблицаx_2[[#This Row],[id]]=A1784,EDATE(Таблицаx_2[[#This Row],[Месяц]],1)=D1784),F1784,0)</f>
        <v>0</v>
      </c>
      <c r="K1783" s="8">
        <f>IF(AND(Таблицаx_2[[#This Row],[Месяц окончания]]=Таблицаx_2[[#This Row],[Месяц]],Таблицаx_2[[#This Row],[id]]=A1784,EDATE(Таблицаx_2[[#This Row],[Месяц]],2)=D1784),F1784,0)</f>
        <v>0</v>
      </c>
    </row>
    <row r="1784" spans="1:11" ht="12.75" hidden="1" customHeight="1" x14ac:dyDescent="0.2">
      <c r="A1784" s="8">
        <v>45</v>
      </c>
      <c r="B1784" s="8" t="s">
        <v>45</v>
      </c>
      <c r="C1784" s="8" t="s">
        <v>8</v>
      </c>
      <c r="D1784" s="12">
        <v>45139</v>
      </c>
      <c r="E1784" s="8">
        <v>22200</v>
      </c>
      <c r="F1784" s="10">
        <f>IF(ISTEXT(Таблицаx_2[[#This Row],[Значение]]), 0, Таблицаx_2[[#This Row],[Значение]])</f>
        <v>22200</v>
      </c>
      <c r="G1784" s="12">
        <v>44896</v>
      </c>
      <c r="H1784" s="10" t="str">
        <f>IFERROR(VLOOKUP(Таблицаx_2[[#This Row],[id]],prolongations!A:C,2,)," ")</f>
        <v>декабрь 2022</v>
      </c>
      <c r="I1784" s="10">
        <f>IF(Таблицаx_2[[#This Row],[Месяц окончания]]=Таблицаx_2[[#This Row],[Месяц]],Таблицаx_2[[#This Row],[Значения числа]],0)</f>
        <v>0</v>
      </c>
      <c r="J1784" s="8">
        <f>IF(AND(Таблицаx_2[[#This Row],[Месяц окончания]]=Таблицаx_2[[#This Row],[Месяц]],Таблицаx_2[[#This Row],[id]]=A1785,EDATE(Таблицаx_2[[#This Row],[Месяц]],1)=D1785),F1785,0)</f>
        <v>0</v>
      </c>
      <c r="K1784" s="8">
        <f>IF(AND(Таблицаx_2[[#This Row],[Месяц окончания]]=Таблицаx_2[[#This Row],[Месяц]],Таблицаx_2[[#This Row],[id]]=A1785,EDATE(Таблицаx_2[[#This Row],[Месяц]],2)=D1785),F1785,0)</f>
        <v>0</v>
      </c>
    </row>
    <row r="1785" spans="1:11" ht="12.75" hidden="1" customHeight="1" x14ac:dyDescent="0.2">
      <c r="A1785" s="8">
        <v>45</v>
      </c>
      <c r="B1785" s="8" t="s">
        <v>45</v>
      </c>
      <c r="C1785" s="8" t="s">
        <v>8</v>
      </c>
      <c r="D1785" s="12">
        <v>45170</v>
      </c>
      <c r="E1785" s="8">
        <v>22200</v>
      </c>
      <c r="F1785" s="10">
        <f>IF(ISTEXT(Таблицаx_2[[#This Row],[Значение]]), 0, Таблицаx_2[[#This Row],[Значение]])</f>
        <v>22200</v>
      </c>
      <c r="G1785" s="12">
        <v>44896</v>
      </c>
      <c r="H1785" s="10" t="str">
        <f>IFERROR(VLOOKUP(Таблицаx_2[[#This Row],[id]],prolongations!A:C,2,)," ")</f>
        <v>декабрь 2022</v>
      </c>
      <c r="I1785" s="10">
        <f>IF(Таблицаx_2[[#This Row],[Месяц окончания]]=Таблицаx_2[[#This Row],[Месяц]],Таблицаx_2[[#This Row],[Значения числа]],0)</f>
        <v>0</v>
      </c>
      <c r="J1785" s="8">
        <f>IF(AND(Таблицаx_2[[#This Row],[Месяц окончания]]=Таблицаx_2[[#This Row],[Месяц]],Таблицаx_2[[#This Row],[id]]=A1786,EDATE(Таблицаx_2[[#This Row],[Месяц]],1)=D1786),F1786,0)</f>
        <v>0</v>
      </c>
      <c r="K1785" s="8">
        <f>IF(AND(Таблицаx_2[[#This Row],[Месяц окончания]]=Таблицаx_2[[#This Row],[Месяц]],Таблицаx_2[[#This Row],[id]]=A1786,EDATE(Таблицаx_2[[#This Row],[Месяц]],2)=D1786),F1786,0)</f>
        <v>0</v>
      </c>
    </row>
    <row r="1786" spans="1:11" ht="12.75" hidden="1" customHeight="1" x14ac:dyDescent="0.2">
      <c r="A1786" s="8">
        <v>45</v>
      </c>
      <c r="B1786" s="8" t="s">
        <v>45</v>
      </c>
      <c r="C1786" s="8" t="s">
        <v>8</v>
      </c>
      <c r="D1786" s="12">
        <v>45200</v>
      </c>
      <c r="E1786" s="8">
        <v>22200</v>
      </c>
      <c r="F1786" s="10">
        <f>IF(ISTEXT(Таблицаx_2[[#This Row],[Значение]]), 0, Таблицаx_2[[#This Row],[Значение]])</f>
        <v>22200</v>
      </c>
      <c r="G1786" s="12">
        <v>44896</v>
      </c>
      <c r="H1786" s="10" t="str">
        <f>IFERROR(VLOOKUP(Таблицаx_2[[#This Row],[id]],prolongations!A:C,2,)," ")</f>
        <v>декабрь 2022</v>
      </c>
      <c r="I1786" s="10">
        <f>IF(Таблицаx_2[[#This Row],[Месяц окончания]]=Таблицаx_2[[#This Row],[Месяц]],Таблицаx_2[[#This Row],[Значения числа]],0)</f>
        <v>0</v>
      </c>
      <c r="J1786" s="8">
        <f>IF(AND(Таблицаx_2[[#This Row],[Месяц окончания]]=Таблицаx_2[[#This Row],[Месяц]],Таблицаx_2[[#This Row],[id]]=A1787,EDATE(Таблицаx_2[[#This Row],[Месяц]],1)=D1787),F1787,0)</f>
        <v>0</v>
      </c>
      <c r="K1786" s="8">
        <f>IF(AND(Таблицаx_2[[#This Row],[Месяц окончания]]=Таблицаx_2[[#This Row],[Месяц]],Таблицаx_2[[#This Row],[id]]=A1787,EDATE(Таблицаx_2[[#This Row],[Месяц]],2)=D1787),F1787,0)</f>
        <v>0</v>
      </c>
    </row>
    <row r="1787" spans="1:11" ht="12.75" hidden="1" customHeight="1" x14ac:dyDescent="0.2">
      <c r="A1787" s="8">
        <v>45</v>
      </c>
      <c r="B1787" s="8" t="s">
        <v>45</v>
      </c>
      <c r="C1787" s="8" t="s">
        <v>8</v>
      </c>
      <c r="D1787" s="12">
        <v>45231</v>
      </c>
      <c r="E1787" s="8">
        <v>22200</v>
      </c>
      <c r="F1787" s="10">
        <f>IF(ISTEXT(Таблицаx_2[[#This Row],[Значение]]), 0, Таблицаx_2[[#This Row],[Значение]])</f>
        <v>22200</v>
      </c>
      <c r="G1787" s="12">
        <v>44896</v>
      </c>
      <c r="H1787" s="10" t="str">
        <f>IFERROR(VLOOKUP(Таблицаx_2[[#This Row],[id]],prolongations!A:C,2,)," ")</f>
        <v>декабрь 2022</v>
      </c>
      <c r="I1787" s="10">
        <f>IF(Таблицаx_2[[#This Row],[Месяц окончания]]=Таблицаx_2[[#This Row],[Месяц]],Таблицаx_2[[#This Row],[Значения числа]],0)</f>
        <v>0</v>
      </c>
      <c r="J1787" s="8">
        <f>IF(AND(Таблицаx_2[[#This Row],[Месяц окончания]]=Таблицаx_2[[#This Row],[Месяц]],Таблицаx_2[[#This Row],[id]]=A1788,EDATE(Таблицаx_2[[#This Row],[Месяц]],1)=D1788),F1788,0)</f>
        <v>0</v>
      </c>
      <c r="K1787" s="8">
        <f>IF(AND(Таблицаx_2[[#This Row],[Месяц окончания]]=Таблицаx_2[[#This Row],[Месяц]],Таблицаx_2[[#This Row],[id]]=A1788,EDATE(Таблицаx_2[[#This Row],[Месяц]],2)=D1788),F1788,0)</f>
        <v>0</v>
      </c>
    </row>
    <row r="1788" spans="1:11" ht="12.75" hidden="1" customHeight="1" x14ac:dyDescent="0.2">
      <c r="A1788" s="8">
        <v>45</v>
      </c>
      <c r="B1788" s="8" t="s">
        <v>45</v>
      </c>
      <c r="C1788" s="8" t="s">
        <v>8</v>
      </c>
      <c r="D1788" s="12">
        <v>45261</v>
      </c>
      <c r="E1788" s="8">
        <v>22200</v>
      </c>
      <c r="F1788" s="10">
        <f>IF(ISTEXT(Таблицаx_2[[#This Row],[Значение]]), 0, Таблицаx_2[[#This Row],[Значение]])</f>
        <v>22200</v>
      </c>
      <c r="G1788" s="12">
        <v>44896</v>
      </c>
      <c r="H1788" s="10" t="str">
        <f>IFERROR(VLOOKUP(Таблицаx_2[[#This Row],[id]],prolongations!A:C,2,)," ")</f>
        <v>декабрь 2022</v>
      </c>
      <c r="I1788" s="10">
        <f>IF(Таблицаx_2[[#This Row],[Месяц окончания]]=Таблицаx_2[[#This Row],[Месяц]],Таблицаx_2[[#This Row],[Значения числа]],0)</f>
        <v>0</v>
      </c>
      <c r="J1788" s="8">
        <f>IF(AND(Таблицаx_2[[#This Row],[Месяц окончания]]=Таблицаx_2[[#This Row],[Месяц]],Таблицаx_2[[#This Row],[id]]=A1789,EDATE(Таблицаx_2[[#This Row],[Месяц]],1)=D1789),F1789,0)</f>
        <v>0</v>
      </c>
      <c r="K1788" s="8">
        <f>IF(AND(Таблицаx_2[[#This Row],[Месяц окончания]]=Таблицаx_2[[#This Row],[Месяц]],Таблицаx_2[[#This Row],[id]]=A1789,EDATE(Таблицаx_2[[#This Row],[Месяц]],2)=D1789),F1789,0)</f>
        <v>0</v>
      </c>
    </row>
    <row r="1789" spans="1:11" ht="12.75" hidden="1" customHeight="1" x14ac:dyDescent="0.2">
      <c r="A1789" s="8">
        <v>45</v>
      </c>
      <c r="B1789" s="8" t="s">
        <v>47</v>
      </c>
      <c r="C1789" s="8" t="s">
        <v>8</v>
      </c>
      <c r="D1789" s="12">
        <v>44866</v>
      </c>
      <c r="E1789" s="8">
        <v>35150</v>
      </c>
      <c r="F1789" s="10">
        <f>IF(ISTEXT(Таблицаx_2[[#This Row],[Значение]]), 0, Таблицаx_2[[#This Row],[Значение]])</f>
        <v>35150</v>
      </c>
      <c r="G1789" s="12">
        <v>44896</v>
      </c>
      <c r="H1789" s="10" t="str">
        <f>IFERROR(VLOOKUP(Таблицаx_2[[#This Row],[id]],prolongations!A:C,2,)," ")</f>
        <v>декабрь 2022</v>
      </c>
      <c r="I1789" s="10">
        <f>IF(Таблицаx_2[[#This Row],[Месяц окончания]]=Таблицаx_2[[#This Row],[Месяц]],Таблицаx_2[[#This Row],[Значения числа]],0)</f>
        <v>0</v>
      </c>
      <c r="J1789" s="8">
        <f>IF(AND(Таблицаx_2[[#This Row],[Месяц окончания]]=Таблицаx_2[[#This Row],[Месяц]],Таблицаx_2[[#This Row],[id]]=A1790,EDATE(Таблицаx_2[[#This Row],[Месяц]],1)=D1790),F1790,0)</f>
        <v>0</v>
      </c>
      <c r="K1789" s="8">
        <f>IF(AND(Таблицаx_2[[#This Row],[Месяц окончания]]=Таблицаx_2[[#This Row],[Месяц]],Таблицаx_2[[#This Row],[id]]=A1790,EDATE(Таблицаx_2[[#This Row],[Месяц]],2)=D1790),F1790,0)</f>
        <v>0</v>
      </c>
    </row>
    <row r="1790" spans="1:11" hidden="1" x14ac:dyDescent="0.2">
      <c r="A1790" s="8">
        <v>45</v>
      </c>
      <c r="B1790" s="8" t="s">
        <v>47</v>
      </c>
      <c r="C1790" s="8" t="s">
        <v>8</v>
      </c>
      <c r="D1790" s="12">
        <v>44896</v>
      </c>
      <c r="E1790" s="8">
        <v>47400</v>
      </c>
      <c r="F1790" s="10">
        <f>IF(ISTEXT(Таблицаx_2[[#This Row],[Значение]]), 0, Таблицаx_2[[#This Row],[Значение]])</f>
        <v>47400</v>
      </c>
      <c r="G1790" s="12">
        <v>44896</v>
      </c>
      <c r="H1790" s="10" t="str">
        <f>IFERROR(VLOOKUP(Таблицаx_2[[#This Row],[id]],prolongations!A:C,2,)," ")</f>
        <v>декабрь 2022</v>
      </c>
      <c r="I1790" s="10">
        <f>IF(Таблицаx_2[[#This Row],[Месяц окончания]]=Таблицаx_2[[#This Row],[Месяц]],Таблицаx_2[[#This Row],[Значения числа]],0)</f>
        <v>47400</v>
      </c>
      <c r="J1790" s="8">
        <f>IF(AND(Таблицаx_2[[#This Row],[Месяц окончания]]=Таблицаx_2[[#This Row],[Месяц]],Таблицаx_2[[#This Row],[id]]=A1791,EDATE(Таблицаx_2[[#This Row],[Месяц]],1)=D1791),F1791,0)</f>
        <v>26930</v>
      </c>
      <c r="K1790" s="8">
        <f>IF(AND(Таблицаx_2[[#This Row],[Месяц окончания]]=Таблицаx_2[[#This Row],[Месяц]],Таблицаx_2[[#This Row],[id]]=A1791,EDATE(Таблицаx_2[[#This Row],[Месяц]],2)=D1791),F1791,0)</f>
        <v>0</v>
      </c>
    </row>
    <row r="1791" spans="1:11" ht="12.75" hidden="1" customHeight="1" x14ac:dyDescent="0.2">
      <c r="A1791" s="8">
        <v>45</v>
      </c>
      <c r="B1791" s="8" t="s">
        <v>47</v>
      </c>
      <c r="C1791" s="8" t="s">
        <v>8</v>
      </c>
      <c r="D1791" s="12">
        <v>44927</v>
      </c>
      <c r="E1791" s="8">
        <v>26930</v>
      </c>
      <c r="F1791" s="10">
        <f>IF(ISTEXT(Таблицаx_2[[#This Row],[Значение]]), 0, Таблицаx_2[[#This Row],[Значение]])</f>
        <v>26930</v>
      </c>
      <c r="G1791" s="12">
        <v>44896</v>
      </c>
      <c r="H1791" s="10" t="str">
        <f>IFERROR(VLOOKUP(Таблицаx_2[[#This Row],[id]],prolongations!A:C,2,)," ")</f>
        <v>декабрь 2022</v>
      </c>
      <c r="I1791" s="10">
        <f>IF(Таблицаx_2[[#This Row],[Месяц окончания]]=Таблицаx_2[[#This Row],[Месяц]],Таблицаx_2[[#This Row],[Значения числа]],0)</f>
        <v>0</v>
      </c>
      <c r="J1791" s="8">
        <f>IF(AND(Таблицаx_2[[#This Row],[Месяц окончания]]=Таблицаx_2[[#This Row],[Месяц]],Таблицаx_2[[#This Row],[id]]=A1792,EDATE(Таблицаx_2[[#This Row],[Месяц]],1)=D1792),F1792,0)</f>
        <v>0</v>
      </c>
      <c r="K1791" s="8">
        <f>IF(AND(Таблицаx_2[[#This Row],[Месяц окончания]]=Таблицаx_2[[#This Row],[Месяц]],Таблицаx_2[[#This Row],[id]]=A1792,EDATE(Таблицаx_2[[#This Row],[Месяц]],2)=D1792),F1792,0)</f>
        <v>0</v>
      </c>
    </row>
    <row r="1792" spans="1:11" ht="12.75" hidden="1" customHeight="1" x14ac:dyDescent="0.2">
      <c r="A1792" s="8">
        <v>45</v>
      </c>
      <c r="B1792" s="8" t="s">
        <v>47</v>
      </c>
      <c r="C1792" s="8" t="s">
        <v>8</v>
      </c>
      <c r="D1792" s="12">
        <v>44958</v>
      </c>
      <c r="E1792" s="8">
        <v>42275</v>
      </c>
      <c r="F1792" s="10">
        <f>IF(ISTEXT(Таблицаx_2[[#This Row],[Значение]]), 0, Таблицаx_2[[#This Row],[Значение]])</f>
        <v>42275</v>
      </c>
      <c r="G1792" s="12">
        <v>44896</v>
      </c>
      <c r="H1792" s="10" t="str">
        <f>IFERROR(VLOOKUP(Таблицаx_2[[#This Row],[id]],prolongations!A:C,2,)," ")</f>
        <v>декабрь 2022</v>
      </c>
      <c r="I1792" s="10">
        <f>IF(Таблицаx_2[[#This Row],[Месяц окончания]]=Таблицаx_2[[#This Row],[Месяц]],Таблицаx_2[[#This Row],[Значения числа]],0)</f>
        <v>0</v>
      </c>
      <c r="J1792" s="8">
        <f>IF(AND(Таблицаx_2[[#This Row],[Месяц окончания]]=Таблицаx_2[[#This Row],[Месяц]],Таблицаx_2[[#This Row],[id]]=A1793,EDATE(Таблицаx_2[[#This Row],[Месяц]],1)=D1793),F1793,0)</f>
        <v>0</v>
      </c>
      <c r="K1792" s="8">
        <f>IF(AND(Таблицаx_2[[#This Row],[Месяц окончания]]=Таблицаx_2[[#This Row],[Месяц]],Таблицаx_2[[#This Row],[id]]=A1793,EDATE(Таблицаx_2[[#This Row],[Месяц]],2)=D1793),F1793,0)</f>
        <v>0</v>
      </c>
    </row>
    <row r="1793" spans="1:11" ht="12.75" hidden="1" customHeight="1" x14ac:dyDescent="0.2">
      <c r="A1793" s="8">
        <v>45</v>
      </c>
      <c r="B1793" s="8" t="s">
        <v>47</v>
      </c>
      <c r="C1793" s="8" t="s">
        <v>8</v>
      </c>
      <c r="D1793" s="12">
        <v>44986</v>
      </c>
      <c r="E1793" s="8">
        <v>49440</v>
      </c>
      <c r="F1793" s="10">
        <f>IF(ISTEXT(Таблицаx_2[[#This Row],[Значение]]), 0, Таблицаx_2[[#This Row],[Значение]])</f>
        <v>49440</v>
      </c>
      <c r="G1793" s="12">
        <v>44896</v>
      </c>
      <c r="H1793" s="10" t="str">
        <f>IFERROR(VLOOKUP(Таблицаx_2[[#This Row],[id]],prolongations!A:C,2,)," ")</f>
        <v>декабрь 2022</v>
      </c>
      <c r="I1793" s="10">
        <f>IF(Таблицаx_2[[#This Row],[Месяц окончания]]=Таблицаx_2[[#This Row],[Месяц]],Таблицаx_2[[#This Row],[Значения числа]],0)</f>
        <v>0</v>
      </c>
      <c r="J1793" s="8">
        <f>IF(AND(Таблицаx_2[[#This Row],[Месяц окончания]]=Таблицаx_2[[#This Row],[Месяц]],Таблицаx_2[[#This Row],[id]]=A1794,EDATE(Таблицаx_2[[#This Row],[Месяц]],1)=D1794),F1794,0)</f>
        <v>0</v>
      </c>
      <c r="K1793" s="8">
        <f>IF(AND(Таблицаx_2[[#This Row],[Месяц окончания]]=Таблицаx_2[[#This Row],[Месяц]],Таблицаx_2[[#This Row],[id]]=A1794,EDATE(Таблицаx_2[[#This Row],[Месяц]],2)=D1794),F1794,0)</f>
        <v>0</v>
      </c>
    </row>
    <row r="1794" spans="1:11" ht="12.75" hidden="1" customHeight="1" x14ac:dyDescent="0.2">
      <c r="A1794" s="8">
        <v>45</v>
      </c>
      <c r="B1794" s="8" t="s">
        <v>47</v>
      </c>
      <c r="C1794" s="8" t="s">
        <v>8</v>
      </c>
      <c r="D1794" s="12">
        <v>45017</v>
      </c>
      <c r="E1794" s="8">
        <v>36795</v>
      </c>
      <c r="F1794" s="10">
        <f>IF(ISTEXT(Таблицаx_2[[#This Row],[Значение]]), 0, Таблицаx_2[[#This Row],[Значение]])</f>
        <v>36795</v>
      </c>
      <c r="G1794" s="12">
        <v>44896</v>
      </c>
      <c r="H1794" s="10" t="str">
        <f>IFERROR(VLOOKUP(Таблицаx_2[[#This Row],[id]],prolongations!A:C,2,)," ")</f>
        <v>декабрь 2022</v>
      </c>
      <c r="I1794" s="10">
        <f>IF(Таблицаx_2[[#This Row],[Месяц окончания]]=Таблицаx_2[[#This Row],[Месяц]],Таблицаx_2[[#This Row],[Значения числа]],0)</f>
        <v>0</v>
      </c>
      <c r="J1794" s="8">
        <f>IF(AND(Таблицаx_2[[#This Row],[Месяц окончания]]=Таблицаx_2[[#This Row],[Месяц]],Таблицаx_2[[#This Row],[id]]=A1795,EDATE(Таблицаx_2[[#This Row],[Месяц]],1)=D1795),F1795,0)</f>
        <v>0</v>
      </c>
      <c r="K1794" s="8">
        <f>IF(AND(Таблицаx_2[[#This Row],[Месяц окончания]]=Таблицаx_2[[#This Row],[Месяц]],Таблицаx_2[[#This Row],[id]]=A1795,EDATE(Таблицаx_2[[#This Row],[Месяц]],2)=D1795),F1795,0)</f>
        <v>0</v>
      </c>
    </row>
    <row r="1795" spans="1:11" ht="12.75" hidden="1" customHeight="1" x14ac:dyDescent="0.2">
      <c r="A1795" s="8">
        <v>45</v>
      </c>
      <c r="B1795" s="8" t="s">
        <v>47</v>
      </c>
      <c r="C1795" s="8" t="s">
        <v>8</v>
      </c>
      <c r="D1795" s="12">
        <v>45047</v>
      </c>
      <c r="E1795" s="8">
        <v>39900</v>
      </c>
      <c r="F1795" s="10">
        <f>IF(ISTEXT(Таблицаx_2[[#This Row],[Значение]]), 0, Таблицаx_2[[#This Row],[Значение]])</f>
        <v>39900</v>
      </c>
      <c r="G1795" s="12">
        <v>44896</v>
      </c>
      <c r="H1795" s="10" t="str">
        <f>IFERROR(VLOOKUP(Таблицаx_2[[#This Row],[id]],prolongations!A:C,2,)," ")</f>
        <v>декабрь 2022</v>
      </c>
      <c r="I1795" s="10">
        <f>IF(Таблицаx_2[[#This Row],[Месяц окончания]]=Таблицаx_2[[#This Row],[Месяц]],Таблицаx_2[[#This Row],[Значения числа]],0)</f>
        <v>0</v>
      </c>
      <c r="J1795" s="8">
        <f>IF(AND(Таблицаx_2[[#This Row],[Месяц окончания]]=Таблицаx_2[[#This Row],[Месяц]],Таблицаx_2[[#This Row],[id]]=A1796,EDATE(Таблицаx_2[[#This Row],[Месяц]],1)=D1796),F1796,0)</f>
        <v>0</v>
      </c>
      <c r="K1795" s="8">
        <f>IF(AND(Таблицаx_2[[#This Row],[Месяц окончания]]=Таблицаx_2[[#This Row],[Месяц]],Таблицаx_2[[#This Row],[id]]=A1796,EDATE(Таблицаx_2[[#This Row],[Месяц]],2)=D1796),F1796,0)</f>
        <v>0</v>
      </c>
    </row>
    <row r="1796" spans="1:11" ht="12.75" hidden="1" customHeight="1" x14ac:dyDescent="0.2">
      <c r="A1796" s="8">
        <v>45</v>
      </c>
      <c r="B1796" s="8" t="s">
        <v>47</v>
      </c>
      <c r="C1796" s="8" t="s">
        <v>8</v>
      </c>
      <c r="D1796" s="12">
        <v>45078</v>
      </c>
      <c r="E1796" s="8">
        <v>39435</v>
      </c>
      <c r="F1796" s="10">
        <f>IF(ISTEXT(Таблицаx_2[[#This Row],[Значение]]), 0, Таблицаx_2[[#This Row],[Значение]])</f>
        <v>39435</v>
      </c>
      <c r="G1796" s="12">
        <v>44896</v>
      </c>
      <c r="H1796" s="10" t="str">
        <f>IFERROR(VLOOKUP(Таблицаx_2[[#This Row],[id]],prolongations!A:C,2,)," ")</f>
        <v>декабрь 2022</v>
      </c>
      <c r="I1796" s="10">
        <f>IF(Таблицаx_2[[#This Row],[Месяц окончания]]=Таблицаx_2[[#This Row],[Месяц]],Таблицаx_2[[#This Row],[Значения числа]],0)</f>
        <v>0</v>
      </c>
      <c r="J1796" s="8">
        <f>IF(AND(Таблицаx_2[[#This Row],[Месяц окончания]]=Таблицаx_2[[#This Row],[Месяц]],Таблицаx_2[[#This Row],[id]]=A1797,EDATE(Таблицаx_2[[#This Row],[Месяц]],1)=D1797),F1797,0)</f>
        <v>0</v>
      </c>
      <c r="K1796" s="8">
        <f>IF(AND(Таблицаx_2[[#This Row],[Месяц окончания]]=Таблицаx_2[[#This Row],[Месяц]],Таблицаx_2[[#This Row],[id]]=A1797,EDATE(Таблицаx_2[[#This Row],[Месяц]],2)=D1797),F1797,0)</f>
        <v>0</v>
      </c>
    </row>
    <row r="1797" spans="1:11" ht="12.75" hidden="1" customHeight="1" x14ac:dyDescent="0.2">
      <c r="A1797" s="8">
        <v>45</v>
      </c>
      <c r="B1797" s="8" t="s">
        <v>47</v>
      </c>
      <c r="C1797" s="8" t="s">
        <v>8</v>
      </c>
      <c r="D1797" s="12">
        <v>45108</v>
      </c>
      <c r="E1797" s="8">
        <v>48555</v>
      </c>
      <c r="F1797" s="10">
        <f>IF(ISTEXT(Таблицаx_2[[#This Row],[Значение]]), 0, Таблицаx_2[[#This Row],[Значение]])</f>
        <v>48555</v>
      </c>
      <c r="G1797" s="12">
        <v>44896</v>
      </c>
      <c r="H1797" s="10" t="str">
        <f>IFERROR(VLOOKUP(Таблицаx_2[[#This Row],[id]],prolongations!A:C,2,)," ")</f>
        <v>декабрь 2022</v>
      </c>
      <c r="I1797" s="10">
        <f>IF(Таблицаx_2[[#This Row],[Месяц окончания]]=Таблицаx_2[[#This Row],[Месяц]],Таблицаx_2[[#This Row],[Значения числа]],0)</f>
        <v>0</v>
      </c>
      <c r="J1797" s="8">
        <f>IF(AND(Таблицаx_2[[#This Row],[Месяц окончания]]=Таблицаx_2[[#This Row],[Месяц]],Таблицаx_2[[#This Row],[id]]=A1798,EDATE(Таблицаx_2[[#This Row],[Месяц]],1)=D1798),F1798,0)</f>
        <v>0</v>
      </c>
      <c r="K1797" s="8">
        <f>IF(AND(Таблицаx_2[[#This Row],[Месяц окончания]]=Таблицаx_2[[#This Row],[Месяц]],Таблицаx_2[[#This Row],[id]]=A1798,EDATE(Таблицаx_2[[#This Row],[Месяц]],2)=D1798),F1798,0)</f>
        <v>0</v>
      </c>
    </row>
    <row r="1798" spans="1:11" ht="12.75" hidden="1" customHeight="1" x14ac:dyDescent="0.2">
      <c r="A1798" s="8">
        <v>45</v>
      </c>
      <c r="B1798" s="8" t="s">
        <v>47</v>
      </c>
      <c r="C1798" s="8" t="s">
        <v>8</v>
      </c>
      <c r="D1798" s="12">
        <v>45139</v>
      </c>
      <c r="E1798" s="8">
        <v>13925</v>
      </c>
      <c r="F1798" s="10">
        <f>IF(ISTEXT(Таблицаx_2[[#This Row],[Значение]]), 0, Таблицаx_2[[#This Row],[Значение]])</f>
        <v>13925</v>
      </c>
      <c r="G1798" s="12">
        <v>44896</v>
      </c>
      <c r="H1798" s="10" t="str">
        <f>IFERROR(VLOOKUP(Таблицаx_2[[#This Row],[id]],prolongations!A:C,2,)," ")</f>
        <v>декабрь 2022</v>
      </c>
      <c r="I1798" s="10">
        <f>IF(Таблицаx_2[[#This Row],[Месяц окончания]]=Таблицаx_2[[#This Row],[Месяц]],Таблицаx_2[[#This Row],[Значения числа]],0)</f>
        <v>0</v>
      </c>
      <c r="J1798" s="8">
        <f>IF(AND(Таблицаx_2[[#This Row],[Месяц окончания]]=Таблицаx_2[[#This Row],[Месяц]],Таблицаx_2[[#This Row],[id]]=A1799,EDATE(Таблицаx_2[[#This Row],[Месяц]],1)=D1799),F1799,0)</f>
        <v>0</v>
      </c>
      <c r="K1798" s="8">
        <f>IF(AND(Таблицаx_2[[#This Row],[Месяц окончания]]=Таблицаx_2[[#This Row],[Месяц]],Таблицаx_2[[#This Row],[id]]=A1799,EDATE(Таблицаx_2[[#This Row],[Месяц]],2)=D1799),F1799,0)</f>
        <v>0</v>
      </c>
    </row>
    <row r="1799" spans="1:11" ht="12.75" hidden="1" customHeight="1" x14ac:dyDescent="0.2">
      <c r="A1799" s="8">
        <v>45</v>
      </c>
      <c r="B1799" s="8" t="s">
        <v>47</v>
      </c>
      <c r="C1799" s="8" t="s">
        <v>8</v>
      </c>
      <c r="D1799" s="12">
        <v>45170</v>
      </c>
      <c r="E1799" s="8">
        <v>62890</v>
      </c>
      <c r="F1799" s="10">
        <f>IF(ISTEXT(Таблицаx_2[[#This Row],[Значение]]), 0, Таблицаx_2[[#This Row],[Значение]])</f>
        <v>62890</v>
      </c>
      <c r="G1799" s="12">
        <v>44896</v>
      </c>
      <c r="H1799" s="10" t="str">
        <f>IFERROR(VLOOKUP(Таблицаx_2[[#This Row],[id]],prolongations!A:C,2,)," ")</f>
        <v>декабрь 2022</v>
      </c>
      <c r="I1799" s="10">
        <f>IF(Таблицаx_2[[#This Row],[Месяц окончания]]=Таблицаx_2[[#This Row],[Месяц]],Таблицаx_2[[#This Row],[Значения числа]],0)</f>
        <v>0</v>
      </c>
      <c r="J1799" s="8">
        <f>IF(AND(Таблицаx_2[[#This Row],[Месяц окончания]]=Таблицаx_2[[#This Row],[Месяц]],Таблицаx_2[[#This Row],[id]]=A1800,EDATE(Таблицаx_2[[#This Row],[Месяц]],1)=D1800),F1800,0)</f>
        <v>0</v>
      </c>
      <c r="K1799" s="8">
        <f>IF(AND(Таблицаx_2[[#This Row],[Месяц окончания]]=Таблицаx_2[[#This Row],[Месяц]],Таблицаx_2[[#This Row],[id]]=A1800,EDATE(Таблицаx_2[[#This Row],[Месяц]],2)=D1800),F1800,0)</f>
        <v>0</v>
      </c>
    </row>
    <row r="1800" spans="1:11" ht="12.75" hidden="1" customHeight="1" x14ac:dyDescent="0.2">
      <c r="A1800" s="8">
        <v>45</v>
      </c>
      <c r="B1800" s="8" t="s">
        <v>47</v>
      </c>
      <c r="C1800" s="8" t="s">
        <v>8</v>
      </c>
      <c r="D1800" s="12">
        <v>45200</v>
      </c>
      <c r="E1800" s="8">
        <v>74480</v>
      </c>
      <c r="F1800" s="10">
        <f>IF(ISTEXT(Таблицаx_2[[#This Row],[Значение]]), 0, Таблицаx_2[[#This Row],[Значение]])</f>
        <v>74480</v>
      </c>
      <c r="G1800" s="12">
        <v>44896</v>
      </c>
      <c r="H1800" s="10" t="str">
        <f>IFERROR(VLOOKUP(Таблицаx_2[[#This Row],[id]],prolongations!A:C,2,)," ")</f>
        <v>декабрь 2022</v>
      </c>
      <c r="I1800" s="10">
        <f>IF(Таблицаx_2[[#This Row],[Месяц окончания]]=Таблицаx_2[[#This Row],[Месяц]],Таблицаx_2[[#This Row],[Значения числа]],0)</f>
        <v>0</v>
      </c>
      <c r="J1800" s="8">
        <f>IF(AND(Таблицаx_2[[#This Row],[Месяц окончания]]=Таблицаx_2[[#This Row],[Месяц]],Таблицаx_2[[#This Row],[id]]=A1801,EDATE(Таблицаx_2[[#This Row],[Месяц]],1)=D1801),F1801,0)</f>
        <v>0</v>
      </c>
      <c r="K1800" s="8">
        <f>IF(AND(Таблицаx_2[[#This Row],[Месяц окончания]]=Таблицаx_2[[#This Row],[Месяц]],Таблицаx_2[[#This Row],[id]]=A1801,EDATE(Таблицаx_2[[#This Row],[Месяц]],2)=D1801),F1801,0)</f>
        <v>0</v>
      </c>
    </row>
    <row r="1801" spans="1:11" ht="12.75" hidden="1" customHeight="1" x14ac:dyDescent="0.2">
      <c r="A1801" s="8">
        <v>45</v>
      </c>
      <c r="B1801" s="8" t="s">
        <v>47</v>
      </c>
      <c r="C1801" s="8" t="s">
        <v>8</v>
      </c>
      <c r="D1801" s="12">
        <v>45231</v>
      </c>
      <c r="E1801" s="8">
        <v>66200</v>
      </c>
      <c r="F1801" s="10">
        <f>IF(ISTEXT(Таблицаx_2[[#This Row],[Значение]]), 0, Таблицаx_2[[#This Row],[Значение]])</f>
        <v>66200</v>
      </c>
      <c r="G1801" s="12">
        <v>44896</v>
      </c>
      <c r="H1801" s="10" t="str">
        <f>IFERROR(VLOOKUP(Таблицаx_2[[#This Row],[id]],prolongations!A:C,2,)," ")</f>
        <v>декабрь 2022</v>
      </c>
      <c r="I1801" s="10">
        <f>IF(Таблицаx_2[[#This Row],[Месяц окончания]]=Таблицаx_2[[#This Row],[Месяц]],Таблицаx_2[[#This Row],[Значения числа]],0)</f>
        <v>0</v>
      </c>
      <c r="J1801" s="8">
        <f>IF(AND(Таблицаx_2[[#This Row],[Месяц окончания]]=Таблицаx_2[[#This Row],[Месяц]],Таблицаx_2[[#This Row],[id]]=A1802,EDATE(Таблицаx_2[[#This Row],[Месяц]],1)=D1802),F1802,0)</f>
        <v>0</v>
      </c>
      <c r="K1801" s="8">
        <f>IF(AND(Таблицаx_2[[#This Row],[Месяц окончания]]=Таблицаx_2[[#This Row],[Месяц]],Таблицаx_2[[#This Row],[id]]=A1802,EDATE(Таблицаx_2[[#This Row],[Месяц]],2)=D1802),F1802,0)</f>
        <v>0</v>
      </c>
    </row>
    <row r="1802" spans="1:11" ht="12.75" hidden="1" customHeight="1" x14ac:dyDescent="0.2">
      <c r="A1802" s="8">
        <v>45</v>
      </c>
      <c r="B1802" s="8" t="s">
        <v>47</v>
      </c>
      <c r="C1802" s="8" t="s">
        <v>8</v>
      </c>
      <c r="D1802" s="12">
        <v>45261</v>
      </c>
      <c r="E1802" s="8">
        <v>55330</v>
      </c>
      <c r="F1802" s="10">
        <f>IF(ISTEXT(Таблицаx_2[[#This Row],[Значение]]), 0, Таблицаx_2[[#This Row],[Значение]])</f>
        <v>55330</v>
      </c>
      <c r="G1802" s="12">
        <v>44896</v>
      </c>
      <c r="H1802" s="10" t="str">
        <f>IFERROR(VLOOKUP(Таблицаx_2[[#This Row],[id]],prolongations!A:C,2,)," ")</f>
        <v>декабрь 2022</v>
      </c>
      <c r="I1802" s="10">
        <f>IF(Таблицаx_2[[#This Row],[Месяц окончания]]=Таблицаx_2[[#This Row],[Месяц]],Таблицаx_2[[#This Row],[Значения числа]],0)</f>
        <v>0</v>
      </c>
      <c r="J1802" s="8">
        <f>IF(AND(Таблицаx_2[[#This Row],[Месяц окончания]]=Таблицаx_2[[#This Row],[Месяц]],Таблицаx_2[[#This Row],[id]]=A1803,EDATE(Таблицаx_2[[#This Row],[Месяц]],1)=D1803),F1803,0)</f>
        <v>0</v>
      </c>
      <c r="K1802" s="8">
        <f>IF(AND(Таблицаx_2[[#This Row],[Месяц окончания]]=Таблицаx_2[[#This Row],[Месяц]],Таблицаx_2[[#This Row],[id]]=A1803,EDATE(Таблицаx_2[[#This Row],[Месяц]],2)=D1803),F1803,0)</f>
        <v>0</v>
      </c>
    </row>
    <row r="1803" spans="1:11" ht="12.75" hidden="1" customHeight="1" x14ac:dyDescent="0.2">
      <c r="A1803" s="8">
        <v>46</v>
      </c>
      <c r="B1803" s="8"/>
      <c r="C1803" s="8" t="s">
        <v>10</v>
      </c>
      <c r="D1803" s="12">
        <v>44866</v>
      </c>
      <c r="E1803" s="8">
        <v>37939.5</v>
      </c>
      <c r="F1803" s="10">
        <f>IF(ISTEXT(Таблицаx_2[[#This Row],[Значение]]), 0, Таблицаx_2[[#This Row],[Значение]])</f>
        <v>37939.5</v>
      </c>
      <c r="G1803" s="12">
        <v>44896</v>
      </c>
      <c r="H1803" s="10" t="str">
        <f>IFERROR(VLOOKUP(Таблицаx_2[[#This Row],[id]],prolongations!A:C,2,)," ")</f>
        <v>декабрь 2022</v>
      </c>
      <c r="I1803" s="10">
        <f>IF(Таблицаx_2[[#This Row],[Месяц окончания]]=Таблицаx_2[[#This Row],[Месяц]],Таблицаx_2[[#This Row],[Значения числа]],0)</f>
        <v>0</v>
      </c>
      <c r="J1803" s="8">
        <f>IF(AND(Таблицаx_2[[#This Row],[Месяц окончания]]=Таблицаx_2[[#This Row],[Месяц]],Таблицаx_2[[#This Row],[id]]=A1804,EDATE(Таблицаx_2[[#This Row],[Месяц]],1)=D1804),F1804,0)</f>
        <v>0</v>
      </c>
      <c r="K1803" s="8">
        <f>IF(AND(Таблицаx_2[[#This Row],[Месяц окончания]]=Таблицаx_2[[#This Row],[Месяц]],Таблицаx_2[[#This Row],[id]]=A1804,EDATE(Таблицаx_2[[#This Row],[Месяц]],2)=D1804),F1804,0)</f>
        <v>0</v>
      </c>
    </row>
    <row r="1804" spans="1:11" hidden="1" x14ac:dyDescent="0.2">
      <c r="A1804" s="8">
        <v>46</v>
      </c>
      <c r="B1804" s="8"/>
      <c r="C1804" s="8" t="s">
        <v>10</v>
      </c>
      <c r="D1804" s="12">
        <v>44896</v>
      </c>
      <c r="E1804" s="8">
        <v>37939.5</v>
      </c>
      <c r="F1804" s="10">
        <f>IF(ISTEXT(Таблицаx_2[[#This Row],[Значение]]), 0, Таблицаx_2[[#This Row],[Значение]])</f>
        <v>37939.5</v>
      </c>
      <c r="G1804" s="12">
        <v>44896</v>
      </c>
      <c r="H1804" s="10" t="str">
        <f>IFERROR(VLOOKUP(Таблицаx_2[[#This Row],[id]],prolongations!A:C,2,)," ")</f>
        <v>декабрь 2022</v>
      </c>
      <c r="I1804" s="10">
        <f>IF(Таблицаx_2[[#This Row],[Месяц окончания]]=Таблицаx_2[[#This Row],[Месяц]],Таблицаx_2[[#This Row],[Значения числа]],0)</f>
        <v>37939.5</v>
      </c>
      <c r="J1804" s="8">
        <f>IF(AND(Таблицаx_2[[#This Row],[Месяц окончания]]=Таблицаx_2[[#This Row],[Месяц]],Таблицаx_2[[#This Row],[id]]=A1805,EDATE(Таблицаx_2[[#This Row],[Месяц]],1)=D1805),F1805,0)</f>
        <v>39838.5</v>
      </c>
      <c r="K1804" s="8">
        <f>IF(AND(Таблицаx_2[[#This Row],[Месяц окончания]]=Таблицаx_2[[#This Row],[Месяц]],Таблицаx_2[[#This Row],[id]]=A1805,EDATE(Таблицаx_2[[#This Row],[Месяц]],2)=D1805),F1805,0)</f>
        <v>0</v>
      </c>
    </row>
    <row r="1805" spans="1:11" ht="12.75" hidden="1" customHeight="1" x14ac:dyDescent="0.2">
      <c r="A1805" s="8">
        <v>46</v>
      </c>
      <c r="B1805" s="8"/>
      <c r="C1805" s="8" t="s">
        <v>10</v>
      </c>
      <c r="D1805" s="12">
        <v>44927</v>
      </c>
      <c r="E1805" s="8">
        <v>39838.5</v>
      </c>
      <c r="F1805" s="10">
        <f>IF(ISTEXT(Таблицаx_2[[#This Row],[Значение]]), 0, Таблицаx_2[[#This Row],[Значение]])</f>
        <v>39838.5</v>
      </c>
      <c r="G1805" s="12">
        <v>44896</v>
      </c>
      <c r="H1805" s="10" t="str">
        <f>IFERROR(VLOOKUP(Таблицаx_2[[#This Row],[id]],prolongations!A:C,2,)," ")</f>
        <v>декабрь 2022</v>
      </c>
      <c r="I1805" s="10">
        <f>IF(Таблицаx_2[[#This Row],[Месяц окончания]]=Таблицаx_2[[#This Row],[Месяц]],Таблицаx_2[[#This Row],[Значения числа]],0)</f>
        <v>0</v>
      </c>
      <c r="J1805" s="8">
        <f>IF(AND(Таблицаx_2[[#This Row],[Месяц окончания]]=Таблицаx_2[[#This Row],[Месяц]],Таблицаx_2[[#This Row],[id]]=A1806,EDATE(Таблицаx_2[[#This Row],[Месяц]],1)=D1806),F1806,0)</f>
        <v>0</v>
      </c>
      <c r="K1805" s="8">
        <f>IF(AND(Таблицаx_2[[#This Row],[Месяц окончания]]=Таблицаx_2[[#This Row],[Месяц]],Таблицаx_2[[#This Row],[id]]=A1806,EDATE(Таблицаx_2[[#This Row],[Месяц]],2)=D1806),F1806,0)</f>
        <v>0</v>
      </c>
    </row>
    <row r="1806" spans="1:11" ht="12.75" hidden="1" customHeight="1" x14ac:dyDescent="0.2">
      <c r="A1806" s="8">
        <v>46</v>
      </c>
      <c r="B1806" s="8"/>
      <c r="C1806" s="8" t="s">
        <v>10</v>
      </c>
      <c r="D1806" s="12">
        <v>44958</v>
      </c>
      <c r="E1806" s="8">
        <v>39298.5</v>
      </c>
      <c r="F1806" s="10">
        <f>IF(ISTEXT(Таблицаx_2[[#This Row],[Значение]]), 0, Таблицаx_2[[#This Row],[Значение]])</f>
        <v>39298.5</v>
      </c>
      <c r="G1806" s="12">
        <v>44896</v>
      </c>
      <c r="H1806" s="10" t="str">
        <f>IFERROR(VLOOKUP(Таблицаx_2[[#This Row],[id]],prolongations!A:C,2,)," ")</f>
        <v>декабрь 2022</v>
      </c>
      <c r="I1806" s="10">
        <f>IF(Таблицаx_2[[#This Row],[Месяц окончания]]=Таблицаx_2[[#This Row],[Месяц]],Таблицаx_2[[#This Row],[Значения числа]],0)</f>
        <v>0</v>
      </c>
      <c r="J1806" s="8">
        <f>IF(AND(Таблицаx_2[[#This Row],[Месяц окончания]]=Таблицаx_2[[#This Row],[Месяц]],Таблицаx_2[[#This Row],[id]]=A1807,EDATE(Таблицаx_2[[#This Row],[Месяц]],1)=D1807),F1807,0)</f>
        <v>0</v>
      </c>
      <c r="K1806" s="8">
        <f>IF(AND(Таблицаx_2[[#This Row],[Месяц окончания]]=Таблицаx_2[[#This Row],[Месяц]],Таблицаx_2[[#This Row],[id]]=A1807,EDATE(Таблицаx_2[[#This Row],[Месяц]],2)=D1807),F1807,0)</f>
        <v>0</v>
      </c>
    </row>
    <row r="1807" spans="1:11" ht="12.75" hidden="1" customHeight="1" x14ac:dyDescent="0.2">
      <c r="A1807" s="8">
        <v>46</v>
      </c>
      <c r="B1807" s="8"/>
      <c r="C1807" s="8" t="s">
        <v>10</v>
      </c>
      <c r="D1807" s="12">
        <v>44986</v>
      </c>
      <c r="E1807" s="8">
        <v>39298.5</v>
      </c>
      <c r="F1807" s="10">
        <f>IF(ISTEXT(Таблицаx_2[[#This Row],[Значение]]), 0, Таблицаx_2[[#This Row],[Значение]])</f>
        <v>39298.5</v>
      </c>
      <c r="G1807" s="12">
        <v>44896</v>
      </c>
      <c r="H1807" s="10" t="str">
        <f>IFERROR(VLOOKUP(Таблицаx_2[[#This Row],[id]],prolongations!A:C,2,)," ")</f>
        <v>декабрь 2022</v>
      </c>
      <c r="I1807" s="10">
        <f>IF(Таблицаx_2[[#This Row],[Месяц окончания]]=Таблицаx_2[[#This Row],[Месяц]],Таблицаx_2[[#This Row],[Значения числа]],0)</f>
        <v>0</v>
      </c>
      <c r="J1807" s="8">
        <f>IF(AND(Таблицаx_2[[#This Row],[Месяц окончания]]=Таблицаx_2[[#This Row],[Месяц]],Таблицаx_2[[#This Row],[id]]=A1808,EDATE(Таблицаx_2[[#This Row],[Месяц]],1)=D1808),F1808,0)</f>
        <v>0</v>
      </c>
      <c r="K1807" s="8">
        <f>IF(AND(Таблицаx_2[[#This Row],[Месяц окончания]]=Таблицаx_2[[#This Row],[Месяц]],Таблицаx_2[[#This Row],[id]]=A1808,EDATE(Таблицаx_2[[#This Row],[Месяц]],2)=D1808),F1808,0)</f>
        <v>0</v>
      </c>
    </row>
    <row r="1808" spans="1:11" ht="12.75" hidden="1" customHeight="1" x14ac:dyDescent="0.2">
      <c r="A1808" s="8">
        <v>46</v>
      </c>
      <c r="B1808" s="8"/>
      <c r="C1808" s="8" t="s">
        <v>10</v>
      </c>
      <c r="D1808" s="12">
        <v>45017</v>
      </c>
      <c r="E1808" s="8">
        <v>39298.5</v>
      </c>
      <c r="F1808" s="10">
        <f>IF(ISTEXT(Таблицаx_2[[#This Row],[Значение]]), 0, Таблицаx_2[[#This Row],[Значение]])</f>
        <v>39298.5</v>
      </c>
      <c r="G1808" s="12">
        <v>44896</v>
      </c>
      <c r="H1808" s="10" t="str">
        <f>IFERROR(VLOOKUP(Таблицаx_2[[#This Row],[id]],prolongations!A:C,2,)," ")</f>
        <v>декабрь 2022</v>
      </c>
      <c r="I1808" s="10">
        <f>IF(Таблицаx_2[[#This Row],[Месяц окончания]]=Таблицаx_2[[#This Row],[Месяц]],Таблицаx_2[[#This Row],[Значения числа]],0)</f>
        <v>0</v>
      </c>
      <c r="J1808" s="8">
        <f>IF(AND(Таблицаx_2[[#This Row],[Месяц окончания]]=Таблицаx_2[[#This Row],[Месяц]],Таблицаx_2[[#This Row],[id]]=A1809,EDATE(Таблицаx_2[[#This Row],[Месяц]],1)=D1809),F1809,0)</f>
        <v>0</v>
      </c>
      <c r="K1808" s="8">
        <f>IF(AND(Таблицаx_2[[#This Row],[Месяц окончания]]=Таблицаx_2[[#This Row],[Месяц]],Таблицаx_2[[#This Row],[id]]=A1809,EDATE(Таблицаx_2[[#This Row],[Месяц]],2)=D1809),F1809,0)</f>
        <v>0</v>
      </c>
    </row>
    <row r="1809" spans="1:11" ht="12.75" hidden="1" customHeight="1" x14ac:dyDescent="0.2">
      <c r="A1809" s="8">
        <v>46</v>
      </c>
      <c r="B1809" s="8"/>
      <c r="C1809" s="8" t="s">
        <v>10</v>
      </c>
      <c r="D1809" s="12">
        <v>45047</v>
      </c>
      <c r="E1809" s="8">
        <v>39298.5</v>
      </c>
      <c r="F1809" s="10">
        <f>IF(ISTEXT(Таблицаx_2[[#This Row],[Значение]]), 0, Таблицаx_2[[#This Row],[Значение]])</f>
        <v>39298.5</v>
      </c>
      <c r="G1809" s="12">
        <v>44896</v>
      </c>
      <c r="H1809" s="10" t="str">
        <f>IFERROR(VLOOKUP(Таблицаx_2[[#This Row],[id]],prolongations!A:C,2,)," ")</f>
        <v>декабрь 2022</v>
      </c>
      <c r="I1809" s="10">
        <f>IF(Таблицаx_2[[#This Row],[Месяц окончания]]=Таблицаx_2[[#This Row],[Месяц]],Таблицаx_2[[#This Row],[Значения числа]],0)</f>
        <v>0</v>
      </c>
      <c r="J1809" s="8">
        <f>IF(AND(Таблицаx_2[[#This Row],[Месяц окончания]]=Таблицаx_2[[#This Row],[Месяц]],Таблицаx_2[[#This Row],[id]]=A1810,EDATE(Таблицаx_2[[#This Row],[Месяц]],1)=D1810),F1810,0)</f>
        <v>0</v>
      </c>
      <c r="K1809" s="8">
        <f>IF(AND(Таблицаx_2[[#This Row],[Месяц окончания]]=Таблицаx_2[[#This Row],[Месяц]],Таблицаx_2[[#This Row],[id]]=A1810,EDATE(Таблицаx_2[[#This Row],[Месяц]],2)=D1810),F1810,0)</f>
        <v>0</v>
      </c>
    </row>
    <row r="1810" spans="1:11" ht="12.75" hidden="1" customHeight="1" x14ac:dyDescent="0.2">
      <c r="A1810" s="8">
        <v>46</v>
      </c>
      <c r="B1810" s="8"/>
      <c r="C1810" s="8" t="s">
        <v>10</v>
      </c>
      <c r="D1810" s="12">
        <v>45078</v>
      </c>
      <c r="E1810" s="8">
        <v>39298.5</v>
      </c>
      <c r="F1810" s="10">
        <f>IF(ISTEXT(Таблицаx_2[[#This Row],[Значение]]), 0, Таблицаx_2[[#This Row],[Значение]])</f>
        <v>39298.5</v>
      </c>
      <c r="G1810" s="12">
        <v>44896</v>
      </c>
      <c r="H1810" s="10" t="str">
        <f>IFERROR(VLOOKUP(Таблицаx_2[[#This Row],[id]],prolongations!A:C,2,)," ")</f>
        <v>декабрь 2022</v>
      </c>
      <c r="I1810" s="10">
        <f>IF(Таблицаx_2[[#This Row],[Месяц окончания]]=Таблицаx_2[[#This Row],[Месяц]],Таблицаx_2[[#This Row],[Значения числа]],0)</f>
        <v>0</v>
      </c>
      <c r="J1810" s="8">
        <f>IF(AND(Таблицаx_2[[#This Row],[Месяц окончания]]=Таблицаx_2[[#This Row],[Месяц]],Таблицаx_2[[#This Row],[id]]=A1811,EDATE(Таблицаx_2[[#This Row],[Месяц]],1)=D1811),F1811,0)</f>
        <v>0</v>
      </c>
      <c r="K1810" s="8">
        <f>IF(AND(Таблицаx_2[[#This Row],[Месяц окончания]]=Таблицаx_2[[#This Row],[Месяц]],Таблицаx_2[[#This Row],[id]]=A1811,EDATE(Таблицаx_2[[#This Row],[Месяц]],2)=D1811),F1811,0)</f>
        <v>0</v>
      </c>
    </row>
    <row r="1811" spans="1:11" ht="12.75" hidden="1" customHeight="1" x14ac:dyDescent="0.2">
      <c r="A1811" s="8">
        <v>46</v>
      </c>
      <c r="B1811" s="8"/>
      <c r="C1811" s="8" t="s">
        <v>10</v>
      </c>
      <c r="D1811" s="12">
        <v>45108</v>
      </c>
      <c r="E1811" s="8">
        <v>39298.5</v>
      </c>
      <c r="F1811" s="10">
        <f>IF(ISTEXT(Таблицаx_2[[#This Row],[Значение]]), 0, Таблицаx_2[[#This Row],[Значение]])</f>
        <v>39298.5</v>
      </c>
      <c r="G1811" s="12">
        <v>44896</v>
      </c>
      <c r="H1811" s="10" t="str">
        <f>IFERROR(VLOOKUP(Таблицаx_2[[#This Row],[id]],prolongations!A:C,2,)," ")</f>
        <v>декабрь 2022</v>
      </c>
      <c r="I1811" s="10">
        <f>IF(Таблицаx_2[[#This Row],[Месяц окончания]]=Таблицаx_2[[#This Row],[Месяц]],Таблицаx_2[[#This Row],[Значения числа]],0)</f>
        <v>0</v>
      </c>
      <c r="J1811" s="8">
        <f>IF(AND(Таблицаx_2[[#This Row],[Месяц окончания]]=Таблицаx_2[[#This Row],[Месяц]],Таблицаx_2[[#This Row],[id]]=A1812,EDATE(Таблицаx_2[[#This Row],[Месяц]],1)=D1812),F1812,0)</f>
        <v>0</v>
      </c>
      <c r="K1811" s="8">
        <f>IF(AND(Таблицаx_2[[#This Row],[Месяц окончания]]=Таблицаx_2[[#This Row],[Месяц]],Таблицаx_2[[#This Row],[id]]=A1812,EDATE(Таблицаx_2[[#This Row],[Месяц]],2)=D1812),F1812,0)</f>
        <v>0</v>
      </c>
    </row>
    <row r="1812" spans="1:11" ht="12.75" hidden="1" customHeight="1" x14ac:dyDescent="0.2">
      <c r="A1812" s="8">
        <v>46</v>
      </c>
      <c r="B1812" s="8"/>
      <c r="C1812" s="8" t="s">
        <v>10</v>
      </c>
      <c r="D1812" s="12">
        <v>45139</v>
      </c>
      <c r="E1812" s="8">
        <v>39298.5</v>
      </c>
      <c r="F1812" s="10">
        <f>IF(ISTEXT(Таблицаx_2[[#This Row],[Значение]]), 0, Таблицаx_2[[#This Row],[Значение]])</f>
        <v>39298.5</v>
      </c>
      <c r="G1812" s="12">
        <v>44896</v>
      </c>
      <c r="H1812" s="10" t="str">
        <f>IFERROR(VLOOKUP(Таблицаx_2[[#This Row],[id]],prolongations!A:C,2,)," ")</f>
        <v>декабрь 2022</v>
      </c>
      <c r="I1812" s="10">
        <f>IF(Таблицаx_2[[#This Row],[Месяц окончания]]=Таблицаx_2[[#This Row],[Месяц]],Таблицаx_2[[#This Row],[Значения числа]],0)</f>
        <v>0</v>
      </c>
      <c r="J1812" s="8">
        <f>IF(AND(Таблицаx_2[[#This Row],[Месяц окончания]]=Таблицаx_2[[#This Row],[Месяц]],Таблицаx_2[[#This Row],[id]]=A1813,EDATE(Таблицаx_2[[#This Row],[Месяц]],1)=D1813),F1813,0)</f>
        <v>0</v>
      </c>
      <c r="K1812" s="8">
        <f>IF(AND(Таблицаx_2[[#This Row],[Месяц окончания]]=Таблицаx_2[[#This Row],[Месяц]],Таблицаx_2[[#This Row],[id]]=A1813,EDATE(Таблицаx_2[[#This Row],[Месяц]],2)=D1813),F1813,0)</f>
        <v>0</v>
      </c>
    </row>
    <row r="1813" spans="1:11" ht="12.75" hidden="1" customHeight="1" x14ac:dyDescent="0.2">
      <c r="A1813" s="8">
        <v>46</v>
      </c>
      <c r="B1813" s="8"/>
      <c r="C1813" s="8" t="s">
        <v>10</v>
      </c>
      <c r="D1813" s="12">
        <v>45170</v>
      </c>
      <c r="E1813" s="8">
        <v>39298.5</v>
      </c>
      <c r="F1813" s="10">
        <f>IF(ISTEXT(Таблицаx_2[[#This Row],[Значение]]), 0, Таблицаx_2[[#This Row],[Значение]])</f>
        <v>39298.5</v>
      </c>
      <c r="G1813" s="12">
        <v>44896</v>
      </c>
      <c r="H1813" s="10" t="str">
        <f>IFERROR(VLOOKUP(Таблицаx_2[[#This Row],[id]],prolongations!A:C,2,)," ")</f>
        <v>декабрь 2022</v>
      </c>
      <c r="I1813" s="10">
        <f>IF(Таблицаx_2[[#This Row],[Месяц окончания]]=Таблицаx_2[[#This Row],[Месяц]],Таблицаx_2[[#This Row],[Значения числа]],0)</f>
        <v>0</v>
      </c>
      <c r="J1813" s="8">
        <f>IF(AND(Таблицаx_2[[#This Row],[Месяц окончания]]=Таблицаx_2[[#This Row],[Месяц]],Таблицаx_2[[#This Row],[id]]=A1814,EDATE(Таблицаx_2[[#This Row],[Месяц]],1)=D1814),F1814,0)</f>
        <v>0</v>
      </c>
      <c r="K1813" s="8">
        <f>IF(AND(Таблицаx_2[[#This Row],[Месяц окончания]]=Таблицаx_2[[#This Row],[Месяц]],Таблицаx_2[[#This Row],[id]]=A1814,EDATE(Таблицаx_2[[#This Row],[Месяц]],2)=D1814),F1814,0)</f>
        <v>0</v>
      </c>
    </row>
    <row r="1814" spans="1:11" ht="12.75" hidden="1" customHeight="1" x14ac:dyDescent="0.2">
      <c r="A1814" s="8">
        <v>46</v>
      </c>
      <c r="B1814" s="8"/>
      <c r="C1814" s="8" t="s">
        <v>10</v>
      </c>
      <c r="D1814" s="12">
        <v>45200</v>
      </c>
      <c r="E1814" s="8">
        <v>39298.5</v>
      </c>
      <c r="F1814" s="10">
        <f>IF(ISTEXT(Таблицаx_2[[#This Row],[Значение]]), 0, Таблицаx_2[[#This Row],[Значение]])</f>
        <v>39298.5</v>
      </c>
      <c r="G1814" s="12">
        <v>44896</v>
      </c>
      <c r="H1814" s="10" t="str">
        <f>IFERROR(VLOOKUP(Таблицаx_2[[#This Row],[id]],prolongations!A:C,2,)," ")</f>
        <v>декабрь 2022</v>
      </c>
      <c r="I1814" s="10">
        <f>IF(Таблицаx_2[[#This Row],[Месяц окончания]]=Таблицаx_2[[#This Row],[Месяц]],Таблицаx_2[[#This Row],[Значения числа]],0)</f>
        <v>0</v>
      </c>
      <c r="J1814" s="8">
        <f>IF(AND(Таблицаx_2[[#This Row],[Месяц окончания]]=Таблицаx_2[[#This Row],[Месяц]],Таблицаx_2[[#This Row],[id]]=A1815,EDATE(Таблицаx_2[[#This Row],[Месяц]],1)=D1815),F1815,0)</f>
        <v>0</v>
      </c>
      <c r="K1814" s="8">
        <f>IF(AND(Таблицаx_2[[#This Row],[Месяц окончания]]=Таблицаx_2[[#This Row],[Месяц]],Таблицаx_2[[#This Row],[id]]=A1815,EDATE(Таблицаx_2[[#This Row],[Месяц]],2)=D1815),F1815,0)</f>
        <v>0</v>
      </c>
    </row>
    <row r="1815" spans="1:11" ht="12.75" hidden="1" customHeight="1" x14ac:dyDescent="0.2">
      <c r="A1815" s="8">
        <v>46</v>
      </c>
      <c r="B1815" s="8"/>
      <c r="C1815" s="8" t="s">
        <v>10</v>
      </c>
      <c r="D1815" s="12">
        <v>45231</v>
      </c>
      <c r="E1815" s="8">
        <v>39298.5</v>
      </c>
      <c r="F1815" s="10">
        <f>IF(ISTEXT(Таблицаx_2[[#This Row],[Значение]]), 0, Таблицаx_2[[#This Row],[Значение]])</f>
        <v>39298.5</v>
      </c>
      <c r="G1815" s="12">
        <v>44896</v>
      </c>
      <c r="H1815" s="10" t="str">
        <f>IFERROR(VLOOKUP(Таблицаx_2[[#This Row],[id]],prolongations!A:C,2,)," ")</f>
        <v>декабрь 2022</v>
      </c>
      <c r="I1815" s="10">
        <f>IF(Таблицаx_2[[#This Row],[Месяц окончания]]=Таблицаx_2[[#This Row],[Месяц]],Таблицаx_2[[#This Row],[Значения числа]],0)</f>
        <v>0</v>
      </c>
      <c r="J1815" s="8">
        <f>IF(AND(Таблицаx_2[[#This Row],[Месяц окончания]]=Таблицаx_2[[#This Row],[Месяц]],Таблицаx_2[[#This Row],[id]]=A1816,EDATE(Таблицаx_2[[#This Row],[Месяц]],1)=D1816),F1816,0)</f>
        <v>0</v>
      </c>
      <c r="K1815" s="8">
        <f>IF(AND(Таблицаx_2[[#This Row],[Месяц окончания]]=Таблицаx_2[[#This Row],[Месяц]],Таблицаx_2[[#This Row],[id]]=A1816,EDATE(Таблицаx_2[[#This Row],[Месяц]],2)=D1816),F1816,0)</f>
        <v>0</v>
      </c>
    </row>
    <row r="1816" spans="1:11" ht="12.75" hidden="1" customHeight="1" x14ac:dyDescent="0.2">
      <c r="A1816" s="8">
        <v>46</v>
      </c>
      <c r="B1816" s="8"/>
      <c r="C1816" s="8" t="s">
        <v>10</v>
      </c>
      <c r="D1816" s="12">
        <v>45261</v>
      </c>
      <c r="E1816" s="8">
        <v>39298.5</v>
      </c>
      <c r="F1816" s="10">
        <f>IF(ISTEXT(Таблицаx_2[[#This Row],[Значение]]), 0, Таблицаx_2[[#This Row],[Значение]])</f>
        <v>39298.5</v>
      </c>
      <c r="G1816" s="12">
        <v>44896</v>
      </c>
      <c r="H1816" s="10" t="str">
        <f>IFERROR(VLOOKUP(Таблицаx_2[[#This Row],[id]],prolongations!A:C,2,)," ")</f>
        <v>декабрь 2022</v>
      </c>
      <c r="I1816" s="10">
        <f>IF(Таблицаx_2[[#This Row],[Месяц окончания]]=Таблицаx_2[[#This Row],[Месяц]],Таблицаx_2[[#This Row],[Значения числа]],0)</f>
        <v>0</v>
      </c>
      <c r="J1816" s="8">
        <f>IF(AND(Таблицаx_2[[#This Row],[Месяц окончания]]=Таблицаx_2[[#This Row],[Месяц]],Таблицаx_2[[#This Row],[id]]=A1817,EDATE(Таблицаx_2[[#This Row],[Месяц]],1)=D1817),F1817,0)</f>
        <v>0</v>
      </c>
      <c r="K1816" s="8">
        <f>IF(AND(Таблицаx_2[[#This Row],[Месяц окончания]]=Таблицаx_2[[#This Row],[Месяц]],Таблицаx_2[[#This Row],[id]]=A1817,EDATE(Таблицаx_2[[#This Row],[Месяц]],2)=D1817),F1817,0)</f>
        <v>0</v>
      </c>
    </row>
    <row r="1817" spans="1:11" ht="12.75" hidden="1" customHeight="1" x14ac:dyDescent="0.2">
      <c r="A1817" s="8">
        <v>49</v>
      </c>
      <c r="B1817" s="8"/>
      <c r="C1817" s="8" t="s">
        <v>10</v>
      </c>
      <c r="D1817" s="12">
        <v>44866</v>
      </c>
      <c r="E1817" s="8">
        <v>85842</v>
      </c>
      <c r="F1817" s="10">
        <f>IF(ISTEXT(Таблицаx_2[[#This Row],[Значение]]), 0, Таблицаx_2[[#This Row],[Значение]])</f>
        <v>85842</v>
      </c>
      <c r="G1817" s="12">
        <v>44896</v>
      </c>
      <c r="H1817" s="10" t="str">
        <f>IFERROR(VLOOKUP(Таблицаx_2[[#This Row],[id]],prolongations!A:C,2,)," ")</f>
        <v>декабрь 2022</v>
      </c>
      <c r="I1817" s="10">
        <f>IF(Таблицаx_2[[#This Row],[Месяц окончания]]=Таблицаx_2[[#This Row],[Месяц]],Таблицаx_2[[#This Row],[Значения числа]],0)</f>
        <v>0</v>
      </c>
      <c r="J1817" s="8">
        <f>IF(AND(Таблицаx_2[[#This Row],[Месяц окончания]]=Таблицаx_2[[#This Row],[Месяц]],Таблицаx_2[[#This Row],[id]]=A1818,EDATE(Таблицаx_2[[#This Row],[Месяц]],1)=D1818),F1818,0)</f>
        <v>0</v>
      </c>
      <c r="K1817" s="8">
        <f>IF(AND(Таблицаx_2[[#This Row],[Месяц окончания]]=Таблицаx_2[[#This Row],[Месяц]],Таблицаx_2[[#This Row],[id]]=A1818,EDATE(Таблицаx_2[[#This Row],[Месяц]],2)=D1818),F1818,0)</f>
        <v>0</v>
      </c>
    </row>
    <row r="1818" spans="1:11" hidden="1" x14ac:dyDescent="0.2">
      <c r="A1818" s="8">
        <v>49</v>
      </c>
      <c r="B1818" s="8"/>
      <c r="C1818" s="8" t="s">
        <v>10</v>
      </c>
      <c r="D1818" s="12">
        <v>44896</v>
      </c>
      <c r="E1818" s="8">
        <v>85842</v>
      </c>
      <c r="F1818" s="10">
        <f>IF(ISTEXT(Таблицаx_2[[#This Row],[Значение]]), 0, Таблицаx_2[[#This Row],[Значение]])</f>
        <v>85842</v>
      </c>
      <c r="G1818" s="12">
        <v>44896</v>
      </c>
      <c r="H1818" s="10" t="str">
        <f>IFERROR(VLOOKUP(Таблицаx_2[[#This Row],[id]],prolongations!A:C,2,)," ")</f>
        <v>декабрь 2022</v>
      </c>
      <c r="I1818" s="10">
        <f>IF(Таблицаx_2[[#This Row],[Месяц окончания]]=Таблицаx_2[[#This Row],[Месяц]],Таблицаx_2[[#This Row],[Значения числа]],0)</f>
        <v>85842</v>
      </c>
      <c r="J1818" s="8">
        <f>IF(AND(Таблицаx_2[[#This Row],[Месяц окончания]]=Таблицаx_2[[#This Row],[Месяц]],Таблицаx_2[[#This Row],[id]]=A1819,EDATE(Таблицаx_2[[#This Row],[Месяц]],1)=D1819),F1819,0)</f>
        <v>83358</v>
      </c>
      <c r="K1818" s="8">
        <f>IF(AND(Таблицаx_2[[#This Row],[Месяц окончания]]=Таблицаx_2[[#This Row],[Месяц]],Таблицаx_2[[#This Row],[id]]=A1819,EDATE(Таблицаx_2[[#This Row],[Месяц]],2)=D1819),F1819,0)</f>
        <v>0</v>
      </c>
    </row>
    <row r="1819" spans="1:11" ht="12.75" hidden="1" customHeight="1" x14ac:dyDescent="0.2">
      <c r="A1819" s="8">
        <v>49</v>
      </c>
      <c r="B1819" s="8"/>
      <c r="C1819" s="8" t="s">
        <v>10</v>
      </c>
      <c r="D1819" s="12">
        <v>44927</v>
      </c>
      <c r="E1819" s="8">
        <v>83358</v>
      </c>
      <c r="F1819" s="10">
        <f>IF(ISTEXT(Таблицаx_2[[#This Row],[Значение]]), 0, Таблицаx_2[[#This Row],[Значение]])</f>
        <v>83358</v>
      </c>
      <c r="G1819" s="12">
        <v>44896</v>
      </c>
      <c r="H1819" s="10" t="str">
        <f>IFERROR(VLOOKUP(Таблицаx_2[[#This Row],[id]],prolongations!A:C,2,)," ")</f>
        <v>декабрь 2022</v>
      </c>
      <c r="I1819" s="10">
        <f>IF(Таблицаx_2[[#This Row],[Месяц окончания]]=Таблицаx_2[[#This Row],[Месяц]],Таблицаx_2[[#This Row],[Значения числа]],0)</f>
        <v>0</v>
      </c>
      <c r="J1819" s="8">
        <f>IF(AND(Таблицаx_2[[#This Row],[Месяц окончания]]=Таблицаx_2[[#This Row],[Месяц]],Таблицаx_2[[#This Row],[id]]=A1820,EDATE(Таблицаx_2[[#This Row],[Месяц]],1)=D1820),F1820,0)</f>
        <v>0</v>
      </c>
      <c r="K1819" s="8">
        <f>IF(AND(Таблицаx_2[[#This Row],[Месяц окончания]]=Таблицаx_2[[#This Row],[Месяц]],Таблицаx_2[[#This Row],[id]]=A1820,EDATE(Таблицаx_2[[#This Row],[Месяц]],2)=D1820),F1820,0)</f>
        <v>0</v>
      </c>
    </row>
    <row r="1820" spans="1:11" ht="12.75" hidden="1" customHeight="1" x14ac:dyDescent="0.2">
      <c r="A1820" s="8">
        <v>49</v>
      </c>
      <c r="B1820" s="8"/>
      <c r="C1820" s="8" t="s">
        <v>10</v>
      </c>
      <c r="D1820" s="12">
        <v>44958</v>
      </c>
      <c r="E1820" s="8">
        <v>83358</v>
      </c>
      <c r="F1820" s="10">
        <f>IF(ISTEXT(Таблицаx_2[[#This Row],[Значение]]), 0, Таблицаx_2[[#This Row],[Значение]])</f>
        <v>83358</v>
      </c>
      <c r="G1820" s="12">
        <v>44896</v>
      </c>
      <c r="H1820" s="10" t="str">
        <f>IFERROR(VLOOKUP(Таблицаx_2[[#This Row],[id]],prolongations!A:C,2,)," ")</f>
        <v>декабрь 2022</v>
      </c>
      <c r="I1820" s="10">
        <f>IF(Таблицаx_2[[#This Row],[Месяц окончания]]=Таблицаx_2[[#This Row],[Месяц]],Таблицаx_2[[#This Row],[Значения числа]],0)</f>
        <v>0</v>
      </c>
      <c r="J1820" s="8">
        <f>IF(AND(Таблицаx_2[[#This Row],[Месяц окончания]]=Таблицаx_2[[#This Row],[Месяц]],Таблицаx_2[[#This Row],[id]]=A1821,EDATE(Таблицаx_2[[#This Row],[Месяц]],1)=D1821),F1821,0)</f>
        <v>0</v>
      </c>
      <c r="K1820" s="8">
        <f>IF(AND(Таблицаx_2[[#This Row],[Месяц окончания]]=Таблицаx_2[[#This Row],[Месяц]],Таблицаx_2[[#This Row],[id]]=A1821,EDATE(Таблицаx_2[[#This Row],[Месяц]],2)=D1821),F1821,0)</f>
        <v>0</v>
      </c>
    </row>
    <row r="1821" spans="1:11" ht="12.75" hidden="1" customHeight="1" x14ac:dyDescent="0.2">
      <c r="A1821" s="8">
        <v>49</v>
      </c>
      <c r="B1821" s="8"/>
      <c r="C1821" s="8" t="s">
        <v>10</v>
      </c>
      <c r="D1821" s="12">
        <v>44986</v>
      </c>
      <c r="E1821" s="8">
        <v>83358</v>
      </c>
      <c r="F1821" s="10">
        <f>IF(ISTEXT(Таблицаx_2[[#This Row],[Значение]]), 0, Таблицаx_2[[#This Row],[Значение]])</f>
        <v>83358</v>
      </c>
      <c r="G1821" s="12">
        <v>44896</v>
      </c>
      <c r="H1821" s="10" t="str">
        <f>IFERROR(VLOOKUP(Таблицаx_2[[#This Row],[id]],prolongations!A:C,2,)," ")</f>
        <v>декабрь 2022</v>
      </c>
      <c r="I1821" s="10">
        <f>IF(Таблицаx_2[[#This Row],[Месяц окончания]]=Таблицаx_2[[#This Row],[Месяц]],Таблицаx_2[[#This Row],[Значения числа]],0)</f>
        <v>0</v>
      </c>
      <c r="J1821" s="8">
        <f>IF(AND(Таблицаx_2[[#This Row],[Месяц окончания]]=Таблицаx_2[[#This Row],[Месяц]],Таблицаx_2[[#This Row],[id]]=A1822,EDATE(Таблицаx_2[[#This Row],[Месяц]],1)=D1822),F1822,0)</f>
        <v>0</v>
      </c>
      <c r="K1821" s="8">
        <f>IF(AND(Таблицаx_2[[#This Row],[Месяц окончания]]=Таблицаx_2[[#This Row],[Месяц]],Таблицаx_2[[#This Row],[id]]=A1822,EDATE(Таблицаx_2[[#This Row],[Месяц]],2)=D1822),F1822,0)</f>
        <v>0</v>
      </c>
    </row>
    <row r="1822" spans="1:11" ht="12.75" hidden="1" customHeight="1" x14ac:dyDescent="0.2">
      <c r="A1822" s="8">
        <v>49</v>
      </c>
      <c r="B1822" s="8"/>
      <c r="C1822" s="8" t="s">
        <v>10</v>
      </c>
      <c r="D1822" s="12">
        <v>45017</v>
      </c>
      <c r="E1822" s="8">
        <v>83358</v>
      </c>
      <c r="F1822" s="10">
        <f>IF(ISTEXT(Таблицаx_2[[#This Row],[Значение]]), 0, Таблицаx_2[[#This Row],[Значение]])</f>
        <v>83358</v>
      </c>
      <c r="G1822" s="12">
        <v>44896</v>
      </c>
      <c r="H1822" s="10" t="str">
        <f>IFERROR(VLOOKUP(Таблицаx_2[[#This Row],[id]],prolongations!A:C,2,)," ")</f>
        <v>декабрь 2022</v>
      </c>
      <c r="I1822" s="10">
        <f>IF(Таблицаx_2[[#This Row],[Месяц окончания]]=Таблицаx_2[[#This Row],[Месяц]],Таблицаx_2[[#This Row],[Значения числа]],0)</f>
        <v>0</v>
      </c>
      <c r="J1822" s="8">
        <f>IF(AND(Таблицаx_2[[#This Row],[Месяц окончания]]=Таблицаx_2[[#This Row],[Месяц]],Таблицаx_2[[#This Row],[id]]=A1823,EDATE(Таблицаx_2[[#This Row],[Месяц]],1)=D1823),F1823,0)</f>
        <v>0</v>
      </c>
      <c r="K1822" s="8">
        <f>IF(AND(Таблицаx_2[[#This Row],[Месяц окончания]]=Таблицаx_2[[#This Row],[Месяц]],Таблицаx_2[[#This Row],[id]]=A1823,EDATE(Таблицаx_2[[#This Row],[Месяц]],2)=D1823),F1823,0)</f>
        <v>0</v>
      </c>
    </row>
    <row r="1823" spans="1:11" ht="12.75" hidden="1" customHeight="1" x14ac:dyDescent="0.2">
      <c r="A1823" s="8">
        <v>49</v>
      </c>
      <c r="B1823" s="8"/>
      <c r="C1823" s="8" t="s">
        <v>10</v>
      </c>
      <c r="D1823" s="12">
        <v>45047</v>
      </c>
      <c r="E1823" s="8">
        <v>83358</v>
      </c>
      <c r="F1823" s="10">
        <f>IF(ISTEXT(Таблицаx_2[[#This Row],[Значение]]), 0, Таблицаx_2[[#This Row],[Значение]])</f>
        <v>83358</v>
      </c>
      <c r="G1823" s="12">
        <v>44896</v>
      </c>
      <c r="H1823" s="10" t="str">
        <f>IFERROR(VLOOKUP(Таблицаx_2[[#This Row],[id]],prolongations!A:C,2,)," ")</f>
        <v>декабрь 2022</v>
      </c>
      <c r="I1823" s="10">
        <f>IF(Таблицаx_2[[#This Row],[Месяц окончания]]=Таблицаx_2[[#This Row],[Месяц]],Таблицаx_2[[#This Row],[Значения числа]],0)</f>
        <v>0</v>
      </c>
      <c r="J1823" s="8">
        <f>IF(AND(Таблицаx_2[[#This Row],[Месяц окончания]]=Таблицаx_2[[#This Row],[Месяц]],Таблицаx_2[[#This Row],[id]]=A1824,EDATE(Таблицаx_2[[#This Row],[Месяц]],1)=D1824),F1824,0)</f>
        <v>0</v>
      </c>
      <c r="K1823" s="8">
        <f>IF(AND(Таблицаx_2[[#This Row],[Месяц окончания]]=Таблицаx_2[[#This Row],[Месяц]],Таблицаx_2[[#This Row],[id]]=A1824,EDATE(Таблицаx_2[[#This Row],[Месяц]],2)=D1824),F1824,0)</f>
        <v>0</v>
      </c>
    </row>
    <row r="1824" spans="1:11" ht="12.75" hidden="1" customHeight="1" x14ac:dyDescent="0.2">
      <c r="A1824" s="8">
        <v>49</v>
      </c>
      <c r="B1824" s="8"/>
      <c r="C1824" s="8" t="s">
        <v>10</v>
      </c>
      <c r="D1824" s="12">
        <v>45078</v>
      </c>
      <c r="E1824" s="8">
        <v>83358</v>
      </c>
      <c r="F1824" s="10">
        <f>IF(ISTEXT(Таблицаx_2[[#This Row],[Значение]]), 0, Таблицаx_2[[#This Row],[Значение]])</f>
        <v>83358</v>
      </c>
      <c r="G1824" s="12">
        <v>44896</v>
      </c>
      <c r="H1824" s="10" t="str">
        <f>IFERROR(VLOOKUP(Таблицаx_2[[#This Row],[id]],prolongations!A:C,2,)," ")</f>
        <v>декабрь 2022</v>
      </c>
      <c r="I1824" s="10">
        <f>IF(Таблицаx_2[[#This Row],[Месяц окончания]]=Таблицаx_2[[#This Row],[Месяц]],Таблицаx_2[[#This Row],[Значения числа]],0)</f>
        <v>0</v>
      </c>
      <c r="J1824" s="8">
        <f>IF(AND(Таблицаx_2[[#This Row],[Месяц окончания]]=Таблицаx_2[[#This Row],[Месяц]],Таблицаx_2[[#This Row],[id]]=A1825,EDATE(Таблицаx_2[[#This Row],[Месяц]],1)=D1825),F1825,0)</f>
        <v>0</v>
      </c>
      <c r="K1824" s="8">
        <f>IF(AND(Таблицаx_2[[#This Row],[Месяц окончания]]=Таблицаx_2[[#This Row],[Месяц]],Таблицаx_2[[#This Row],[id]]=A1825,EDATE(Таблицаx_2[[#This Row],[Месяц]],2)=D1825),F1825,0)</f>
        <v>0</v>
      </c>
    </row>
    <row r="1825" spans="1:11" ht="12.75" hidden="1" customHeight="1" x14ac:dyDescent="0.2">
      <c r="A1825" s="8">
        <v>49</v>
      </c>
      <c r="B1825" s="8"/>
      <c r="C1825" s="8" t="s">
        <v>10</v>
      </c>
      <c r="D1825" s="12">
        <v>45108</v>
      </c>
      <c r="E1825" s="8">
        <v>84582</v>
      </c>
      <c r="F1825" s="10">
        <f>IF(ISTEXT(Таблицаx_2[[#This Row],[Значение]]), 0, Таблицаx_2[[#This Row],[Значение]])</f>
        <v>84582</v>
      </c>
      <c r="G1825" s="12">
        <v>44896</v>
      </c>
      <c r="H1825" s="10" t="str">
        <f>IFERROR(VLOOKUP(Таблицаx_2[[#This Row],[id]],prolongations!A:C,2,)," ")</f>
        <v>декабрь 2022</v>
      </c>
      <c r="I1825" s="10">
        <f>IF(Таблицаx_2[[#This Row],[Месяц окончания]]=Таблицаx_2[[#This Row],[Месяц]],Таблицаx_2[[#This Row],[Значения числа]],0)</f>
        <v>0</v>
      </c>
      <c r="J1825" s="8">
        <f>IF(AND(Таблицаx_2[[#This Row],[Месяц окончания]]=Таблицаx_2[[#This Row],[Месяц]],Таблицаx_2[[#This Row],[id]]=A1826,EDATE(Таблицаx_2[[#This Row],[Месяц]],1)=D1826),F1826,0)</f>
        <v>0</v>
      </c>
      <c r="K1825" s="8">
        <f>IF(AND(Таблицаx_2[[#This Row],[Месяц окончания]]=Таблицаx_2[[#This Row],[Месяц]],Таблицаx_2[[#This Row],[id]]=A1826,EDATE(Таблицаx_2[[#This Row],[Месяц]],2)=D1826),F1826,0)</f>
        <v>0</v>
      </c>
    </row>
    <row r="1826" spans="1:11" ht="12.75" hidden="1" customHeight="1" x14ac:dyDescent="0.2">
      <c r="A1826" s="8">
        <v>49</v>
      </c>
      <c r="B1826" s="8"/>
      <c r="C1826" s="8" t="s">
        <v>10</v>
      </c>
      <c r="D1826" s="12">
        <v>45139</v>
      </c>
      <c r="E1826" s="8">
        <v>84582</v>
      </c>
      <c r="F1826" s="10">
        <f>IF(ISTEXT(Таблицаx_2[[#This Row],[Значение]]), 0, Таблицаx_2[[#This Row],[Значение]])</f>
        <v>84582</v>
      </c>
      <c r="G1826" s="12">
        <v>44896</v>
      </c>
      <c r="H1826" s="10" t="str">
        <f>IFERROR(VLOOKUP(Таблицаx_2[[#This Row],[id]],prolongations!A:C,2,)," ")</f>
        <v>декабрь 2022</v>
      </c>
      <c r="I1826" s="10">
        <f>IF(Таблицаx_2[[#This Row],[Месяц окончания]]=Таблицаx_2[[#This Row],[Месяц]],Таблицаx_2[[#This Row],[Значения числа]],0)</f>
        <v>0</v>
      </c>
      <c r="J1826" s="8">
        <f>IF(AND(Таблицаx_2[[#This Row],[Месяц окончания]]=Таблицаx_2[[#This Row],[Месяц]],Таблицаx_2[[#This Row],[id]]=A1827,EDATE(Таблицаx_2[[#This Row],[Месяц]],1)=D1827),F1827,0)</f>
        <v>0</v>
      </c>
      <c r="K1826" s="8">
        <f>IF(AND(Таблицаx_2[[#This Row],[Месяц окончания]]=Таблицаx_2[[#This Row],[Месяц]],Таблицаx_2[[#This Row],[id]]=A1827,EDATE(Таблицаx_2[[#This Row],[Месяц]],2)=D1827),F1827,0)</f>
        <v>0</v>
      </c>
    </row>
    <row r="1827" spans="1:11" ht="12.75" hidden="1" customHeight="1" x14ac:dyDescent="0.2">
      <c r="A1827" s="8">
        <v>49</v>
      </c>
      <c r="B1827" s="8"/>
      <c r="C1827" s="8" t="s">
        <v>10</v>
      </c>
      <c r="D1827" s="12">
        <v>45170</v>
      </c>
      <c r="E1827" s="8">
        <v>84582</v>
      </c>
      <c r="F1827" s="10">
        <f>IF(ISTEXT(Таблицаx_2[[#This Row],[Значение]]), 0, Таблицаx_2[[#This Row],[Значение]])</f>
        <v>84582</v>
      </c>
      <c r="G1827" s="12">
        <v>44896</v>
      </c>
      <c r="H1827" s="10" t="str">
        <f>IFERROR(VLOOKUP(Таблицаx_2[[#This Row],[id]],prolongations!A:C,2,)," ")</f>
        <v>декабрь 2022</v>
      </c>
      <c r="I1827" s="10">
        <f>IF(Таблицаx_2[[#This Row],[Месяц окончания]]=Таблицаx_2[[#This Row],[Месяц]],Таблицаx_2[[#This Row],[Значения числа]],0)</f>
        <v>0</v>
      </c>
      <c r="J1827" s="8">
        <f>IF(AND(Таблицаx_2[[#This Row],[Месяц окончания]]=Таблицаx_2[[#This Row],[Месяц]],Таблицаx_2[[#This Row],[id]]=A1828,EDATE(Таблицаx_2[[#This Row],[Месяц]],1)=D1828),F1828,0)</f>
        <v>0</v>
      </c>
      <c r="K1827" s="8">
        <f>IF(AND(Таблицаx_2[[#This Row],[Месяц окончания]]=Таблицаx_2[[#This Row],[Месяц]],Таблицаx_2[[#This Row],[id]]=A1828,EDATE(Таблицаx_2[[#This Row],[Месяц]],2)=D1828),F1828,0)</f>
        <v>0</v>
      </c>
    </row>
    <row r="1828" spans="1:11" ht="12.75" hidden="1" customHeight="1" x14ac:dyDescent="0.2">
      <c r="A1828" s="8">
        <v>49</v>
      </c>
      <c r="B1828" s="8"/>
      <c r="C1828" s="8" t="s">
        <v>10</v>
      </c>
      <c r="D1828" s="12">
        <v>45200</v>
      </c>
      <c r="E1828" s="8">
        <v>84582</v>
      </c>
      <c r="F1828" s="10">
        <f>IF(ISTEXT(Таблицаx_2[[#This Row],[Значение]]), 0, Таблицаx_2[[#This Row],[Значение]])</f>
        <v>84582</v>
      </c>
      <c r="G1828" s="12">
        <v>44896</v>
      </c>
      <c r="H1828" s="10" t="str">
        <f>IFERROR(VLOOKUP(Таблицаx_2[[#This Row],[id]],prolongations!A:C,2,)," ")</f>
        <v>декабрь 2022</v>
      </c>
      <c r="I1828" s="10">
        <f>IF(Таблицаx_2[[#This Row],[Месяц окончания]]=Таблицаx_2[[#This Row],[Месяц]],Таблицаx_2[[#This Row],[Значения числа]],0)</f>
        <v>0</v>
      </c>
      <c r="J1828" s="8">
        <f>IF(AND(Таблицаx_2[[#This Row],[Месяц окончания]]=Таблицаx_2[[#This Row],[Месяц]],Таблицаx_2[[#This Row],[id]]=A1829,EDATE(Таблицаx_2[[#This Row],[Месяц]],1)=D1829),F1829,0)</f>
        <v>0</v>
      </c>
      <c r="K1828" s="8">
        <f>IF(AND(Таблицаx_2[[#This Row],[Месяц окончания]]=Таблицаx_2[[#This Row],[Месяц]],Таблицаx_2[[#This Row],[id]]=A1829,EDATE(Таблицаx_2[[#This Row],[Месяц]],2)=D1829),F1829,0)</f>
        <v>0</v>
      </c>
    </row>
    <row r="1829" spans="1:11" ht="12.75" hidden="1" customHeight="1" x14ac:dyDescent="0.2">
      <c r="A1829" s="8">
        <v>49</v>
      </c>
      <c r="B1829" s="8"/>
      <c r="C1829" s="8" t="s">
        <v>10</v>
      </c>
      <c r="D1829" s="12">
        <v>45231</v>
      </c>
      <c r="E1829" s="8">
        <v>84582</v>
      </c>
      <c r="F1829" s="10">
        <f>IF(ISTEXT(Таблицаx_2[[#This Row],[Значение]]), 0, Таблицаx_2[[#This Row],[Значение]])</f>
        <v>84582</v>
      </c>
      <c r="G1829" s="12">
        <v>44896</v>
      </c>
      <c r="H1829" s="10" t="str">
        <f>IFERROR(VLOOKUP(Таблицаx_2[[#This Row],[id]],prolongations!A:C,2,)," ")</f>
        <v>декабрь 2022</v>
      </c>
      <c r="I1829" s="10">
        <f>IF(Таблицаx_2[[#This Row],[Месяц окончания]]=Таблицаx_2[[#This Row],[Месяц]],Таблицаx_2[[#This Row],[Значения числа]],0)</f>
        <v>0</v>
      </c>
      <c r="J1829" s="8">
        <f>IF(AND(Таблицаx_2[[#This Row],[Месяц окончания]]=Таблицаx_2[[#This Row],[Месяц]],Таблицаx_2[[#This Row],[id]]=A1830,EDATE(Таблицаx_2[[#This Row],[Месяц]],1)=D1830),F1830,0)</f>
        <v>0</v>
      </c>
      <c r="K1829" s="8">
        <f>IF(AND(Таблицаx_2[[#This Row],[Месяц окончания]]=Таблицаx_2[[#This Row],[Месяц]],Таблицаx_2[[#This Row],[id]]=A1830,EDATE(Таблицаx_2[[#This Row],[Месяц]],2)=D1830),F1830,0)</f>
        <v>0</v>
      </c>
    </row>
    <row r="1830" spans="1:11" ht="12.75" hidden="1" customHeight="1" x14ac:dyDescent="0.2">
      <c r="A1830" s="8">
        <v>49</v>
      </c>
      <c r="B1830" s="8"/>
      <c r="C1830" s="8" t="s">
        <v>10</v>
      </c>
      <c r="D1830" s="12">
        <v>45261</v>
      </c>
      <c r="E1830" s="8">
        <v>84582</v>
      </c>
      <c r="F1830" s="10">
        <f>IF(ISTEXT(Таблицаx_2[[#This Row],[Значение]]), 0, Таблицаx_2[[#This Row],[Значение]])</f>
        <v>84582</v>
      </c>
      <c r="G1830" s="12">
        <v>44896</v>
      </c>
      <c r="H1830" s="10" t="str">
        <f>IFERROR(VLOOKUP(Таблицаx_2[[#This Row],[id]],prolongations!A:C,2,)," ")</f>
        <v>декабрь 2022</v>
      </c>
      <c r="I1830" s="10">
        <f>IF(Таблицаx_2[[#This Row],[Месяц окончания]]=Таблицаx_2[[#This Row],[Месяц]],Таблицаx_2[[#This Row],[Значения числа]],0)</f>
        <v>0</v>
      </c>
      <c r="J1830" s="8">
        <f>IF(AND(Таблицаx_2[[#This Row],[Месяц окончания]]=Таблицаx_2[[#This Row],[Месяц]],Таблицаx_2[[#This Row],[id]]=A1831,EDATE(Таблицаx_2[[#This Row],[Месяц]],1)=D1831),F1831,0)</f>
        <v>0</v>
      </c>
      <c r="K1830" s="8">
        <f>IF(AND(Таблицаx_2[[#This Row],[Месяц окончания]]=Таблицаx_2[[#This Row],[Месяц]],Таблицаx_2[[#This Row],[id]]=A1831,EDATE(Таблицаx_2[[#This Row],[Месяц]],2)=D1831),F1831,0)</f>
        <v>0</v>
      </c>
    </row>
    <row r="1831" spans="1:11" ht="12.75" hidden="1" customHeight="1" x14ac:dyDescent="0.2">
      <c r="A1831" s="8">
        <v>54</v>
      </c>
      <c r="B1831" s="8"/>
      <c r="C1831" s="8" t="s">
        <v>10</v>
      </c>
      <c r="D1831" s="12">
        <v>44986</v>
      </c>
      <c r="E1831" s="8">
        <v>41067</v>
      </c>
      <c r="F1831" s="10">
        <f>IF(ISTEXT(Таблицаx_2[[#This Row],[Значение]]), 0, Таблицаx_2[[#This Row],[Значение]])</f>
        <v>41067</v>
      </c>
      <c r="G1831" s="12">
        <v>45261</v>
      </c>
      <c r="H1831" s="10" t="str">
        <f>IFERROR(VLOOKUP(Таблицаx_2[[#This Row],[id]],prolongations!A:C,2,)," ")</f>
        <v>декабрь 2023</v>
      </c>
      <c r="I1831" s="10">
        <f>IF(Таблицаx_2[[#This Row],[Месяц окончания]]=Таблицаx_2[[#This Row],[Месяц]],Таблицаx_2[[#This Row],[Значения числа]],0)</f>
        <v>0</v>
      </c>
      <c r="J1831" s="8">
        <f>IF(AND(Таблицаx_2[[#This Row],[Месяц окончания]]=Таблицаx_2[[#This Row],[Месяц]],Таблицаx_2[[#This Row],[id]]=A1832,EDATE(Таблицаx_2[[#This Row],[Месяц]],1)=D1832),F1832,0)</f>
        <v>0</v>
      </c>
      <c r="K1831" s="8">
        <f>IF(AND(Таблицаx_2[[#This Row],[Месяц окончания]]=Таблицаx_2[[#This Row],[Месяц]],Таблицаx_2[[#This Row],[id]]=A1832,EDATE(Таблицаx_2[[#This Row],[Месяц]],2)=D1832),F1832,0)</f>
        <v>0</v>
      </c>
    </row>
    <row r="1832" spans="1:11" ht="12.75" hidden="1" customHeight="1" x14ac:dyDescent="0.2">
      <c r="A1832" s="8">
        <v>54</v>
      </c>
      <c r="B1832" s="8"/>
      <c r="C1832" s="8" t="s">
        <v>10</v>
      </c>
      <c r="D1832" s="12">
        <v>45017</v>
      </c>
      <c r="E1832" s="8">
        <v>38461.5</v>
      </c>
      <c r="F1832" s="10">
        <f>IF(ISTEXT(Таблицаx_2[[#This Row],[Значение]]), 0, Таблицаx_2[[#This Row],[Значение]])</f>
        <v>38461.5</v>
      </c>
      <c r="G1832" s="12">
        <v>45261</v>
      </c>
      <c r="H1832" s="10" t="str">
        <f>IFERROR(VLOOKUP(Таблицаx_2[[#This Row],[id]],prolongations!A:C,2,)," ")</f>
        <v>декабрь 2023</v>
      </c>
      <c r="I1832" s="10">
        <f>IF(Таблицаx_2[[#This Row],[Месяц окончания]]=Таблицаx_2[[#This Row],[Месяц]],Таблицаx_2[[#This Row],[Значения числа]],0)</f>
        <v>0</v>
      </c>
      <c r="J1832" s="8">
        <f>IF(AND(Таблицаx_2[[#This Row],[Месяц окончания]]=Таблицаx_2[[#This Row],[Месяц]],Таблицаx_2[[#This Row],[id]]=A1833,EDATE(Таблицаx_2[[#This Row],[Месяц]],1)=D1833),F1833,0)</f>
        <v>0</v>
      </c>
      <c r="K1832" s="8">
        <f>IF(AND(Таблицаx_2[[#This Row],[Месяц окончания]]=Таблицаx_2[[#This Row],[Месяц]],Таблицаx_2[[#This Row],[id]]=A1833,EDATE(Таблицаx_2[[#This Row],[Месяц]],2)=D1833),F1833,0)</f>
        <v>0</v>
      </c>
    </row>
    <row r="1833" spans="1:11" ht="12.75" hidden="1" customHeight="1" x14ac:dyDescent="0.2">
      <c r="A1833" s="8">
        <v>54</v>
      </c>
      <c r="B1833" s="8"/>
      <c r="C1833" s="8" t="s">
        <v>10</v>
      </c>
      <c r="D1833" s="12">
        <v>45047</v>
      </c>
      <c r="E1833" s="8">
        <v>32139</v>
      </c>
      <c r="F1833" s="10">
        <f>IF(ISTEXT(Таблицаx_2[[#This Row],[Значение]]), 0, Таблицаx_2[[#This Row],[Значение]])</f>
        <v>32139</v>
      </c>
      <c r="G1833" s="12">
        <v>45261</v>
      </c>
      <c r="H1833" s="10" t="str">
        <f>IFERROR(VLOOKUP(Таблицаx_2[[#This Row],[id]],prolongations!A:C,2,)," ")</f>
        <v>декабрь 2023</v>
      </c>
      <c r="I1833" s="10">
        <f>IF(Таблицаx_2[[#This Row],[Месяц окончания]]=Таблицаx_2[[#This Row],[Месяц]],Таблицаx_2[[#This Row],[Значения числа]],0)</f>
        <v>0</v>
      </c>
      <c r="J1833" s="8">
        <f>IF(AND(Таблицаx_2[[#This Row],[Месяц окончания]]=Таблицаx_2[[#This Row],[Месяц]],Таблицаx_2[[#This Row],[id]]=A1834,EDATE(Таблицаx_2[[#This Row],[Месяц]],1)=D1834),F1834,0)</f>
        <v>0</v>
      </c>
      <c r="K1833" s="8">
        <f>IF(AND(Таблицаx_2[[#This Row],[Месяц окончания]]=Таблицаx_2[[#This Row],[Месяц]],Таблицаx_2[[#This Row],[id]]=A1834,EDATE(Таблицаx_2[[#This Row],[Месяц]],2)=D1834),F1834,0)</f>
        <v>0</v>
      </c>
    </row>
    <row r="1834" spans="1:11" ht="12.75" hidden="1" customHeight="1" x14ac:dyDescent="0.2">
      <c r="A1834" s="8">
        <v>54</v>
      </c>
      <c r="B1834" s="8"/>
      <c r="C1834" s="8" t="s">
        <v>10</v>
      </c>
      <c r="D1834" s="12">
        <v>45078</v>
      </c>
      <c r="E1834" s="8">
        <v>31333.5</v>
      </c>
      <c r="F1834" s="10">
        <f>IF(ISTEXT(Таблицаx_2[[#This Row],[Значение]]), 0, Таблицаx_2[[#This Row],[Значение]])</f>
        <v>31333.5</v>
      </c>
      <c r="G1834" s="12">
        <v>45261</v>
      </c>
      <c r="H1834" s="10" t="str">
        <f>IFERROR(VLOOKUP(Таблицаx_2[[#This Row],[id]],prolongations!A:C,2,)," ")</f>
        <v>декабрь 2023</v>
      </c>
      <c r="I1834" s="10">
        <f>IF(Таблицаx_2[[#This Row],[Месяц окончания]]=Таблицаx_2[[#This Row],[Месяц]],Таблицаx_2[[#This Row],[Значения числа]],0)</f>
        <v>0</v>
      </c>
      <c r="J1834" s="8">
        <f>IF(AND(Таблицаx_2[[#This Row],[Месяц окончания]]=Таблицаx_2[[#This Row],[Месяц]],Таблицаx_2[[#This Row],[id]]=A1835,EDATE(Таблицаx_2[[#This Row],[Месяц]],1)=D1835),F1835,0)</f>
        <v>0</v>
      </c>
      <c r="K1834" s="8">
        <f>IF(AND(Таблицаx_2[[#This Row],[Месяц окончания]]=Таблицаx_2[[#This Row],[Месяц]],Таблицаx_2[[#This Row],[id]]=A1835,EDATE(Таблицаx_2[[#This Row],[Месяц]],2)=D1835),F1835,0)</f>
        <v>0</v>
      </c>
    </row>
    <row r="1835" spans="1:11" ht="12.75" hidden="1" customHeight="1" x14ac:dyDescent="0.2">
      <c r="A1835" s="8">
        <v>54</v>
      </c>
      <c r="B1835" s="8"/>
      <c r="C1835" s="8" t="s">
        <v>10</v>
      </c>
      <c r="D1835" s="12">
        <v>45108</v>
      </c>
      <c r="E1835" s="8">
        <v>32139</v>
      </c>
      <c r="F1835" s="10">
        <f>IF(ISTEXT(Таблицаx_2[[#This Row],[Значение]]), 0, Таблицаx_2[[#This Row],[Значение]])</f>
        <v>32139</v>
      </c>
      <c r="G1835" s="12">
        <v>45261</v>
      </c>
      <c r="H1835" s="10" t="str">
        <f>IFERROR(VLOOKUP(Таблицаx_2[[#This Row],[id]],prolongations!A:C,2,)," ")</f>
        <v>декабрь 2023</v>
      </c>
      <c r="I1835" s="10">
        <f>IF(Таблицаx_2[[#This Row],[Месяц окончания]]=Таблицаx_2[[#This Row],[Месяц]],Таблицаx_2[[#This Row],[Значения числа]],0)</f>
        <v>0</v>
      </c>
      <c r="J1835" s="8">
        <f>IF(AND(Таблицаx_2[[#This Row],[Месяц окончания]]=Таблицаx_2[[#This Row],[Месяц]],Таблицаx_2[[#This Row],[id]]=A1836,EDATE(Таблицаx_2[[#This Row],[Месяц]],1)=D1836),F1836,0)</f>
        <v>0</v>
      </c>
      <c r="K1835" s="8">
        <f>IF(AND(Таблицаx_2[[#This Row],[Месяц окончания]]=Таблицаx_2[[#This Row],[Месяц]],Таблицаx_2[[#This Row],[id]]=A1836,EDATE(Таблицаx_2[[#This Row],[Месяц]],2)=D1836),F1836,0)</f>
        <v>0</v>
      </c>
    </row>
    <row r="1836" spans="1:11" ht="12.75" hidden="1" customHeight="1" x14ac:dyDescent="0.2">
      <c r="A1836" s="8">
        <v>54</v>
      </c>
      <c r="B1836" s="8"/>
      <c r="C1836" s="8" t="s">
        <v>10</v>
      </c>
      <c r="D1836" s="12">
        <v>45139</v>
      </c>
      <c r="E1836" s="8">
        <v>32139</v>
      </c>
      <c r="F1836" s="10">
        <f>IF(ISTEXT(Таблицаx_2[[#This Row],[Значение]]), 0, Таблицаx_2[[#This Row],[Значение]])</f>
        <v>32139</v>
      </c>
      <c r="G1836" s="12">
        <v>45261</v>
      </c>
      <c r="H1836" s="10" t="str">
        <f>IFERROR(VLOOKUP(Таблицаx_2[[#This Row],[id]],prolongations!A:C,2,)," ")</f>
        <v>декабрь 2023</v>
      </c>
      <c r="I1836" s="10">
        <f>IF(Таблицаx_2[[#This Row],[Месяц окончания]]=Таблицаx_2[[#This Row],[Месяц]],Таблицаx_2[[#This Row],[Значения числа]],0)</f>
        <v>0</v>
      </c>
      <c r="J1836" s="8">
        <f>IF(AND(Таблицаx_2[[#This Row],[Месяц окончания]]=Таблицаx_2[[#This Row],[Месяц]],Таблицаx_2[[#This Row],[id]]=A1837,EDATE(Таблицаx_2[[#This Row],[Месяц]],1)=D1837),F1837,0)</f>
        <v>0</v>
      </c>
      <c r="K1836" s="8">
        <f>IF(AND(Таблицаx_2[[#This Row],[Месяц окончания]]=Таблицаx_2[[#This Row],[Месяц]],Таблицаx_2[[#This Row],[id]]=A1837,EDATE(Таблицаx_2[[#This Row],[Месяц]],2)=D1837),F1837,0)</f>
        <v>0</v>
      </c>
    </row>
    <row r="1837" spans="1:11" ht="12.75" hidden="1" customHeight="1" x14ac:dyDescent="0.2">
      <c r="A1837" s="8">
        <v>54</v>
      </c>
      <c r="B1837" s="8"/>
      <c r="C1837" s="8" t="s">
        <v>10</v>
      </c>
      <c r="D1837" s="12">
        <v>45170</v>
      </c>
      <c r="E1837" s="8">
        <v>49666.5</v>
      </c>
      <c r="F1837" s="10">
        <f>IF(ISTEXT(Таблицаx_2[[#This Row],[Значение]]), 0, Таблицаx_2[[#This Row],[Значение]])</f>
        <v>49666.5</v>
      </c>
      <c r="G1837" s="12">
        <v>45261</v>
      </c>
      <c r="H1837" s="10" t="str">
        <f>IFERROR(VLOOKUP(Таблицаx_2[[#This Row],[id]],prolongations!A:C,2,)," ")</f>
        <v>декабрь 2023</v>
      </c>
      <c r="I1837" s="10">
        <f>IF(Таблицаx_2[[#This Row],[Месяц окончания]]=Таблицаx_2[[#This Row],[Месяц]],Таблицаx_2[[#This Row],[Значения числа]],0)</f>
        <v>0</v>
      </c>
      <c r="J1837" s="8">
        <f>IF(AND(Таблицаx_2[[#This Row],[Месяц окончания]]=Таблицаx_2[[#This Row],[Месяц]],Таблицаx_2[[#This Row],[id]]=A1838,EDATE(Таблицаx_2[[#This Row],[Месяц]],1)=D1838),F1838,0)</f>
        <v>0</v>
      </c>
      <c r="K1837" s="8">
        <f>IF(AND(Таблицаx_2[[#This Row],[Месяц окончания]]=Таблицаx_2[[#This Row],[Месяц]],Таблицаx_2[[#This Row],[id]]=A1838,EDATE(Таблицаx_2[[#This Row],[Месяц]],2)=D1838),F1838,0)</f>
        <v>0</v>
      </c>
    </row>
    <row r="1838" spans="1:11" ht="12.75" hidden="1" customHeight="1" x14ac:dyDescent="0.2">
      <c r="A1838" s="8">
        <v>54</v>
      </c>
      <c r="B1838" s="8"/>
      <c r="C1838" s="8" t="s">
        <v>10</v>
      </c>
      <c r="D1838" s="12">
        <v>45200</v>
      </c>
      <c r="E1838" s="8">
        <v>50094</v>
      </c>
      <c r="F1838" s="10">
        <f>IF(ISTEXT(Таблицаx_2[[#This Row],[Значение]]), 0, Таблицаx_2[[#This Row],[Значение]])</f>
        <v>50094</v>
      </c>
      <c r="G1838" s="12">
        <v>45261</v>
      </c>
      <c r="H1838" s="10" t="str">
        <f>IFERROR(VLOOKUP(Таблицаx_2[[#This Row],[id]],prolongations!A:C,2,)," ")</f>
        <v>декабрь 2023</v>
      </c>
      <c r="I1838" s="10">
        <f>IF(Таблицаx_2[[#This Row],[Месяц окончания]]=Таблицаx_2[[#This Row],[Месяц]],Таблицаx_2[[#This Row],[Значения числа]],0)</f>
        <v>0</v>
      </c>
      <c r="J1838" s="8">
        <f>IF(AND(Таблицаx_2[[#This Row],[Месяц окончания]]=Таблицаx_2[[#This Row],[Месяц]],Таблицаx_2[[#This Row],[id]]=A1839,EDATE(Таблицаx_2[[#This Row],[Месяц]],1)=D1839),F1839,0)</f>
        <v>0</v>
      </c>
      <c r="K1838" s="8">
        <f>IF(AND(Таблицаx_2[[#This Row],[Месяц окончания]]=Таблицаx_2[[#This Row],[Месяц]],Таблицаx_2[[#This Row],[id]]=A1839,EDATE(Таблицаx_2[[#This Row],[Месяц]],2)=D1839),F1839,0)</f>
        <v>0</v>
      </c>
    </row>
    <row r="1839" spans="1:11" ht="12.75" hidden="1" customHeight="1" x14ac:dyDescent="0.2">
      <c r="A1839" s="8">
        <v>54</v>
      </c>
      <c r="B1839" s="8"/>
      <c r="C1839" s="8" t="s">
        <v>10</v>
      </c>
      <c r="D1839" s="12">
        <v>45231</v>
      </c>
      <c r="E1839" s="8">
        <v>50949</v>
      </c>
      <c r="F1839" s="10">
        <f>IF(ISTEXT(Таблицаx_2[[#This Row],[Значение]]), 0, Таблицаx_2[[#This Row],[Значение]])</f>
        <v>50949</v>
      </c>
      <c r="G1839" s="12">
        <v>45261</v>
      </c>
      <c r="H1839" s="10" t="str">
        <f>IFERROR(VLOOKUP(Таблицаx_2[[#This Row],[id]],prolongations!A:C,2,)," ")</f>
        <v>декабрь 2023</v>
      </c>
      <c r="I1839" s="10">
        <f>IF(Таблицаx_2[[#This Row],[Месяц окончания]]=Таблицаx_2[[#This Row],[Месяц]],Таблицаx_2[[#This Row],[Значения числа]],0)</f>
        <v>0</v>
      </c>
      <c r="J1839" s="8">
        <f>IF(AND(Таблицаx_2[[#This Row],[Месяц окончания]]=Таблицаx_2[[#This Row],[Месяц]],Таблицаx_2[[#This Row],[id]]=A1840,EDATE(Таблицаx_2[[#This Row],[Месяц]],1)=D1840),F1840,0)</f>
        <v>0</v>
      </c>
      <c r="K1839" s="8">
        <f>IF(AND(Таблицаx_2[[#This Row],[Месяц окончания]]=Таблицаx_2[[#This Row],[Месяц]],Таблицаx_2[[#This Row],[id]]=A1840,EDATE(Таблицаx_2[[#This Row],[Месяц]],2)=D1840),F1840,0)</f>
        <v>0</v>
      </c>
    </row>
    <row r="1840" spans="1:11" ht="12.75" hidden="1" customHeight="1" x14ac:dyDescent="0.2">
      <c r="A1840" s="8">
        <v>54</v>
      </c>
      <c r="B1840" s="8"/>
      <c r="C1840" s="8" t="s">
        <v>10</v>
      </c>
      <c r="D1840" s="12">
        <v>45261</v>
      </c>
      <c r="E1840" s="8">
        <v>50949</v>
      </c>
      <c r="F1840" s="10">
        <f>IF(ISTEXT(Таблицаx_2[[#This Row],[Значение]]), 0, Таблицаx_2[[#This Row],[Значение]])</f>
        <v>50949</v>
      </c>
      <c r="G1840" s="12">
        <v>45261</v>
      </c>
      <c r="H1840" s="10" t="str">
        <f>IFERROR(VLOOKUP(Таблицаx_2[[#This Row],[id]],prolongations!A:C,2,)," ")</f>
        <v>декабрь 2023</v>
      </c>
      <c r="I1840" s="10">
        <f>IF(Таблицаx_2[[#This Row],[Месяц окончания]]=Таблицаx_2[[#This Row],[Месяц]],Таблицаx_2[[#This Row],[Значения числа]],0)</f>
        <v>50949</v>
      </c>
      <c r="J1840" s="8">
        <f>IF(AND(Таблицаx_2[[#This Row],[Месяц окончания]]=Таблицаx_2[[#This Row],[Месяц]],Таблицаx_2[[#This Row],[id]]=A1841,EDATE(Таблицаx_2[[#This Row],[Месяц]],1)=D1841),F1841,0)</f>
        <v>0</v>
      </c>
      <c r="K1840" s="8">
        <f>IF(AND(Таблицаx_2[[#This Row],[Месяц окончания]]=Таблицаx_2[[#This Row],[Месяц]],Таблицаx_2[[#This Row],[id]]=A1841,EDATE(Таблицаx_2[[#This Row],[Месяц]],2)=D1841),F1841,0)</f>
        <v>0</v>
      </c>
    </row>
    <row r="1841" spans="1:11" ht="12.75" hidden="1" customHeight="1" x14ac:dyDescent="0.2">
      <c r="A1841" s="8">
        <v>966</v>
      </c>
      <c r="B1841" s="8" t="s">
        <v>45</v>
      </c>
      <c r="C1841" s="8" t="s">
        <v>10</v>
      </c>
      <c r="D1841" s="12">
        <v>45261</v>
      </c>
      <c r="E1841" s="8">
        <v>75700</v>
      </c>
      <c r="F1841" s="10">
        <f>IF(ISTEXT(Таблицаx_2[[#This Row],[Значение]]), 0, Таблицаx_2[[#This Row],[Значение]])</f>
        <v>75700</v>
      </c>
      <c r="G1841" s="12">
        <v>45261</v>
      </c>
      <c r="H1841" s="10" t="str">
        <f>IFERROR(VLOOKUP(Таблицаx_2[[#This Row],[id]],prolongations!A:C,2,)," ")</f>
        <v>декабрь 2023</v>
      </c>
      <c r="I1841" s="10">
        <f>IF(Таблицаx_2[[#This Row],[Месяц окончания]]=Таблицаx_2[[#This Row],[Месяц]],Таблицаx_2[[#This Row],[Значения числа]],0)</f>
        <v>75700</v>
      </c>
      <c r="J1841" s="8">
        <f>IF(AND(Таблицаx_2[[#This Row],[Месяц окончания]]=Таблицаx_2[[#This Row],[Месяц]],Таблицаx_2[[#This Row],[id]]=A1842,EDATE(Таблицаx_2[[#This Row],[Месяц]],1)=D1842),F1842,0)</f>
        <v>65800</v>
      </c>
      <c r="K1841" s="8">
        <f>IF(AND(Таблицаx_2[[#This Row],[Месяц окончания]]=Таблицаx_2[[#This Row],[Месяц]],Таблицаx_2[[#This Row],[id]]=A1842,EDATE(Таблицаx_2[[#This Row],[Месяц]],2)=D1842),F1842,0)</f>
        <v>0</v>
      </c>
    </row>
    <row r="1842" spans="1:11" ht="12.75" hidden="1" customHeight="1" x14ac:dyDescent="0.2">
      <c r="A1842" s="8">
        <v>966</v>
      </c>
      <c r="B1842" s="8" t="s">
        <v>45</v>
      </c>
      <c r="C1842" s="8" t="s">
        <v>10</v>
      </c>
      <c r="D1842" s="12">
        <v>45292</v>
      </c>
      <c r="E1842" s="8">
        <v>65800</v>
      </c>
      <c r="F1842" s="10">
        <f>IF(ISTEXT(Таблицаx_2[[#This Row],[Значение]]), 0, Таблицаx_2[[#This Row],[Значение]])</f>
        <v>65800</v>
      </c>
      <c r="G1842" s="12">
        <v>45261</v>
      </c>
      <c r="H1842" s="10" t="str">
        <f>IFERROR(VLOOKUP(Таблицаx_2[[#This Row],[id]],prolongations!A:C,2,)," ")</f>
        <v>декабрь 2023</v>
      </c>
      <c r="I1842" s="10">
        <f>IF(Таблицаx_2[[#This Row],[Месяц окончания]]=Таблицаx_2[[#This Row],[Месяц]],Таблицаx_2[[#This Row],[Значения числа]],0)</f>
        <v>0</v>
      </c>
      <c r="J1842" s="8">
        <f>IF(AND(Таблицаx_2[[#This Row],[Месяц окончания]]=Таблицаx_2[[#This Row],[Месяц]],Таблицаx_2[[#This Row],[id]]=A1843,EDATE(Таблицаx_2[[#This Row],[Месяц]],1)=D1843),F1843,0)</f>
        <v>0</v>
      </c>
      <c r="K1842" s="8">
        <f>IF(AND(Таблицаx_2[[#This Row],[Месяц окончания]]=Таблицаx_2[[#This Row],[Месяц]],Таблицаx_2[[#This Row],[id]]=A1843,EDATE(Таблицаx_2[[#This Row],[Месяц]],2)=D1843),F1843,0)</f>
        <v>0</v>
      </c>
    </row>
    <row r="1843" spans="1:11" ht="12.75" hidden="1" customHeight="1" x14ac:dyDescent="0.2">
      <c r="A1843" s="8">
        <v>966</v>
      </c>
      <c r="B1843" s="8" t="s">
        <v>45</v>
      </c>
      <c r="C1843" s="8" t="s">
        <v>10</v>
      </c>
      <c r="D1843" s="12">
        <v>45323</v>
      </c>
      <c r="E1843" s="8">
        <v>67000</v>
      </c>
      <c r="F1843" s="10">
        <f>IF(ISTEXT(Таблицаx_2[[#This Row],[Значение]]), 0, Таблицаx_2[[#This Row],[Значение]])</f>
        <v>67000</v>
      </c>
      <c r="G1843" s="12">
        <v>45261</v>
      </c>
      <c r="H1843" s="10" t="str">
        <f>IFERROR(VLOOKUP(Таблицаx_2[[#This Row],[id]],prolongations!A:C,2,)," ")</f>
        <v>декабрь 2023</v>
      </c>
      <c r="I1843" s="10">
        <f>IF(Таблицаx_2[[#This Row],[Месяц окончания]]=Таблицаx_2[[#This Row],[Месяц]],Таблицаx_2[[#This Row],[Значения числа]],0)</f>
        <v>0</v>
      </c>
      <c r="J1843" s="8">
        <f>IF(AND(Таблицаx_2[[#This Row],[Месяц окончания]]=Таблицаx_2[[#This Row],[Месяц]],Таблицаx_2[[#This Row],[id]]=A1844,EDATE(Таблицаx_2[[#This Row],[Месяц]],1)=D1844),F1844,0)</f>
        <v>0</v>
      </c>
      <c r="K1843" s="8">
        <f>IF(AND(Таблицаx_2[[#This Row],[Месяц окончания]]=Таблицаx_2[[#This Row],[Месяц]],Таблицаx_2[[#This Row],[id]]=A1844,EDATE(Таблицаx_2[[#This Row],[Месяц]],2)=D1844),F1844,0)</f>
        <v>0</v>
      </c>
    </row>
    <row r="1844" spans="1:11" ht="12.75" hidden="1" customHeight="1" x14ac:dyDescent="0.2">
      <c r="A1844" s="8">
        <v>975</v>
      </c>
      <c r="B1844" s="8" t="s">
        <v>45</v>
      </c>
      <c r="C1844" s="8" t="s">
        <v>10</v>
      </c>
      <c r="D1844" s="12">
        <v>45200</v>
      </c>
      <c r="E1844" s="8">
        <v>46990</v>
      </c>
      <c r="F1844" s="10">
        <f>IF(ISTEXT(Таблицаx_2[[#This Row],[Значение]]), 0, Таблицаx_2[[#This Row],[Значение]])</f>
        <v>46990</v>
      </c>
      <c r="G1844" s="12">
        <v>45261</v>
      </c>
      <c r="H1844" s="10" t="str">
        <f>IFERROR(VLOOKUP(Таблицаx_2[[#This Row],[id]],prolongations!A:C,2,)," ")</f>
        <v>декабрь 2023</v>
      </c>
      <c r="I1844" s="10">
        <f>IF(Таблицаx_2[[#This Row],[Месяц окончания]]=Таблицаx_2[[#This Row],[Месяц]],Таблицаx_2[[#This Row],[Значения числа]],0)</f>
        <v>0</v>
      </c>
      <c r="J1844" s="8">
        <f>IF(AND(Таблицаx_2[[#This Row],[Месяц окончания]]=Таблицаx_2[[#This Row],[Месяц]],Таблицаx_2[[#This Row],[id]]=A1845,EDATE(Таблицаx_2[[#This Row],[Месяц]],1)=D1845),F1845,0)</f>
        <v>0</v>
      </c>
      <c r="K1844" s="8">
        <f>IF(AND(Таблицаx_2[[#This Row],[Месяц окончания]]=Таблицаx_2[[#This Row],[Месяц]],Таблицаx_2[[#This Row],[id]]=A1845,EDATE(Таблицаx_2[[#This Row],[Месяц]],2)=D1845),F1845,0)</f>
        <v>0</v>
      </c>
    </row>
    <row r="1845" spans="1:11" ht="12.75" hidden="1" customHeight="1" x14ac:dyDescent="0.2">
      <c r="A1845" s="8">
        <v>975</v>
      </c>
      <c r="B1845" s="8" t="s">
        <v>45</v>
      </c>
      <c r="C1845" s="8" t="s">
        <v>10</v>
      </c>
      <c r="D1845" s="12">
        <v>45231</v>
      </c>
      <c r="E1845" s="8">
        <v>45520</v>
      </c>
      <c r="F1845" s="10">
        <f>IF(ISTEXT(Таблицаx_2[[#This Row],[Значение]]), 0, Таблицаx_2[[#This Row],[Значение]])</f>
        <v>45520</v>
      </c>
      <c r="G1845" s="12">
        <v>45261</v>
      </c>
      <c r="H1845" s="10" t="str">
        <f>IFERROR(VLOOKUP(Таблицаx_2[[#This Row],[id]],prolongations!A:C,2,)," ")</f>
        <v>декабрь 2023</v>
      </c>
      <c r="I1845" s="10">
        <f>IF(Таблицаx_2[[#This Row],[Месяц окончания]]=Таблицаx_2[[#This Row],[Месяц]],Таблицаx_2[[#This Row],[Значения числа]],0)</f>
        <v>0</v>
      </c>
      <c r="J1845" s="8">
        <f>IF(AND(Таблицаx_2[[#This Row],[Месяц окончания]]=Таблицаx_2[[#This Row],[Месяц]],Таблицаx_2[[#This Row],[id]]=A1846,EDATE(Таблицаx_2[[#This Row],[Месяц]],1)=D1846),F1846,0)</f>
        <v>0</v>
      </c>
      <c r="K1845" s="8">
        <f>IF(AND(Таблицаx_2[[#This Row],[Месяц окончания]]=Таблицаx_2[[#This Row],[Месяц]],Таблицаx_2[[#This Row],[id]]=A1846,EDATE(Таблицаx_2[[#This Row],[Месяц]],2)=D1846),F1846,0)</f>
        <v>0</v>
      </c>
    </row>
    <row r="1846" spans="1:11" ht="12.75" hidden="1" customHeight="1" x14ac:dyDescent="0.2">
      <c r="A1846" s="8">
        <v>975</v>
      </c>
      <c r="B1846" s="8" t="s">
        <v>45</v>
      </c>
      <c r="C1846" s="8" t="s">
        <v>10</v>
      </c>
      <c r="D1846" s="12">
        <v>45261</v>
      </c>
      <c r="E1846" s="8">
        <v>50260</v>
      </c>
      <c r="F1846" s="10">
        <f>IF(ISTEXT(Таблицаx_2[[#This Row],[Значение]]), 0, Таблицаx_2[[#This Row],[Значение]])</f>
        <v>50260</v>
      </c>
      <c r="G1846" s="12">
        <v>45261</v>
      </c>
      <c r="H1846" s="10" t="str">
        <f>IFERROR(VLOOKUP(Таблицаx_2[[#This Row],[id]],prolongations!A:C,2,)," ")</f>
        <v>декабрь 2023</v>
      </c>
      <c r="I1846" s="10">
        <f>IF(Таблицаx_2[[#This Row],[Месяц окончания]]=Таблицаx_2[[#This Row],[Месяц]],Таблицаx_2[[#This Row],[Значения числа]],0)</f>
        <v>50260</v>
      </c>
      <c r="J1846" s="8">
        <f>IF(AND(Таблицаx_2[[#This Row],[Месяц окончания]]=Таблицаx_2[[#This Row],[Месяц]],Таблицаx_2[[#This Row],[id]]=A1847,EDATE(Таблицаx_2[[#This Row],[Месяц]],1)=D1847),F1847,0)</f>
        <v>59773.5</v>
      </c>
      <c r="K1846" s="8">
        <f>IF(AND(Таблицаx_2[[#This Row],[Месяц окончания]]=Таблицаx_2[[#This Row],[Месяц]],Таблицаx_2[[#This Row],[id]]=A1847,EDATE(Таблицаx_2[[#This Row],[Месяц]],2)=D1847),F1847,0)</f>
        <v>0</v>
      </c>
    </row>
    <row r="1847" spans="1:11" ht="12.75" hidden="1" customHeight="1" x14ac:dyDescent="0.2">
      <c r="A1847" s="8">
        <v>975</v>
      </c>
      <c r="B1847" s="8" t="s">
        <v>45</v>
      </c>
      <c r="C1847" s="8" t="s">
        <v>10</v>
      </c>
      <c r="D1847" s="12">
        <v>45292</v>
      </c>
      <c r="E1847" s="8">
        <v>59773.5</v>
      </c>
      <c r="F1847" s="10">
        <f>IF(ISTEXT(Таблицаx_2[[#This Row],[Значение]]), 0, Таблицаx_2[[#This Row],[Значение]])</f>
        <v>59773.5</v>
      </c>
      <c r="G1847" s="12">
        <v>45261</v>
      </c>
      <c r="H1847" s="10" t="str">
        <f>IFERROR(VLOOKUP(Таблицаx_2[[#This Row],[id]],prolongations!A:C,2,)," ")</f>
        <v>декабрь 2023</v>
      </c>
      <c r="I1847" s="10">
        <f>IF(Таблицаx_2[[#This Row],[Месяц окончания]]=Таблицаx_2[[#This Row],[Месяц]],Таблицаx_2[[#This Row],[Значения числа]],0)</f>
        <v>0</v>
      </c>
      <c r="J1847" s="8">
        <f>IF(AND(Таблицаx_2[[#This Row],[Месяц окончания]]=Таблицаx_2[[#This Row],[Месяц]],Таблицаx_2[[#This Row],[id]]=A1848,EDATE(Таблицаx_2[[#This Row],[Месяц]],1)=D1848),F1848,0)</f>
        <v>0</v>
      </c>
      <c r="K1847" s="8">
        <f>IF(AND(Таблицаx_2[[#This Row],[Месяц окончания]]=Таблицаx_2[[#This Row],[Месяц]],Таблицаx_2[[#This Row],[id]]=A1848,EDATE(Таблицаx_2[[#This Row],[Месяц]],2)=D1848),F1848,0)</f>
        <v>0</v>
      </c>
    </row>
    <row r="1848" spans="1:11" ht="12.75" hidden="1" customHeight="1" x14ac:dyDescent="0.2">
      <c r="A1848" s="8">
        <v>975</v>
      </c>
      <c r="B1848" s="8" t="s">
        <v>45</v>
      </c>
      <c r="C1848" s="8" t="s">
        <v>10</v>
      </c>
      <c r="D1848" s="12">
        <v>45323</v>
      </c>
      <c r="E1848" s="8">
        <v>61006.5</v>
      </c>
      <c r="F1848" s="10">
        <f>IF(ISTEXT(Таблицаx_2[[#This Row],[Значение]]), 0, Таблицаx_2[[#This Row],[Значение]])</f>
        <v>61006.5</v>
      </c>
      <c r="G1848" s="12">
        <v>45261</v>
      </c>
      <c r="H1848" s="10" t="str">
        <f>IFERROR(VLOOKUP(Таблицаx_2[[#This Row],[id]],prolongations!A:C,2,)," ")</f>
        <v>декабрь 2023</v>
      </c>
      <c r="I1848" s="10">
        <f>IF(Таблицаx_2[[#This Row],[Месяц окончания]]=Таблицаx_2[[#This Row],[Месяц]],Таблицаx_2[[#This Row],[Значения числа]],0)</f>
        <v>0</v>
      </c>
      <c r="J1848" s="8">
        <f>IF(AND(Таблицаx_2[[#This Row],[Месяц окончания]]=Таблицаx_2[[#This Row],[Месяц]],Таблицаx_2[[#This Row],[id]]=A1849,EDATE(Таблицаx_2[[#This Row],[Месяц]],1)=D1849),F1849,0)</f>
        <v>0</v>
      </c>
      <c r="K1848" s="8">
        <f>IF(AND(Таблицаx_2[[#This Row],[Месяц окончания]]=Таблицаx_2[[#This Row],[Месяц]],Таблицаx_2[[#This Row],[id]]=A1849,EDATE(Таблицаx_2[[#This Row],[Месяц]],2)=D1849),F1849,0)</f>
        <v>0</v>
      </c>
    </row>
    <row r="1849" spans="1:11" ht="12.75" hidden="1" customHeight="1" x14ac:dyDescent="0.2">
      <c r="A1849" s="8">
        <v>975</v>
      </c>
      <c r="B1849" s="8" t="s">
        <v>47</v>
      </c>
      <c r="C1849" s="8" t="s">
        <v>10</v>
      </c>
      <c r="D1849" s="12">
        <v>45200</v>
      </c>
      <c r="E1849" s="8">
        <v>2322.34</v>
      </c>
      <c r="F1849" s="10">
        <f>IF(ISTEXT(Таблицаx_2[[#This Row],[Значение]]), 0, Таблицаx_2[[#This Row],[Значение]])</f>
        <v>2322.34</v>
      </c>
      <c r="G1849" s="12">
        <v>45261</v>
      </c>
      <c r="H1849" s="10" t="str">
        <f>IFERROR(VLOOKUP(Таблицаx_2[[#This Row],[id]],prolongations!A:C,2,)," ")</f>
        <v>декабрь 2023</v>
      </c>
      <c r="I1849" s="10">
        <f>IF(Таблицаx_2[[#This Row],[Месяц окончания]]=Таблицаx_2[[#This Row],[Месяц]],Таблицаx_2[[#This Row],[Значения числа]],0)</f>
        <v>0</v>
      </c>
      <c r="J1849" s="8">
        <f>IF(AND(Таблицаx_2[[#This Row],[Месяц окончания]]=Таблицаx_2[[#This Row],[Месяц]],Таблицаx_2[[#This Row],[id]]=A1850,EDATE(Таблицаx_2[[#This Row],[Месяц]],1)=D1850),F1850,0)</f>
        <v>0</v>
      </c>
      <c r="K1849" s="8">
        <f>IF(AND(Таблицаx_2[[#This Row],[Месяц окончания]]=Таблицаx_2[[#This Row],[Месяц]],Таблицаx_2[[#This Row],[id]]=A1850,EDATE(Таблицаx_2[[#This Row],[Месяц]],2)=D1850),F1850,0)</f>
        <v>0</v>
      </c>
    </row>
    <row r="1850" spans="1:11" ht="12.75" hidden="1" customHeight="1" x14ac:dyDescent="0.2">
      <c r="A1850" s="8">
        <v>975</v>
      </c>
      <c r="B1850" s="8" t="s">
        <v>47</v>
      </c>
      <c r="C1850" s="8" t="s">
        <v>10</v>
      </c>
      <c r="D1850" s="12">
        <v>45231</v>
      </c>
      <c r="E1850" s="8">
        <v>3141.49</v>
      </c>
      <c r="F1850" s="10">
        <f>IF(ISTEXT(Таблицаx_2[[#This Row],[Значение]]), 0, Таблицаx_2[[#This Row],[Значение]])</f>
        <v>3141.49</v>
      </c>
      <c r="G1850" s="12">
        <v>45261</v>
      </c>
      <c r="H1850" s="10" t="str">
        <f>IFERROR(VLOOKUP(Таблицаx_2[[#This Row],[id]],prolongations!A:C,2,)," ")</f>
        <v>декабрь 2023</v>
      </c>
      <c r="I1850" s="10">
        <f>IF(Таблицаx_2[[#This Row],[Месяц окончания]]=Таблицаx_2[[#This Row],[Месяц]],Таблицаx_2[[#This Row],[Значения числа]],0)</f>
        <v>0</v>
      </c>
      <c r="J1850" s="8">
        <f>IF(AND(Таблицаx_2[[#This Row],[Месяц окончания]]=Таблицаx_2[[#This Row],[Месяц]],Таблицаx_2[[#This Row],[id]]=A1851,EDATE(Таблицаx_2[[#This Row],[Месяц]],1)=D1851),F1851,0)</f>
        <v>0</v>
      </c>
      <c r="K1850" s="8">
        <f>IF(AND(Таблицаx_2[[#This Row],[Месяц окончания]]=Таблицаx_2[[#This Row],[Месяц]],Таблицаx_2[[#This Row],[id]]=A1851,EDATE(Таблицаx_2[[#This Row],[Месяц]],2)=D1851),F1851,0)</f>
        <v>0</v>
      </c>
    </row>
    <row r="1851" spans="1:11" ht="12.75" hidden="1" customHeight="1" x14ac:dyDescent="0.2">
      <c r="A1851" s="8">
        <v>975</v>
      </c>
      <c r="B1851" s="8" t="s">
        <v>47</v>
      </c>
      <c r="C1851" s="8" t="s">
        <v>10</v>
      </c>
      <c r="D1851" s="12">
        <v>45261</v>
      </c>
      <c r="E1851" s="8">
        <v>4568</v>
      </c>
      <c r="F1851" s="10">
        <f>IF(ISTEXT(Таблицаx_2[[#This Row],[Значение]]), 0, Таблицаx_2[[#This Row],[Значение]])</f>
        <v>4568</v>
      </c>
      <c r="G1851" s="12">
        <v>45261</v>
      </c>
      <c r="H1851" s="10" t="str">
        <f>IFERROR(VLOOKUP(Таблицаx_2[[#This Row],[id]],prolongations!A:C,2,)," ")</f>
        <v>декабрь 2023</v>
      </c>
      <c r="I1851" s="10">
        <f>IF(Таблицаx_2[[#This Row],[Месяц окончания]]=Таблицаx_2[[#This Row],[Месяц]],Таблицаx_2[[#This Row],[Значения числа]],0)</f>
        <v>4568</v>
      </c>
      <c r="J1851" s="8">
        <f>IF(AND(Таблицаx_2[[#This Row],[Месяц окончания]]=Таблицаx_2[[#This Row],[Месяц]],Таблицаx_2[[#This Row],[id]]=A1852,EDATE(Таблицаx_2[[#This Row],[Месяц]],1)=D1852),F1852,0)</f>
        <v>0</v>
      </c>
      <c r="K1851" s="8">
        <f>IF(AND(Таблицаx_2[[#This Row],[Месяц окончания]]=Таблицаx_2[[#This Row],[Месяц]],Таблицаx_2[[#This Row],[id]]=A1852,EDATE(Таблицаx_2[[#This Row],[Месяц]],2)=D1852),F1852,0)</f>
        <v>0</v>
      </c>
    </row>
    <row r="1852" spans="1:11" ht="12.75" hidden="1" customHeight="1" x14ac:dyDescent="0.2">
      <c r="A1852" s="8">
        <v>925</v>
      </c>
      <c r="B1852" s="8"/>
      <c r="C1852" s="8" t="s">
        <v>10</v>
      </c>
      <c r="D1852" s="12">
        <v>45139</v>
      </c>
      <c r="E1852" s="8">
        <v>115260</v>
      </c>
      <c r="F1852" s="10">
        <f>IF(ISTEXT(Таблицаx_2[[#This Row],[Значение]]), 0, Таблицаx_2[[#This Row],[Значение]])</f>
        <v>115260</v>
      </c>
      <c r="G1852" s="12">
        <v>45261</v>
      </c>
      <c r="H1852" s="10" t="str">
        <f>IFERROR(VLOOKUP(Таблицаx_2[[#This Row],[id]],prolongations!A:C,2,)," ")</f>
        <v>декабрь 2023</v>
      </c>
      <c r="I1852" s="10">
        <f>IF(Таблицаx_2[[#This Row],[Месяц окончания]]=Таблицаx_2[[#This Row],[Месяц]],Таблицаx_2[[#This Row],[Значения числа]],0)</f>
        <v>0</v>
      </c>
      <c r="J1852" s="8">
        <f>IF(AND(Таблицаx_2[[#This Row],[Месяц окончания]]=Таблицаx_2[[#This Row],[Месяц]],Таблицаx_2[[#This Row],[id]]=A1853,EDATE(Таблицаx_2[[#This Row],[Месяц]],1)=D1853),F1853,0)</f>
        <v>0</v>
      </c>
      <c r="K1852" s="8">
        <f>IF(AND(Таблицаx_2[[#This Row],[Месяц окончания]]=Таблицаx_2[[#This Row],[Месяц]],Таблицаx_2[[#This Row],[id]]=A1853,EDATE(Таблицаx_2[[#This Row],[Месяц]],2)=D1853),F1853,0)</f>
        <v>0</v>
      </c>
    </row>
    <row r="1853" spans="1:11" ht="12.75" hidden="1" customHeight="1" x14ac:dyDescent="0.2">
      <c r="A1853" s="8">
        <v>925</v>
      </c>
      <c r="B1853" s="8"/>
      <c r="C1853" s="8" t="s">
        <v>10</v>
      </c>
      <c r="D1853" s="12">
        <v>45170</v>
      </c>
      <c r="E1853" s="8">
        <v>132520</v>
      </c>
      <c r="F1853" s="10">
        <f>IF(ISTEXT(Таблицаx_2[[#This Row],[Значение]]), 0, Таблицаx_2[[#This Row],[Значение]])</f>
        <v>132520</v>
      </c>
      <c r="G1853" s="12">
        <v>45261</v>
      </c>
      <c r="H1853" s="10" t="str">
        <f>IFERROR(VLOOKUP(Таблицаx_2[[#This Row],[id]],prolongations!A:C,2,)," ")</f>
        <v>декабрь 2023</v>
      </c>
      <c r="I1853" s="10">
        <f>IF(Таблицаx_2[[#This Row],[Месяц окончания]]=Таблицаx_2[[#This Row],[Месяц]],Таблицаx_2[[#This Row],[Значения числа]],0)</f>
        <v>0</v>
      </c>
      <c r="J1853" s="8">
        <f>IF(AND(Таблицаx_2[[#This Row],[Месяц окончания]]=Таблицаx_2[[#This Row],[Месяц]],Таблицаx_2[[#This Row],[id]]=A1854,EDATE(Таблицаx_2[[#This Row],[Месяц]],1)=D1854),F1854,0)</f>
        <v>0</v>
      </c>
      <c r="K1853" s="8">
        <f>IF(AND(Таблицаx_2[[#This Row],[Месяц окончания]]=Таблицаx_2[[#This Row],[Месяц]],Таблицаx_2[[#This Row],[id]]=A1854,EDATE(Таблицаx_2[[#This Row],[Месяц]],2)=D1854),F1854,0)</f>
        <v>0</v>
      </c>
    </row>
    <row r="1854" spans="1:11" ht="12.75" hidden="1" customHeight="1" x14ac:dyDescent="0.2">
      <c r="A1854" s="8">
        <v>925</v>
      </c>
      <c r="B1854" s="8"/>
      <c r="C1854" s="8" t="s">
        <v>10</v>
      </c>
      <c r="D1854" s="12">
        <v>45200</v>
      </c>
      <c r="E1854" s="8">
        <v>135230</v>
      </c>
      <c r="F1854" s="10">
        <f>IF(ISTEXT(Таблицаx_2[[#This Row],[Значение]]), 0, Таблицаx_2[[#This Row],[Значение]])</f>
        <v>135230</v>
      </c>
      <c r="G1854" s="12">
        <v>45261</v>
      </c>
      <c r="H1854" s="10" t="str">
        <f>IFERROR(VLOOKUP(Таблицаx_2[[#This Row],[id]],prolongations!A:C,2,)," ")</f>
        <v>декабрь 2023</v>
      </c>
      <c r="I1854" s="10">
        <f>IF(Таблицаx_2[[#This Row],[Месяц окончания]]=Таблицаx_2[[#This Row],[Месяц]],Таблицаx_2[[#This Row],[Значения числа]],0)</f>
        <v>0</v>
      </c>
      <c r="J1854" s="8">
        <f>IF(AND(Таблицаx_2[[#This Row],[Месяц окончания]]=Таблицаx_2[[#This Row],[Месяц]],Таблицаx_2[[#This Row],[id]]=A1855,EDATE(Таблицаx_2[[#This Row],[Месяц]],1)=D1855),F1855,0)</f>
        <v>0</v>
      </c>
      <c r="K1854" s="8">
        <f>IF(AND(Таблицаx_2[[#This Row],[Месяц окончания]]=Таблицаx_2[[#This Row],[Месяц]],Таблицаx_2[[#This Row],[id]]=A1855,EDATE(Таблицаx_2[[#This Row],[Месяц]],2)=D1855),F1855,0)</f>
        <v>0</v>
      </c>
    </row>
    <row r="1855" spans="1:11" ht="12.75" hidden="1" customHeight="1" x14ac:dyDescent="0.2">
      <c r="A1855" s="8">
        <v>925</v>
      </c>
      <c r="B1855" s="8"/>
      <c r="C1855" s="8" t="s">
        <v>10</v>
      </c>
      <c r="D1855" s="12">
        <v>45231</v>
      </c>
      <c r="E1855" s="8">
        <v>141750</v>
      </c>
      <c r="F1855" s="10">
        <f>IF(ISTEXT(Таблицаx_2[[#This Row],[Значение]]), 0, Таблицаx_2[[#This Row],[Значение]])</f>
        <v>141750</v>
      </c>
      <c r="G1855" s="12">
        <v>45261</v>
      </c>
      <c r="H1855" s="10" t="str">
        <f>IFERROR(VLOOKUP(Таблицаx_2[[#This Row],[id]],prolongations!A:C,2,)," ")</f>
        <v>декабрь 2023</v>
      </c>
      <c r="I1855" s="10">
        <f>IF(Таблицаx_2[[#This Row],[Месяц окончания]]=Таблицаx_2[[#This Row],[Месяц]],Таблицаx_2[[#This Row],[Значения числа]],0)</f>
        <v>0</v>
      </c>
      <c r="J1855" s="8">
        <f>IF(AND(Таблицаx_2[[#This Row],[Месяц окончания]]=Таблицаx_2[[#This Row],[Месяц]],Таблицаx_2[[#This Row],[id]]=A1856,EDATE(Таблицаx_2[[#This Row],[Месяц]],1)=D1856),F1856,0)</f>
        <v>0</v>
      </c>
      <c r="K1855" s="8">
        <f>IF(AND(Таблицаx_2[[#This Row],[Месяц окончания]]=Таблицаx_2[[#This Row],[Месяц]],Таблицаx_2[[#This Row],[id]]=A1856,EDATE(Таблицаx_2[[#This Row],[Месяц]],2)=D1856),F1856,0)</f>
        <v>0</v>
      </c>
    </row>
    <row r="1856" spans="1:11" ht="12.75" hidden="1" customHeight="1" x14ac:dyDescent="0.2">
      <c r="A1856" s="8">
        <v>925</v>
      </c>
      <c r="B1856" s="8"/>
      <c r="C1856" s="8" t="s">
        <v>10</v>
      </c>
      <c r="D1856" s="12">
        <v>45261</v>
      </c>
      <c r="E1856" s="8">
        <v>156040</v>
      </c>
      <c r="F1856" s="10">
        <f>IF(ISTEXT(Таблицаx_2[[#This Row],[Значение]]), 0, Таблицаx_2[[#This Row],[Значение]])</f>
        <v>156040</v>
      </c>
      <c r="G1856" s="12">
        <v>45261</v>
      </c>
      <c r="H1856" s="10" t="str">
        <f>IFERROR(VLOOKUP(Таблицаx_2[[#This Row],[id]],prolongations!A:C,2,)," ")</f>
        <v>декабрь 2023</v>
      </c>
      <c r="I1856" s="10">
        <f>IF(Таблицаx_2[[#This Row],[Месяц окончания]]=Таблицаx_2[[#This Row],[Месяц]],Таблицаx_2[[#This Row],[Значения числа]],0)</f>
        <v>156040</v>
      </c>
      <c r="J1856" s="8">
        <f>IF(AND(Таблицаx_2[[#This Row],[Месяц окончания]]=Таблицаx_2[[#This Row],[Месяц]],Таблицаx_2[[#This Row],[id]]=A1857,EDATE(Таблицаx_2[[#This Row],[Месяц]],1)=D1857),F1857,0)</f>
        <v>120025</v>
      </c>
      <c r="K1856" s="8">
        <f>IF(AND(Таблицаx_2[[#This Row],[Месяц окончания]]=Таблицаx_2[[#This Row],[Месяц]],Таблицаx_2[[#This Row],[id]]=A1857,EDATE(Таблицаx_2[[#This Row],[Месяц]],2)=D1857),F1857,0)</f>
        <v>0</v>
      </c>
    </row>
    <row r="1857" spans="1:11" ht="12.75" hidden="1" customHeight="1" x14ac:dyDescent="0.2">
      <c r="A1857" s="8">
        <v>925</v>
      </c>
      <c r="B1857" s="8"/>
      <c r="C1857" s="8" t="s">
        <v>10</v>
      </c>
      <c r="D1857" s="12">
        <v>45292</v>
      </c>
      <c r="E1857" s="8">
        <v>120025</v>
      </c>
      <c r="F1857" s="10">
        <f>IF(ISTEXT(Таблицаx_2[[#This Row],[Значение]]), 0, Таблицаx_2[[#This Row],[Значение]])</f>
        <v>120025</v>
      </c>
      <c r="G1857" s="12">
        <v>45261</v>
      </c>
      <c r="H1857" s="10" t="str">
        <f>IFERROR(VLOOKUP(Таблицаx_2[[#This Row],[id]],prolongations!A:C,2,)," ")</f>
        <v>декабрь 2023</v>
      </c>
      <c r="I1857" s="10">
        <f>IF(Таблицаx_2[[#This Row],[Месяц окончания]]=Таблицаx_2[[#This Row],[Месяц]],Таблицаx_2[[#This Row],[Значения числа]],0)</f>
        <v>0</v>
      </c>
      <c r="J1857" s="8">
        <f>IF(AND(Таблицаx_2[[#This Row],[Месяц окончания]]=Таблицаx_2[[#This Row],[Месяц]],Таблицаx_2[[#This Row],[id]]=A1858,EDATE(Таблицаx_2[[#This Row],[Месяц]],1)=D1858),F1858,0)</f>
        <v>0</v>
      </c>
      <c r="K1857" s="8">
        <f>IF(AND(Таблицаx_2[[#This Row],[Месяц окончания]]=Таблицаx_2[[#This Row],[Месяц]],Таблицаx_2[[#This Row],[id]]=A1858,EDATE(Таблицаx_2[[#This Row],[Месяц]],2)=D1858),F1858,0)</f>
        <v>0</v>
      </c>
    </row>
    <row r="1858" spans="1:11" ht="12.75" hidden="1" customHeight="1" x14ac:dyDescent="0.2">
      <c r="A1858" s="8">
        <v>925</v>
      </c>
      <c r="B1858" s="8"/>
      <c r="C1858" s="8" t="s">
        <v>10</v>
      </c>
      <c r="D1858" s="12">
        <v>45323</v>
      </c>
      <c r="E1858" s="8">
        <v>43922.5</v>
      </c>
      <c r="F1858" s="10">
        <f>IF(ISTEXT(Таблицаx_2[[#This Row],[Значение]]), 0, Таблицаx_2[[#This Row],[Значение]])</f>
        <v>43922.5</v>
      </c>
      <c r="G1858" s="12">
        <v>45261</v>
      </c>
      <c r="H1858" s="10" t="str">
        <f>IFERROR(VLOOKUP(Таблицаx_2[[#This Row],[id]],prolongations!A:C,2,)," ")</f>
        <v>декабрь 2023</v>
      </c>
      <c r="I1858" s="10">
        <f>IF(Таблицаx_2[[#This Row],[Месяц окончания]]=Таблицаx_2[[#This Row],[Месяц]],Таблицаx_2[[#This Row],[Значения числа]],0)</f>
        <v>0</v>
      </c>
      <c r="J1858" s="8">
        <f>IF(AND(Таблицаx_2[[#This Row],[Месяц окончания]]=Таблицаx_2[[#This Row],[Месяц]],Таблицаx_2[[#This Row],[id]]=A1859,EDATE(Таблицаx_2[[#This Row],[Месяц]],1)=D1859),F1859,0)</f>
        <v>0</v>
      </c>
      <c r="K1858" s="8">
        <f>IF(AND(Таблицаx_2[[#This Row],[Месяц окончания]]=Таблицаx_2[[#This Row],[Месяц]],Таблицаx_2[[#This Row],[id]]=A1859,EDATE(Таблицаx_2[[#This Row],[Месяц]],2)=D1859),F1859,0)</f>
        <v>0</v>
      </c>
    </row>
    <row r="1859" spans="1:11" ht="12.75" hidden="1" customHeight="1" x14ac:dyDescent="0.2">
      <c r="A1859" s="8">
        <v>783</v>
      </c>
      <c r="B1859" s="8"/>
      <c r="C1859" s="8" t="s">
        <v>6</v>
      </c>
      <c r="D1859" s="12">
        <v>44927</v>
      </c>
      <c r="E1859" s="8">
        <v>35000</v>
      </c>
      <c r="F1859" s="10">
        <f>IF(ISTEXT(Таблицаx_2[[#This Row],[Значение]]), 0, Таблицаx_2[[#This Row],[Значение]])</f>
        <v>35000</v>
      </c>
      <c r="G1859" s="12">
        <v>44986</v>
      </c>
      <c r="H1859" s="10" t="str">
        <f>IFERROR(VLOOKUP(Таблицаx_2[[#This Row],[id]],prolongations!A:C,2,)," ")</f>
        <v>март 2023</v>
      </c>
      <c r="I1859" s="10">
        <f>IF(Таблицаx_2[[#This Row],[Месяц окончания]]=Таблицаx_2[[#This Row],[Месяц]],Таблицаx_2[[#This Row],[Значения числа]],0)</f>
        <v>0</v>
      </c>
      <c r="J1859" s="8">
        <f>IF(AND(Таблицаx_2[[#This Row],[Месяц окончания]]=Таблицаx_2[[#This Row],[Месяц]],Таблицаx_2[[#This Row],[id]]=A1860,EDATE(Таблицаx_2[[#This Row],[Месяц]],1)=D1860),F1860,0)</f>
        <v>0</v>
      </c>
      <c r="K1859" s="8">
        <f>IF(AND(Таблицаx_2[[#This Row],[Месяц окончания]]=Таблицаx_2[[#This Row],[Месяц]],Таблицаx_2[[#This Row],[id]]=A1860,EDATE(Таблицаx_2[[#This Row],[Месяц]],2)=D1860),F1860,0)</f>
        <v>0</v>
      </c>
    </row>
    <row r="1860" spans="1:11" ht="12.75" hidden="1" customHeight="1" x14ac:dyDescent="0.2">
      <c r="A1860" s="8">
        <v>783</v>
      </c>
      <c r="B1860" s="8"/>
      <c r="C1860" s="8" t="s">
        <v>6</v>
      </c>
      <c r="D1860" s="12">
        <v>44958</v>
      </c>
      <c r="E1860" s="8">
        <v>35000</v>
      </c>
      <c r="F1860" s="10">
        <f>IF(ISTEXT(Таблицаx_2[[#This Row],[Значение]]), 0, Таблицаx_2[[#This Row],[Значение]])</f>
        <v>35000</v>
      </c>
      <c r="G1860" s="12">
        <v>44986</v>
      </c>
      <c r="H1860" s="10" t="str">
        <f>IFERROR(VLOOKUP(Таблицаx_2[[#This Row],[id]],prolongations!A:C,2,)," ")</f>
        <v>март 2023</v>
      </c>
      <c r="I1860" s="10">
        <f>IF(Таблицаx_2[[#This Row],[Месяц окончания]]=Таблицаx_2[[#This Row],[Месяц]],Таблицаx_2[[#This Row],[Значения числа]],0)</f>
        <v>0</v>
      </c>
      <c r="J1860" s="8">
        <f>IF(AND(Таблицаx_2[[#This Row],[Месяц окончания]]=Таблицаx_2[[#This Row],[Месяц]],Таблицаx_2[[#This Row],[id]]=A1861,EDATE(Таблицаx_2[[#This Row],[Месяц]],1)=D1861),F1861,0)</f>
        <v>0</v>
      </c>
      <c r="K1860" s="8">
        <f>IF(AND(Таблицаx_2[[#This Row],[Месяц окончания]]=Таблицаx_2[[#This Row],[Месяц]],Таблицаx_2[[#This Row],[id]]=A1861,EDATE(Таблицаx_2[[#This Row],[Месяц]],2)=D1861),F1861,0)</f>
        <v>0</v>
      </c>
    </row>
    <row r="1861" spans="1:11" ht="12.75" hidden="1" customHeight="1" x14ac:dyDescent="0.2">
      <c r="A1861" s="8">
        <v>783</v>
      </c>
      <c r="B1861" s="8"/>
      <c r="C1861" s="8" t="s">
        <v>6</v>
      </c>
      <c r="D1861" s="12">
        <v>44986</v>
      </c>
      <c r="E1861" s="8">
        <v>35000</v>
      </c>
      <c r="F1861" s="10">
        <f>IF(ISTEXT(Таблицаx_2[[#This Row],[Значение]]), 0, Таблицаx_2[[#This Row],[Значение]])</f>
        <v>35000</v>
      </c>
      <c r="G1861" s="12">
        <v>44986</v>
      </c>
      <c r="H1861" s="10" t="str">
        <f>IFERROR(VLOOKUP(Таблицаx_2[[#This Row],[id]],prolongations!A:C,2,)," ")</f>
        <v>март 2023</v>
      </c>
      <c r="I1861" s="10">
        <f>IF(Таблицаx_2[[#This Row],[Месяц окончания]]=Таблицаx_2[[#This Row],[Месяц]],Таблицаx_2[[#This Row],[Значения числа]],0)</f>
        <v>35000</v>
      </c>
      <c r="J1861" s="8">
        <f>IF(AND(Таблицаx_2[[#This Row],[Месяц окончания]]=Таблицаx_2[[#This Row],[Месяц]],Таблицаx_2[[#This Row],[id]]=A1862,EDATE(Таблицаx_2[[#This Row],[Месяц]],1)=D1862),F1862,0)</f>
        <v>35000</v>
      </c>
      <c r="K1861" s="8">
        <f>IF(AND(Таблицаx_2[[#This Row],[Месяц окончания]]=Таблицаx_2[[#This Row],[Месяц]],Таблицаx_2[[#This Row],[id]]=A1862,EDATE(Таблицаx_2[[#This Row],[Месяц]],2)=D1862),F1862,0)</f>
        <v>0</v>
      </c>
    </row>
    <row r="1862" spans="1:11" ht="12.75" hidden="1" customHeight="1" x14ac:dyDescent="0.2">
      <c r="A1862" s="8">
        <v>783</v>
      </c>
      <c r="B1862" s="8"/>
      <c r="C1862" s="8" t="s">
        <v>6</v>
      </c>
      <c r="D1862" s="12">
        <v>45017</v>
      </c>
      <c r="E1862" s="8">
        <v>35000</v>
      </c>
      <c r="F1862" s="10">
        <f>IF(ISTEXT(Таблицаx_2[[#This Row],[Значение]]), 0, Таблицаx_2[[#This Row],[Значение]])</f>
        <v>35000</v>
      </c>
      <c r="G1862" s="12">
        <v>44986</v>
      </c>
      <c r="H1862" s="10" t="str">
        <f>IFERROR(VLOOKUP(Таблицаx_2[[#This Row],[id]],prolongations!A:C,2,)," ")</f>
        <v>март 2023</v>
      </c>
      <c r="I1862" s="10">
        <f>IF(Таблицаx_2[[#This Row],[Месяц окончания]]=Таблицаx_2[[#This Row],[Месяц]],Таблицаx_2[[#This Row],[Значения числа]],0)</f>
        <v>0</v>
      </c>
      <c r="J1862" s="8">
        <f>IF(AND(Таблицаx_2[[#This Row],[Месяц окончания]]=Таблицаx_2[[#This Row],[Месяц]],Таблицаx_2[[#This Row],[id]]=A1863,EDATE(Таблицаx_2[[#This Row],[Месяц]],1)=D1863),F1863,0)</f>
        <v>0</v>
      </c>
      <c r="K1862" s="8">
        <f>IF(AND(Таблицаx_2[[#This Row],[Месяц окончания]]=Таблицаx_2[[#This Row],[Месяц]],Таблицаx_2[[#This Row],[id]]=A1863,EDATE(Таблицаx_2[[#This Row],[Месяц]],2)=D1863),F1863,0)</f>
        <v>0</v>
      </c>
    </row>
    <row r="1863" spans="1:11" ht="12.75" hidden="1" customHeight="1" x14ac:dyDescent="0.2">
      <c r="A1863" s="8">
        <v>783</v>
      </c>
      <c r="B1863" s="8"/>
      <c r="C1863" s="8" t="s">
        <v>6</v>
      </c>
      <c r="D1863" s="12">
        <v>45047</v>
      </c>
      <c r="E1863" s="8">
        <v>35000</v>
      </c>
      <c r="F1863" s="10">
        <f>IF(ISTEXT(Таблицаx_2[[#This Row],[Значение]]), 0, Таблицаx_2[[#This Row],[Значение]])</f>
        <v>35000</v>
      </c>
      <c r="G1863" s="12">
        <v>44986</v>
      </c>
      <c r="H1863" s="10" t="str">
        <f>IFERROR(VLOOKUP(Таблицаx_2[[#This Row],[id]],prolongations!A:C,2,)," ")</f>
        <v>март 2023</v>
      </c>
      <c r="I1863" s="10">
        <f>IF(Таблицаx_2[[#This Row],[Месяц окончания]]=Таблицаx_2[[#This Row],[Месяц]],Таблицаx_2[[#This Row],[Значения числа]],0)</f>
        <v>0</v>
      </c>
      <c r="J1863" s="8">
        <f>IF(AND(Таблицаx_2[[#This Row],[Месяц окончания]]=Таблицаx_2[[#This Row],[Месяц]],Таблицаx_2[[#This Row],[id]]=A1864,EDATE(Таблицаx_2[[#This Row],[Месяц]],1)=D1864),F1864,0)</f>
        <v>0</v>
      </c>
      <c r="K1863" s="8">
        <f>IF(AND(Таблицаx_2[[#This Row],[Месяц окончания]]=Таблицаx_2[[#This Row],[Месяц]],Таблицаx_2[[#This Row],[id]]=A1864,EDATE(Таблицаx_2[[#This Row],[Месяц]],2)=D1864),F1864,0)</f>
        <v>0</v>
      </c>
    </row>
    <row r="1864" spans="1:11" ht="12.75" hidden="1" customHeight="1" x14ac:dyDescent="0.2">
      <c r="A1864" s="8">
        <v>783</v>
      </c>
      <c r="B1864" s="8"/>
      <c r="C1864" s="8" t="s">
        <v>6</v>
      </c>
      <c r="D1864" s="12">
        <v>45078</v>
      </c>
      <c r="E1864" s="8">
        <v>35000</v>
      </c>
      <c r="F1864" s="10">
        <f>IF(ISTEXT(Таблицаx_2[[#This Row],[Значение]]), 0, Таблицаx_2[[#This Row],[Значение]])</f>
        <v>35000</v>
      </c>
      <c r="G1864" s="12">
        <v>44986</v>
      </c>
      <c r="H1864" s="10" t="str">
        <f>IFERROR(VLOOKUP(Таблицаx_2[[#This Row],[id]],prolongations!A:C,2,)," ")</f>
        <v>март 2023</v>
      </c>
      <c r="I1864" s="10">
        <f>IF(Таблицаx_2[[#This Row],[Месяц окончания]]=Таблицаx_2[[#This Row],[Месяц]],Таблицаx_2[[#This Row],[Значения числа]],0)</f>
        <v>0</v>
      </c>
      <c r="J1864" s="8">
        <f>IF(AND(Таблицаx_2[[#This Row],[Месяц окончания]]=Таблицаx_2[[#This Row],[Месяц]],Таблицаx_2[[#This Row],[id]]=A1865,EDATE(Таблицаx_2[[#This Row],[Месяц]],1)=D1865),F1865,0)</f>
        <v>0</v>
      </c>
      <c r="K1864" s="8">
        <f>IF(AND(Таблицаx_2[[#This Row],[Месяц окончания]]=Таблицаx_2[[#This Row],[Месяц]],Таблицаx_2[[#This Row],[id]]=A1865,EDATE(Таблицаx_2[[#This Row],[Месяц]],2)=D1865),F1865,0)</f>
        <v>0</v>
      </c>
    </row>
    <row r="1865" spans="1:11" ht="12.75" hidden="1" customHeight="1" x14ac:dyDescent="0.2">
      <c r="A1865" s="8">
        <v>783</v>
      </c>
      <c r="B1865" s="8"/>
      <c r="C1865" s="8" t="s">
        <v>6</v>
      </c>
      <c r="D1865" s="12">
        <v>45108</v>
      </c>
      <c r="E1865" s="8">
        <v>50000</v>
      </c>
      <c r="F1865" s="10">
        <f>IF(ISTEXT(Таблицаx_2[[#This Row],[Значение]]), 0, Таблицаx_2[[#This Row],[Значение]])</f>
        <v>50000</v>
      </c>
      <c r="G1865" s="12">
        <v>44986</v>
      </c>
      <c r="H1865" s="10" t="str">
        <f>IFERROR(VLOOKUP(Таблицаx_2[[#This Row],[id]],prolongations!A:C,2,)," ")</f>
        <v>март 2023</v>
      </c>
      <c r="I1865" s="10">
        <f>IF(Таблицаx_2[[#This Row],[Месяц окончания]]=Таблицаx_2[[#This Row],[Месяц]],Таблицаx_2[[#This Row],[Значения числа]],0)</f>
        <v>0</v>
      </c>
      <c r="J1865" s="8">
        <f>IF(AND(Таблицаx_2[[#This Row],[Месяц окончания]]=Таблицаx_2[[#This Row],[Месяц]],Таблицаx_2[[#This Row],[id]]=A1866,EDATE(Таблицаx_2[[#This Row],[Месяц]],1)=D1866),F1866,0)</f>
        <v>0</v>
      </c>
      <c r="K1865" s="8">
        <f>IF(AND(Таблицаx_2[[#This Row],[Месяц окончания]]=Таблицаx_2[[#This Row],[Месяц]],Таблицаx_2[[#This Row],[id]]=A1866,EDATE(Таблицаx_2[[#This Row],[Месяц]],2)=D1866),F1866,0)</f>
        <v>0</v>
      </c>
    </row>
    <row r="1866" spans="1:11" ht="12.75" hidden="1" customHeight="1" x14ac:dyDescent="0.2">
      <c r="A1866" s="8">
        <v>783</v>
      </c>
      <c r="B1866" s="8"/>
      <c r="C1866" s="8" t="s">
        <v>6</v>
      </c>
      <c r="D1866" s="12">
        <v>45139</v>
      </c>
      <c r="E1866" s="8">
        <v>50000</v>
      </c>
      <c r="F1866" s="10">
        <f>IF(ISTEXT(Таблицаx_2[[#This Row],[Значение]]), 0, Таблицаx_2[[#This Row],[Значение]])</f>
        <v>50000</v>
      </c>
      <c r="G1866" s="12">
        <v>44986</v>
      </c>
      <c r="H1866" s="10" t="str">
        <f>IFERROR(VLOOKUP(Таблицаx_2[[#This Row],[id]],prolongations!A:C,2,)," ")</f>
        <v>март 2023</v>
      </c>
      <c r="I1866" s="10">
        <f>IF(Таблицаx_2[[#This Row],[Месяц окончания]]=Таблицаx_2[[#This Row],[Месяц]],Таблицаx_2[[#This Row],[Значения числа]],0)</f>
        <v>0</v>
      </c>
      <c r="J1866" s="8">
        <f>IF(AND(Таблицаx_2[[#This Row],[Месяц окончания]]=Таблицаx_2[[#This Row],[Месяц]],Таблицаx_2[[#This Row],[id]]=A1867,EDATE(Таблицаx_2[[#This Row],[Месяц]],1)=D1867),F1867,0)</f>
        <v>0</v>
      </c>
      <c r="K1866" s="8">
        <f>IF(AND(Таблицаx_2[[#This Row],[Месяц окончания]]=Таблицаx_2[[#This Row],[Месяц]],Таблицаx_2[[#This Row],[id]]=A1867,EDATE(Таблицаx_2[[#This Row],[Месяц]],2)=D1867),F1867,0)</f>
        <v>0</v>
      </c>
    </row>
    <row r="1867" spans="1:11" ht="12.75" hidden="1" customHeight="1" x14ac:dyDescent="0.2">
      <c r="A1867" s="8">
        <v>783</v>
      </c>
      <c r="B1867" s="8"/>
      <c r="C1867" s="8" t="s">
        <v>6</v>
      </c>
      <c r="D1867" s="12">
        <v>45170</v>
      </c>
      <c r="E1867" s="8">
        <v>50000</v>
      </c>
      <c r="F1867" s="10">
        <f>IF(ISTEXT(Таблицаx_2[[#This Row],[Значение]]), 0, Таблицаx_2[[#This Row],[Значение]])</f>
        <v>50000</v>
      </c>
      <c r="G1867" s="12">
        <v>44986</v>
      </c>
      <c r="H1867" s="10" t="str">
        <f>IFERROR(VLOOKUP(Таблицаx_2[[#This Row],[id]],prolongations!A:C,2,)," ")</f>
        <v>март 2023</v>
      </c>
      <c r="I1867" s="10">
        <f>IF(Таблицаx_2[[#This Row],[Месяц окончания]]=Таблицаx_2[[#This Row],[Месяц]],Таблицаx_2[[#This Row],[Значения числа]],0)</f>
        <v>0</v>
      </c>
      <c r="J1867" s="8">
        <f>IF(AND(Таблицаx_2[[#This Row],[Месяц окончания]]=Таблицаx_2[[#This Row],[Месяц]],Таблицаx_2[[#This Row],[id]]=A1868,EDATE(Таблицаx_2[[#This Row],[Месяц]],1)=D1868),F1868,0)</f>
        <v>0</v>
      </c>
      <c r="K1867" s="8">
        <f>IF(AND(Таблицаx_2[[#This Row],[Месяц окончания]]=Таблицаx_2[[#This Row],[Месяц]],Таблицаx_2[[#This Row],[id]]=A1868,EDATE(Таблицаx_2[[#This Row],[Месяц]],2)=D1868),F1868,0)</f>
        <v>0</v>
      </c>
    </row>
    <row r="1868" spans="1:11" ht="12.75" hidden="1" customHeight="1" x14ac:dyDescent="0.2">
      <c r="A1868" s="8">
        <v>783</v>
      </c>
      <c r="B1868" s="8"/>
      <c r="C1868" s="8" t="s">
        <v>6</v>
      </c>
      <c r="D1868" s="12">
        <v>45200</v>
      </c>
      <c r="E1868" s="8">
        <v>50000</v>
      </c>
      <c r="F1868" s="10">
        <f>IF(ISTEXT(Таблицаx_2[[#This Row],[Значение]]), 0, Таблицаx_2[[#This Row],[Значение]])</f>
        <v>50000</v>
      </c>
      <c r="G1868" s="12">
        <v>44986</v>
      </c>
      <c r="H1868" s="10" t="str">
        <f>IFERROR(VLOOKUP(Таблицаx_2[[#This Row],[id]],prolongations!A:C,2,)," ")</f>
        <v>март 2023</v>
      </c>
      <c r="I1868" s="10">
        <f>IF(Таблицаx_2[[#This Row],[Месяц окончания]]=Таблицаx_2[[#This Row],[Месяц]],Таблицаx_2[[#This Row],[Значения числа]],0)</f>
        <v>0</v>
      </c>
      <c r="J1868" s="8">
        <f>IF(AND(Таблицаx_2[[#This Row],[Месяц окончания]]=Таблицаx_2[[#This Row],[Месяц]],Таблицаx_2[[#This Row],[id]]=A1869,EDATE(Таблицаx_2[[#This Row],[Месяц]],1)=D1869),F1869,0)</f>
        <v>0</v>
      </c>
      <c r="K1868" s="8">
        <f>IF(AND(Таблицаx_2[[#This Row],[Месяц окончания]]=Таблицаx_2[[#This Row],[Месяц]],Таблицаx_2[[#This Row],[id]]=A1869,EDATE(Таблицаx_2[[#This Row],[Месяц]],2)=D1869),F1869,0)</f>
        <v>0</v>
      </c>
    </row>
    <row r="1869" spans="1:11" ht="12.75" hidden="1" customHeight="1" x14ac:dyDescent="0.2">
      <c r="A1869" s="8">
        <v>783</v>
      </c>
      <c r="B1869" s="8"/>
      <c r="C1869" s="8" t="s">
        <v>6</v>
      </c>
      <c r="D1869" s="12">
        <v>45231</v>
      </c>
      <c r="E1869" s="8">
        <v>50000</v>
      </c>
      <c r="F1869" s="10">
        <f>IF(ISTEXT(Таблицаx_2[[#This Row],[Значение]]), 0, Таблицаx_2[[#This Row],[Значение]])</f>
        <v>50000</v>
      </c>
      <c r="G1869" s="12">
        <v>44986</v>
      </c>
      <c r="H1869" s="10" t="str">
        <f>IFERROR(VLOOKUP(Таблицаx_2[[#This Row],[id]],prolongations!A:C,2,)," ")</f>
        <v>март 2023</v>
      </c>
      <c r="I1869" s="10">
        <f>IF(Таблицаx_2[[#This Row],[Месяц окончания]]=Таблицаx_2[[#This Row],[Месяц]],Таблицаx_2[[#This Row],[Значения числа]],0)</f>
        <v>0</v>
      </c>
      <c r="J1869" s="8">
        <f>IF(AND(Таблицаx_2[[#This Row],[Месяц окончания]]=Таблицаx_2[[#This Row],[Месяц]],Таблицаx_2[[#This Row],[id]]=A1870,EDATE(Таблицаx_2[[#This Row],[Месяц]],1)=D1870),F1870,0)</f>
        <v>0</v>
      </c>
      <c r="K1869" s="8">
        <f>IF(AND(Таблицаx_2[[#This Row],[Месяц окончания]]=Таблицаx_2[[#This Row],[Месяц]],Таблицаx_2[[#This Row],[id]]=A1870,EDATE(Таблицаx_2[[#This Row],[Месяц]],2)=D1870),F1870,0)</f>
        <v>0</v>
      </c>
    </row>
    <row r="1870" spans="1:11" ht="12.75" hidden="1" customHeight="1" x14ac:dyDescent="0.2">
      <c r="A1870" s="8">
        <v>783</v>
      </c>
      <c r="B1870" s="8"/>
      <c r="C1870" s="8" t="s">
        <v>6</v>
      </c>
      <c r="D1870" s="12">
        <v>45261</v>
      </c>
      <c r="E1870" s="8">
        <v>25000</v>
      </c>
      <c r="F1870" s="10">
        <f>IF(ISTEXT(Таблицаx_2[[#This Row],[Значение]]), 0, Таблицаx_2[[#This Row],[Значение]])</f>
        <v>25000</v>
      </c>
      <c r="G1870" s="12">
        <v>44986</v>
      </c>
      <c r="H1870" s="10" t="str">
        <f>IFERROR(VLOOKUP(Таблицаx_2[[#This Row],[id]],prolongations!A:C,2,)," ")</f>
        <v>март 2023</v>
      </c>
      <c r="I1870" s="10">
        <f>IF(Таблицаx_2[[#This Row],[Месяц окончания]]=Таблицаx_2[[#This Row],[Месяц]],Таблицаx_2[[#This Row],[Значения числа]],0)</f>
        <v>0</v>
      </c>
      <c r="J1870" s="8">
        <f>IF(AND(Таблицаx_2[[#This Row],[Месяц окончания]]=Таблицаx_2[[#This Row],[Месяц]],Таблицаx_2[[#This Row],[id]]=A1871,EDATE(Таблицаx_2[[#This Row],[Месяц]],1)=D1871),F1871,0)</f>
        <v>0</v>
      </c>
      <c r="K1870" s="8">
        <f>IF(AND(Таблицаx_2[[#This Row],[Месяц окончания]]=Таблицаx_2[[#This Row],[Месяц]],Таблицаx_2[[#This Row],[id]]=A1871,EDATE(Таблицаx_2[[#This Row],[Месяц]],2)=D1871),F1871,0)</f>
        <v>0</v>
      </c>
    </row>
    <row r="1871" spans="1:11" ht="12.75" hidden="1" customHeight="1" x14ac:dyDescent="0.2">
      <c r="A1871" s="8">
        <v>109</v>
      </c>
      <c r="B1871" s="8" t="s">
        <v>45</v>
      </c>
      <c r="C1871" s="8" t="s">
        <v>4</v>
      </c>
      <c r="D1871" s="12">
        <v>44866</v>
      </c>
      <c r="E1871" s="8">
        <v>94000</v>
      </c>
      <c r="F1871" s="10">
        <f>IF(ISTEXT(Таблицаx_2[[#This Row],[Значение]]), 0, Таблицаx_2[[#This Row],[Значение]])</f>
        <v>94000</v>
      </c>
      <c r="G1871" s="12">
        <v>45139</v>
      </c>
      <c r="H1871" s="10" t="str">
        <f>IFERROR(VLOOKUP(Таблицаx_2[[#This Row],[id]],prolongations!A:C,2,)," ")</f>
        <v>август 2023</v>
      </c>
      <c r="I1871" s="10">
        <f>IF(Таблицаx_2[[#This Row],[Месяц окончания]]=Таблицаx_2[[#This Row],[Месяц]],Таблицаx_2[[#This Row],[Значения числа]],0)</f>
        <v>0</v>
      </c>
      <c r="J1871" s="8">
        <f>IF(AND(Таблицаx_2[[#This Row],[Месяц окончания]]=Таблицаx_2[[#This Row],[Месяц]],Таблицаx_2[[#This Row],[id]]=A1872,EDATE(Таблицаx_2[[#This Row],[Месяц]],1)=D1872),F1872,0)</f>
        <v>0</v>
      </c>
      <c r="K1871" s="8">
        <f>IF(AND(Таблицаx_2[[#This Row],[Месяц окончания]]=Таблицаx_2[[#This Row],[Месяц]],Таблицаx_2[[#This Row],[id]]=A1872,EDATE(Таблицаx_2[[#This Row],[Месяц]],2)=D1872),F1872,0)</f>
        <v>0</v>
      </c>
    </row>
    <row r="1872" spans="1:11" ht="12.75" hidden="1" customHeight="1" x14ac:dyDescent="0.2">
      <c r="A1872" s="8">
        <v>109</v>
      </c>
      <c r="B1872" s="8" t="s">
        <v>45</v>
      </c>
      <c r="C1872" s="8" t="s">
        <v>4</v>
      </c>
      <c r="D1872" s="12">
        <v>44896</v>
      </c>
      <c r="E1872" s="8">
        <v>94000</v>
      </c>
      <c r="F1872" s="10">
        <f>IF(ISTEXT(Таблицаx_2[[#This Row],[Значение]]), 0, Таблицаx_2[[#This Row],[Значение]])</f>
        <v>94000</v>
      </c>
      <c r="G1872" s="12">
        <v>45139</v>
      </c>
      <c r="H1872" s="10" t="str">
        <f>IFERROR(VLOOKUP(Таблицаx_2[[#This Row],[id]],prolongations!A:C,2,)," ")</f>
        <v>август 2023</v>
      </c>
      <c r="I1872" s="10">
        <f>IF(Таблицаx_2[[#This Row],[Месяц окончания]]=Таблицаx_2[[#This Row],[Месяц]],Таблицаx_2[[#This Row],[Значения числа]],0)</f>
        <v>0</v>
      </c>
      <c r="J1872" s="8">
        <f>IF(AND(Таблицаx_2[[#This Row],[Месяц окончания]]=Таблицаx_2[[#This Row],[Месяц]],Таблицаx_2[[#This Row],[id]]=A1873,EDATE(Таблицаx_2[[#This Row],[Месяц]],1)=D1873),F1873,0)</f>
        <v>0</v>
      </c>
      <c r="K1872" s="8">
        <f>IF(AND(Таблицаx_2[[#This Row],[Месяц окончания]]=Таблицаx_2[[#This Row],[Месяц]],Таблицаx_2[[#This Row],[id]]=A1873,EDATE(Таблицаx_2[[#This Row],[Месяц]],2)=D1873),F1873,0)</f>
        <v>0</v>
      </c>
    </row>
    <row r="1873" spans="1:11" ht="12.75" hidden="1" customHeight="1" x14ac:dyDescent="0.2">
      <c r="A1873" s="8">
        <v>109</v>
      </c>
      <c r="B1873" s="8" t="s">
        <v>45</v>
      </c>
      <c r="C1873" s="8" t="s">
        <v>4</v>
      </c>
      <c r="D1873" s="12">
        <v>44927</v>
      </c>
      <c r="E1873" s="8">
        <v>94000</v>
      </c>
      <c r="F1873" s="10">
        <f>IF(ISTEXT(Таблицаx_2[[#This Row],[Значение]]), 0, Таблицаx_2[[#This Row],[Значение]])</f>
        <v>94000</v>
      </c>
      <c r="G1873" s="12">
        <v>45139</v>
      </c>
      <c r="H1873" s="10" t="str">
        <f>IFERROR(VLOOKUP(Таблицаx_2[[#This Row],[id]],prolongations!A:C,2,)," ")</f>
        <v>август 2023</v>
      </c>
      <c r="I1873" s="10">
        <f>IF(Таблицаx_2[[#This Row],[Месяц окончания]]=Таблицаx_2[[#This Row],[Месяц]],Таблицаx_2[[#This Row],[Значения числа]],0)</f>
        <v>0</v>
      </c>
      <c r="J1873" s="8">
        <f>IF(AND(Таблицаx_2[[#This Row],[Месяц окончания]]=Таблицаx_2[[#This Row],[Месяц]],Таблицаx_2[[#This Row],[id]]=A1874,EDATE(Таблицаx_2[[#This Row],[Месяц]],1)=D1874),F1874,0)</f>
        <v>0</v>
      </c>
      <c r="K1873" s="8">
        <f>IF(AND(Таблицаx_2[[#This Row],[Месяц окончания]]=Таблицаx_2[[#This Row],[Месяц]],Таблицаx_2[[#This Row],[id]]=A1874,EDATE(Таблицаx_2[[#This Row],[Месяц]],2)=D1874),F1874,0)</f>
        <v>0</v>
      </c>
    </row>
    <row r="1874" spans="1:11" ht="12.75" hidden="1" customHeight="1" x14ac:dyDescent="0.2">
      <c r="A1874" s="8">
        <v>109</v>
      </c>
      <c r="B1874" s="8" t="s">
        <v>45</v>
      </c>
      <c r="C1874" s="8" t="s">
        <v>4</v>
      </c>
      <c r="D1874" s="12">
        <v>44958</v>
      </c>
      <c r="E1874" s="8">
        <v>94000</v>
      </c>
      <c r="F1874" s="10">
        <f>IF(ISTEXT(Таблицаx_2[[#This Row],[Значение]]), 0, Таблицаx_2[[#This Row],[Значение]])</f>
        <v>94000</v>
      </c>
      <c r="G1874" s="12">
        <v>45139</v>
      </c>
      <c r="H1874" s="10" t="str">
        <f>IFERROR(VLOOKUP(Таблицаx_2[[#This Row],[id]],prolongations!A:C,2,)," ")</f>
        <v>август 2023</v>
      </c>
      <c r="I1874" s="10">
        <f>IF(Таблицаx_2[[#This Row],[Месяц окончания]]=Таблицаx_2[[#This Row],[Месяц]],Таблицаx_2[[#This Row],[Значения числа]],0)</f>
        <v>0</v>
      </c>
      <c r="J1874" s="8">
        <f>IF(AND(Таблицаx_2[[#This Row],[Месяц окончания]]=Таблицаx_2[[#This Row],[Месяц]],Таблицаx_2[[#This Row],[id]]=A1875,EDATE(Таблицаx_2[[#This Row],[Месяц]],1)=D1875),F1875,0)</f>
        <v>0</v>
      </c>
      <c r="K1874" s="8">
        <f>IF(AND(Таблицаx_2[[#This Row],[Месяц окончания]]=Таблицаx_2[[#This Row],[Месяц]],Таблицаx_2[[#This Row],[id]]=A1875,EDATE(Таблицаx_2[[#This Row],[Месяц]],2)=D1875),F1875,0)</f>
        <v>0</v>
      </c>
    </row>
    <row r="1875" spans="1:11" ht="12.75" hidden="1" customHeight="1" x14ac:dyDescent="0.2">
      <c r="A1875" s="8">
        <v>109</v>
      </c>
      <c r="B1875" s="8" t="s">
        <v>45</v>
      </c>
      <c r="C1875" s="8" t="s">
        <v>4</v>
      </c>
      <c r="D1875" s="12">
        <v>44986</v>
      </c>
      <c r="E1875" s="8">
        <v>94000</v>
      </c>
      <c r="F1875" s="10">
        <f>IF(ISTEXT(Таблицаx_2[[#This Row],[Значение]]), 0, Таблицаx_2[[#This Row],[Значение]])</f>
        <v>94000</v>
      </c>
      <c r="G1875" s="12">
        <v>45139</v>
      </c>
      <c r="H1875" s="10" t="str">
        <f>IFERROR(VLOOKUP(Таблицаx_2[[#This Row],[id]],prolongations!A:C,2,)," ")</f>
        <v>август 2023</v>
      </c>
      <c r="I1875" s="10">
        <f>IF(Таблицаx_2[[#This Row],[Месяц окончания]]=Таблицаx_2[[#This Row],[Месяц]],Таблицаx_2[[#This Row],[Значения числа]],0)</f>
        <v>0</v>
      </c>
      <c r="J1875" s="8">
        <f>IF(AND(Таблицаx_2[[#This Row],[Месяц окончания]]=Таблицаx_2[[#This Row],[Месяц]],Таблицаx_2[[#This Row],[id]]=A1876,EDATE(Таблицаx_2[[#This Row],[Месяц]],1)=D1876),F1876,0)</f>
        <v>0</v>
      </c>
      <c r="K1875" s="8">
        <f>IF(AND(Таблицаx_2[[#This Row],[Месяц окончания]]=Таблицаx_2[[#This Row],[Месяц]],Таблицаx_2[[#This Row],[id]]=A1876,EDATE(Таблицаx_2[[#This Row],[Месяц]],2)=D1876),F1876,0)</f>
        <v>0</v>
      </c>
    </row>
    <row r="1876" spans="1:11" ht="12.75" hidden="1" customHeight="1" x14ac:dyDescent="0.2">
      <c r="A1876" s="8">
        <v>109</v>
      </c>
      <c r="B1876" s="8" t="s">
        <v>45</v>
      </c>
      <c r="C1876" s="8" t="s">
        <v>4</v>
      </c>
      <c r="D1876" s="12">
        <v>45017</v>
      </c>
      <c r="E1876" s="8">
        <v>94000</v>
      </c>
      <c r="F1876" s="10">
        <f>IF(ISTEXT(Таблицаx_2[[#This Row],[Значение]]), 0, Таблицаx_2[[#This Row],[Значение]])</f>
        <v>94000</v>
      </c>
      <c r="G1876" s="12">
        <v>45139</v>
      </c>
      <c r="H1876" s="10" t="str">
        <f>IFERROR(VLOOKUP(Таблицаx_2[[#This Row],[id]],prolongations!A:C,2,)," ")</f>
        <v>август 2023</v>
      </c>
      <c r="I1876" s="10">
        <f>IF(Таблицаx_2[[#This Row],[Месяц окончания]]=Таблицаx_2[[#This Row],[Месяц]],Таблицаx_2[[#This Row],[Значения числа]],0)</f>
        <v>0</v>
      </c>
      <c r="J1876" s="8">
        <f>IF(AND(Таблицаx_2[[#This Row],[Месяц окончания]]=Таблицаx_2[[#This Row],[Месяц]],Таблицаx_2[[#This Row],[id]]=A1877,EDATE(Таблицаx_2[[#This Row],[Месяц]],1)=D1877),F1877,0)</f>
        <v>0</v>
      </c>
      <c r="K1876" s="8">
        <f>IF(AND(Таблицаx_2[[#This Row],[Месяц окончания]]=Таблицаx_2[[#This Row],[Месяц]],Таблицаx_2[[#This Row],[id]]=A1877,EDATE(Таблицаx_2[[#This Row],[Месяц]],2)=D1877),F1877,0)</f>
        <v>0</v>
      </c>
    </row>
    <row r="1877" spans="1:11" ht="12.75" hidden="1" customHeight="1" x14ac:dyDescent="0.2">
      <c r="A1877" s="8">
        <v>109</v>
      </c>
      <c r="B1877" s="8" t="s">
        <v>45</v>
      </c>
      <c r="C1877" s="8" t="s">
        <v>4</v>
      </c>
      <c r="D1877" s="12">
        <v>45047</v>
      </c>
      <c r="E1877" s="8">
        <v>94000</v>
      </c>
      <c r="F1877" s="10">
        <f>IF(ISTEXT(Таблицаx_2[[#This Row],[Значение]]), 0, Таблицаx_2[[#This Row],[Значение]])</f>
        <v>94000</v>
      </c>
      <c r="G1877" s="12">
        <v>45139</v>
      </c>
      <c r="H1877" s="10" t="str">
        <f>IFERROR(VLOOKUP(Таблицаx_2[[#This Row],[id]],prolongations!A:C,2,)," ")</f>
        <v>август 2023</v>
      </c>
      <c r="I1877" s="10">
        <f>IF(Таблицаx_2[[#This Row],[Месяц окончания]]=Таблицаx_2[[#This Row],[Месяц]],Таблицаx_2[[#This Row],[Значения числа]],0)</f>
        <v>0</v>
      </c>
      <c r="J1877" s="8">
        <f>IF(AND(Таблицаx_2[[#This Row],[Месяц окончания]]=Таблицаx_2[[#This Row],[Месяц]],Таблицаx_2[[#This Row],[id]]=A1878,EDATE(Таблицаx_2[[#This Row],[Месяц]],1)=D1878),F1878,0)</f>
        <v>0</v>
      </c>
      <c r="K1877" s="8">
        <f>IF(AND(Таблицаx_2[[#This Row],[Месяц окончания]]=Таблицаx_2[[#This Row],[Месяц]],Таблицаx_2[[#This Row],[id]]=A1878,EDATE(Таблицаx_2[[#This Row],[Месяц]],2)=D1878),F1878,0)</f>
        <v>0</v>
      </c>
    </row>
    <row r="1878" spans="1:11" ht="12.75" hidden="1" customHeight="1" x14ac:dyDescent="0.2">
      <c r="A1878" s="8">
        <v>109</v>
      </c>
      <c r="B1878" s="8" t="s">
        <v>45</v>
      </c>
      <c r="C1878" s="8" t="s">
        <v>4</v>
      </c>
      <c r="D1878" s="12">
        <v>45078</v>
      </c>
      <c r="E1878" s="8">
        <v>94000</v>
      </c>
      <c r="F1878" s="10">
        <f>IF(ISTEXT(Таблицаx_2[[#This Row],[Значение]]), 0, Таблицаx_2[[#This Row],[Значение]])</f>
        <v>94000</v>
      </c>
      <c r="G1878" s="12">
        <v>45139</v>
      </c>
      <c r="H1878" s="10" t="str">
        <f>IFERROR(VLOOKUP(Таблицаx_2[[#This Row],[id]],prolongations!A:C,2,)," ")</f>
        <v>август 2023</v>
      </c>
      <c r="I1878" s="10">
        <f>IF(Таблицаx_2[[#This Row],[Месяц окончания]]=Таблицаx_2[[#This Row],[Месяц]],Таблицаx_2[[#This Row],[Значения числа]],0)</f>
        <v>0</v>
      </c>
      <c r="J1878" s="8">
        <f>IF(AND(Таблицаx_2[[#This Row],[Месяц окончания]]=Таблицаx_2[[#This Row],[Месяц]],Таблицаx_2[[#This Row],[id]]=A1879,EDATE(Таблицаx_2[[#This Row],[Месяц]],1)=D1879),F1879,0)</f>
        <v>0</v>
      </c>
      <c r="K1878" s="8">
        <f>IF(AND(Таблицаx_2[[#This Row],[Месяц окончания]]=Таблицаx_2[[#This Row],[Месяц]],Таблицаx_2[[#This Row],[id]]=A1879,EDATE(Таблицаx_2[[#This Row],[Месяц]],2)=D1879),F1879,0)</f>
        <v>0</v>
      </c>
    </row>
    <row r="1879" spans="1:11" ht="12.75" hidden="1" customHeight="1" x14ac:dyDescent="0.2">
      <c r="A1879" s="8">
        <v>109</v>
      </c>
      <c r="B1879" s="8" t="s">
        <v>45</v>
      </c>
      <c r="C1879" s="8" t="s">
        <v>4</v>
      </c>
      <c r="D1879" s="12">
        <v>45108</v>
      </c>
      <c r="E1879" s="8">
        <v>94000</v>
      </c>
      <c r="F1879" s="10">
        <f>IF(ISTEXT(Таблицаx_2[[#This Row],[Значение]]), 0, Таблицаx_2[[#This Row],[Значение]])</f>
        <v>94000</v>
      </c>
      <c r="G1879" s="12">
        <v>45139</v>
      </c>
      <c r="H1879" s="10" t="str">
        <f>IFERROR(VLOOKUP(Таблицаx_2[[#This Row],[id]],prolongations!A:C,2,)," ")</f>
        <v>август 2023</v>
      </c>
      <c r="I1879" s="10">
        <f>IF(Таблицаx_2[[#This Row],[Месяц окончания]]=Таблицаx_2[[#This Row],[Месяц]],Таблицаx_2[[#This Row],[Значения числа]],0)</f>
        <v>0</v>
      </c>
      <c r="J1879" s="8">
        <f>IF(AND(Таблицаx_2[[#This Row],[Месяц окончания]]=Таблицаx_2[[#This Row],[Месяц]],Таблицаx_2[[#This Row],[id]]=A1880,EDATE(Таблицаx_2[[#This Row],[Месяц]],1)=D1880),F1880,0)</f>
        <v>0</v>
      </c>
      <c r="K1879" s="8">
        <f>IF(AND(Таблицаx_2[[#This Row],[Месяц окончания]]=Таблицаx_2[[#This Row],[Месяц]],Таблицаx_2[[#This Row],[id]]=A1880,EDATE(Таблицаx_2[[#This Row],[Месяц]],2)=D1880),F1880,0)</f>
        <v>0</v>
      </c>
    </row>
    <row r="1880" spans="1:11" ht="12.75" hidden="1" customHeight="1" x14ac:dyDescent="0.2">
      <c r="A1880" s="8">
        <v>109</v>
      </c>
      <c r="B1880" s="8" t="s">
        <v>45</v>
      </c>
      <c r="C1880" s="8" t="s">
        <v>4</v>
      </c>
      <c r="D1880" s="12">
        <v>45139</v>
      </c>
      <c r="E1880" s="8">
        <v>94000</v>
      </c>
      <c r="F1880" s="10">
        <f>IF(ISTEXT(Таблицаx_2[[#This Row],[Значение]]), 0, Таблицаx_2[[#This Row],[Значение]])</f>
        <v>94000</v>
      </c>
      <c r="G1880" s="12">
        <v>45139</v>
      </c>
      <c r="H1880" s="10" t="str">
        <f>IFERROR(VLOOKUP(Таблицаx_2[[#This Row],[id]],prolongations!A:C,2,)," ")</f>
        <v>август 2023</v>
      </c>
      <c r="I1880" s="10">
        <f>IF(Таблицаx_2[[#This Row],[Месяц окончания]]=Таблицаx_2[[#This Row],[Месяц]],Таблицаx_2[[#This Row],[Значения числа]],0)</f>
        <v>94000</v>
      </c>
      <c r="J1880" s="8">
        <f>IF(AND(Таблицаx_2[[#This Row],[Месяц окончания]]=Таблицаx_2[[#This Row],[Месяц]],Таблицаx_2[[#This Row],[id]]=A1881,EDATE(Таблицаx_2[[#This Row],[Месяц]],1)=D1881),F1881,0)</f>
        <v>94000</v>
      </c>
      <c r="K1880" s="8">
        <f>IF(AND(Таблицаx_2[[#This Row],[Месяц окончания]]=Таблицаx_2[[#This Row],[Месяц]],Таблицаx_2[[#This Row],[id]]=A1881,EDATE(Таблицаx_2[[#This Row],[Месяц]],2)=D1881),F1881,0)</f>
        <v>0</v>
      </c>
    </row>
    <row r="1881" spans="1:11" ht="12.75" hidden="1" customHeight="1" x14ac:dyDescent="0.2">
      <c r="A1881" s="8">
        <v>109</v>
      </c>
      <c r="B1881" s="8" t="s">
        <v>45</v>
      </c>
      <c r="C1881" s="8" t="s">
        <v>4</v>
      </c>
      <c r="D1881" s="12">
        <v>45170</v>
      </c>
      <c r="E1881" s="8">
        <v>94000</v>
      </c>
      <c r="F1881" s="10">
        <f>IF(ISTEXT(Таблицаx_2[[#This Row],[Значение]]), 0, Таблицаx_2[[#This Row],[Значение]])</f>
        <v>94000</v>
      </c>
      <c r="G1881" s="12">
        <v>45139</v>
      </c>
      <c r="H1881" s="10" t="str">
        <f>IFERROR(VLOOKUP(Таблицаx_2[[#This Row],[id]],prolongations!A:C,2,)," ")</f>
        <v>август 2023</v>
      </c>
      <c r="I1881" s="10">
        <f>IF(Таблицаx_2[[#This Row],[Месяц окончания]]=Таблицаx_2[[#This Row],[Месяц]],Таблицаx_2[[#This Row],[Значения числа]],0)</f>
        <v>0</v>
      </c>
      <c r="J1881" s="8">
        <f>IF(AND(Таблицаx_2[[#This Row],[Месяц окончания]]=Таблицаx_2[[#This Row],[Месяц]],Таблицаx_2[[#This Row],[id]]=A1882,EDATE(Таблицаx_2[[#This Row],[Месяц]],1)=D1882),F1882,0)</f>
        <v>0</v>
      </c>
      <c r="K1881" s="8">
        <f>IF(AND(Таблицаx_2[[#This Row],[Месяц окончания]]=Таблицаx_2[[#This Row],[Месяц]],Таблицаx_2[[#This Row],[id]]=A1882,EDATE(Таблицаx_2[[#This Row],[Месяц]],2)=D1882),F1882,0)</f>
        <v>0</v>
      </c>
    </row>
    <row r="1882" spans="1:11" ht="12.75" hidden="1" customHeight="1" x14ac:dyDescent="0.2">
      <c r="A1882" s="8">
        <v>109</v>
      </c>
      <c r="B1882" s="8" t="s">
        <v>45</v>
      </c>
      <c r="C1882" s="8" t="s">
        <v>4</v>
      </c>
      <c r="D1882" s="12">
        <v>45200</v>
      </c>
      <c r="E1882" s="8">
        <v>94000</v>
      </c>
      <c r="F1882" s="10">
        <f>IF(ISTEXT(Таблицаx_2[[#This Row],[Значение]]), 0, Таблицаx_2[[#This Row],[Значение]])</f>
        <v>94000</v>
      </c>
      <c r="G1882" s="12">
        <v>45139</v>
      </c>
      <c r="H1882" s="10" t="str">
        <f>IFERROR(VLOOKUP(Таблицаx_2[[#This Row],[id]],prolongations!A:C,2,)," ")</f>
        <v>август 2023</v>
      </c>
      <c r="I1882" s="10">
        <f>IF(Таблицаx_2[[#This Row],[Месяц окончания]]=Таблицаx_2[[#This Row],[Месяц]],Таблицаx_2[[#This Row],[Значения числа]],0)</f>
        <v>0</v>
      </c>
      <c r="J1882" s="8">
        <f>IF(AND(Таблицаx_2[[#This Row],[Месяц окончания]]=Таблицаx_2[[#This Row],[Месяц]],Таблицаx_2[[#This Row],[id]]=A1883,EDATE(Таблицаx_2[[#This Row],[Месяц]],1)=D1883),F1883,0)</f>
        <v>0</v>
      </c>
      <c r="K1882" s="8">
        <f>IF(AND(Таблицаx_2[[#This Row],[Месяц окончания]]=Таблицаx_2[[#This Row],[Месяц]],Таблицаx_2[[#This Row],[id]]=A1883,EDATE(Таблицаx_2[[#This Row],[Месяц]],2)=D1883),F1883,0)</f>
        <v>0</v>
      </c>
    </row>
    <row r="1883" spans="1:11" ht="12.75" hidden="1" customHeight="1" x14ac:dyDescent="0.2">
      <c r="A1883" s="8">
        <v>109</v>
      </c>
      <c r="B1883" s="8" t="s">
        <v>45</v>
      </c>
      <c r="C1883" s="8" t="s">
        <v>4</v>
      </c>
      <c r="D1883" s="12">
        <v>45231</v>
      </c>
      <c r="E1883" s="8">
        <v>94000</v>
      </c>
      <c r="F1883" s="10">
        <f>IF(ISTEXT(Таблицаx_2[[#This Row],[Значение]]), 0, Таблицаx_2[[#This Row],[Значение]])</f>
        <v>94000</v>
      </c>
      <c r="G1883" s="12">
        <v>45139</v>
      </c>
      <c r="H1883" s="10" t="str">
        <f>IFERROR(VLOOKUP(Таблицаx_2[[#This Row],[id]],prolongations!A:C,2,)," ")</f>
        <v>август 2023</v>
      </c>
      <c r="I1883" s="10">
        <f>IF(Таблицаx_2[[#This Row],[Месяц окончания]]=Таблицаx_2[[#This Row],[Месяц]],Таблицаx_2[[#This Row],[Значения числа]],0)</f>
        <v>0</v>
      </c>
      <c r="J1883" s="8">
        <f>IF(AND(Таблицаx_2[[#This Row],[Месяц окончания]]=Таблицаx_2[[#This Row],[Месяц]],Таблицаx_2[[#This Row],[id]]=A1884,EDATE(Таблицаx_2[[#This Row],[Месяц]],1)=D1884),F1884,0)</f>
        <v>0</v>
      </c>
      <c r="K1883" s="8">
        <f>IF(AND(Таблицаx_2[[#This Row],[Месяц окончания]]=Таблицаx_2[[#This Row],[Месяц]],Таблицаx_2[[#This Row],[id]]=A1884,EDATE(Таблицаx_2[[#This Row],[Месяц]],2)=D1884),F1884,0)</f>
        <v>0</v>
      </c>
    </row>
    <row r="1884" spans="1:11" ht="12.75" hidden="1" customHeight="1" x14ac:dyDescent="0.2">
      <c r="A1884" s="8">
        <v>109</v>
      </c>
      <c r="B1884" s="8" t="s">
        <v>45</v>
      </c>
      <c r="C1884" s="8" t="s">
        <v>4</v>
      </c>
      <c r="D1884" s="12">
        <v>45261</v>
      </c>
      <c r="E1884" s="8">
        <v>94000</v>
      </c>
      <c r="F1884" s="10">
        <f>IF(ISTEXT(Таблицаx_2[[#This Row],[Значение]]), 0, Таблицаx_2[[#This Row],[Значение]])</f>
        <v>94000</v>
      </c>
      <c r="G1884" s="12">
        <v>45139</v>
      </c>
      <c r="H1884" s="10" t="str">
        <f>IFERROR(VLOOKUP(Таблицаx_2[[#This Row],[id]],prolongations!A:C,2,)," ")</f>
        <v>август 2023</v>
      </c>
      <c r="I1884" s="10">
        <f>IF(Таблицаx_2[[#This Row],[Месяц окончания]]=Таблицаx_2[[#This Row],[Месяц]],Таблицаx_2[[#This Row],[Значения числа]],0)</f>
        <v>0</v>
      </c>
      <c r="J1884" s="8">
        <f>IF(AND(Таблицаx_2[[#This Row],[Месяц окончания]]=Таблицаx_2[[#This Row],[Месяц]],Таблицаx_2[[#This Row],[id]]=A1885,EDATE(Таблицаx_2[[#This Row],[Месяц]],1)=D1885),F1885,0)</f>
        <v>0</v>
      </c>
      <c r="K1884" s="8">
        <f>IF(AND(Таблицаx_2[[#This Row],[Месяц окончания]]=Таблицаx_2[[#This Row],[Месяц]],Таблицаx_2[[#This Row],[id]]=A1885,EDATE(Таблицаx_2[[#This Row],[Месяц]],2)=D1885),F1885,0)</f>
        <v>0</v>
      </c>
    </row>
    <row r="1885" spans="1:11" ht="12.75" hidden="1" customHeight="1" x14ac:dyDescent="0.2">
      <c r="A1885" s="8">
        <v>748</v>
      </c>
      <c r="B1885" s="8" t="s">
        <v>45</v>
      </c>
      <c r="C1885" s="8" t="s">
        <v>4</v>
      </c>
      <c r="D1885" s="12">
        <v>44927</v>
      </c>
      <c r="E1885" s="8">
        <v>125530</v>
      </c>
      <c r="F1885" s="10">
        <f>IF(ISTEXT(Таблицаx_2[[#This Row],[Значение]]), 0, Таблицаx_2[[#This Row],[Значение]])</f>
        <v>125530</v>
      </c>
      <c r="G1885" s="12">
        <v>45200</v>
      </c>
      <c r="H1885" s="10" t="str">
        <f>IFERROR(VLOOKUP(Таблицаx_2[[#This Row],[id]],prolongations!A:C,2,)," ")</f>
        <v>октябрь 2023</v>
      </c>
      <c r="I1885" s="10">
        <f>IF(Таблицаx_2[[#This Row],[Месяц окончания]]=Таблицаx_2[[#This Row],[Месяц]],Таблицаx_2[[#This Row],[Значения числа]],0)</f>
        <v>0</v>
      </c>
      <c r="J1885" s="8">
        <f>IF(AND(Таблицаx_2[[#This Row],[Месяц окончания]]=Таблицаx_2[[#This Row],[Месяц]],Таблицаx_2[[#This Row],[id]]=A1886,EDATE(Таблицаx_2[[#This Row],[Месяц]],1)=D1886),F1886,0)</f>
        <v>0</v>
      </c>
      <c r="K1885" s="8">
        <f>IF(AND(Таблицаx_2[[#This Row],[Месяц окончания]]=Таблицаx_2[[#This Row],[Месяц]],Таблицаx_2[[#This Row],[id]]=A1886,EDATE(Таблицаx_2[[#This Row],[Месяц]],2)=D1886),F1886,0)</f>
        <v>0</v>
      </c>
    </row>
    <row r="1886" spans="1:11" ht="12.75" hidden="1" customHeight="1" x14ac:dyDescent="0.2">
      <c r="A1886" s="8">
        <v>748</v>
      </c>
      <c r="B1886" s="8" t="s">
        <v>45</v>
      </c>
      <c r="C1886" s="8" t="s">
        <v>4</v>
      </c>
      <c r="D1886" s="12">
        <v>44958</v>
      </c>
      <c r="E1886" s="8">
        <v>119800</v>
      </c>
      <c r="F1886" s="10">
        <f>IF(ISTEXT(Таблицаx_2[[#This Row],[Значение]]), 0, Таблицаx_2[[#This Row],[Значение]])</f>
        <v>119800</v>
      </c>
      <c r="G1886" s="12">
        <v>45200</v>
      </c>
      <c r="H1886" s="10" t="str">
        <f>IFERROR(VLOOKUP(Таблицаx_2[[#This Row],[id]],prolongations!A:C,2,)," ")</f>
        <v>октябрь 2023</v>
      </c>
      <c r="I1886" s="10">
        <f>IF(Таблицаx_2[[#This Row],[Месяц окончания]]=Таблицаx_2[[#This Row],[Месяц]],Таблицаx_2[[#This Row],[Значения числа]],0)</f>
        <v>0</v>
      </c>
      <c r="J1886" s="8">
        <f>IF(AND(Таблицаx_2[[#This Row],[Месяц окончания]]=Таблицаx_2[[#This Row],[Месяц]],Таблицаx_2[[#This Row],[id]]=A1887,EDATE(Таблицаx_2[[#This Row],[Месяц]],1)=D1887),F1887,0)</f>
        <v>0</v>
      </c>
      <c r="K1886" s="8">
        <f>IF(AND(Таблицаx_2[[#This Row],[Месяц окончания]]=Таблицаx_2[[#This Row],[Месяц]],Таблицаx_2[[#This Row],[id]]=A1887,EDATE(Таблицаx_2[[#This Row],[Месяц]],2)=D1887),F1887,0)</f>
        <v>0</v>
      </c>
    </row>
    <row r="1887" spans="1:11" ht="12.75" hidden="1" customHeight="1" x14ac:dyDescent="0.2">
      <c r="A1887" s="8">
        <v>748</v>
      </c>
      <c r="B1887" s="8" t="s">
        <v>45</v>
      </c>
      <c r="C1887" s="8" t="s">
        <v>4</v>
      </c>
      <c r="D1887" s="12">
        <v>44986</v>
      </c>
      <c r="E1887" s="8">
        <v>109925</v>
      </c>
      <c r="F1887" s="10">
        <f>IF(ISTEXT(Таблицаx_2[[#This Row],[Значение]]), 0, Таблицаx_2[[#This Row],[Значение]])</f>
        <v>109925</v>
      </c>
      <c r="G1887" s="12">
        <v>45200</v>
      </c>
      <c r="H1887" s="10" t="str">
        <f>IFERROR(VLOOKUP(Таблицаx_2[[#This Row],[id]],prolongations!A:C,2,)," ")</f>
        <v>октябрь 2023</v>
      </c>
      <c r="I1887" s="10">
        <f>IF(Таблицаx_2[[#This Row],[Месяц окончания]]=Таблицаx_2[[#This Row],[Месяц]],Таблицаx_2[[#This Row],[Значения числа]],0)</f>
        <v>0</v>
      </c>
      <c r="J1887" s="8">
        <f>IF(AND(Таблицаx_2[[#This Row],[Месяц окончания]]=Таблицаx_2[[#This Row],[Месяц]],Таблицаx_2[[#This Row],[id]]=A1888,EDATE(Таблицаx_2[[#This Row],[Месяц]],1)=D1888),F1888,0)</f>
        <v>0</v>
      </c>
      <c r="K1887" s="8">
        <f>IF(AND(Таблицаx_2[[#This Row],[Месяц окончания]]=Таблицаx_2[[#This Row],[Месяц]],Таблицаx_2[[#This Row],[id]]=A1888,EDATE(Таблицаx_2[[#This Row],[Месяц]],2)=D1888),F1888,0)</f>
        <v>0</v>
      </c>
    </row>
    <row r="1888" spans="1:11" ht="12.75" hidden="1" customHeight="1" x14ac:dyDescent="0.2">
      <c r="A1888" s="8">
        <v>748</v>
      </c>
      <c r="B1888" s="8" t="s">
        <v>45</v>
      </c>
      <c r="C1888" s="8" t="s">
        <v>4</v>
      </c>
      <c r="D1888" s="12">
        <v>45017</v>
      </c>
      <c r="E1888" s="8">
        <v>114885</v>
      </c>
      <c r="F1888" s="10">
        <f>IF(ISTEXT(Таблицаx_2[[#This Row],[Значение]]), 0, Таблицаx_2[[#This Row],[Значение]])</f>
        <v>114885</v>
      </c>
      <c r="G1888" s="12">
        <v>45200</v>
      </c>
      <c r="H1888" s="10" t="str">
        <f>IFERROR(VLOOKUP(Таблицаx_2[[#This Row],[id]],prolongations!A:C,2,)," ")</f>
        <v>октябрь 2023</v>
      </c>
      <c r="I1888" s="10">
        <f>IF(Таблицаx_2[[#This Row],[Месяц окончания]]=Таблицаx_2[[#This Row],[Месяц]],Таблицаx_2[[#This Row],[Значения числа]],0)</f>
        <v>0</v>
      </c>
      <c r="J1888" s="8">
        <f>IF(AND(Таблицаx_2[[#This Row],[Месяц окончания]]=Таблицаx_2[[#This Row],[Месяц]],Таблицаx_2[[#This Row],[id]]=A1889,EDATE(Таблицаx_2[[#This Row],[Месяц]],1)=D1889),F1889,0)</f>
        <v>0</v>
      </c>
      <c r="K1888" s="8">
        <f>IF(AND(Таблицаx_2[[#This Row],[Месяц окончания]]=Таблицаx_2[[#This Row],[Месяц]],Таблицаx_2[[#This Row],[id]]=A1889,EDATE(Таблицаx_2[[#This Row],[Месяц]],2)=D1889),F1889,0)</f>
        <v>0</v>
      </c>
    </row>
    <row r="1889" spans="1:11" ht="12.75" hidden="1" customHeight="1" x14ac:dyDescent="0.2">
      <c r="A1889" s="8">
        <v>748</v>
      </c>
      <c r="B1889" s="8" t="s">
        <v>45</v>
      </c>
      <c r="C1889" s="8" t="s">
        <v>4</v>
      </c>
      <c r="D1889" s="12">
        <v>45047</v>
      </c>
      <c r="E1889" s="8">
        <v>185665</v>
      </c>
      <c r="F1889" s="10">
        <f>IF(ISTEXT(Таблицаx_2[[#This Row],[Значение]]), 0, Таблицаx_2[[#This Row],[Значение]])</f>
        <v>185665</v>
      </c>
      <c r="G1889" s="12">
        <v>45200</v>
      </c>
      <c r="H1889" s="10" t="str">
        <f>IFERROR(VLOOKUP(Таблицаx_2[[#This Row],[id]],prolongations!A:C,2,)," ")</f>
        <v>октябрь 2023</v>
      </c>
      <c r="I1889" s="10">
        <f>IF(Таблицаx_2[[#This Row],[Месяц окончания]]=Таблицаx_2[[#This Row],[Месяц]],Таблицаx_2[[#This Row],[Значения числа]],0)</f>
        <v>0</v>
      </c>
      <c r="J1889" s="8">
        <f>IF(AND(Таблицаx_2[[#This Row],[Месяц окончания]]=Таблицаx_2[[#This Row],[Месяц]],Таблицаx_2[[#This Row],[id]]=A1890,EDATE(Таблицаx_2[[#This Row],[Месяц]],1)=D1890),F1890,0)</f>
        <v>0</v>
      </c>
      <c r="K1889" s="8">
        <f>IF(AND(Таблицаx_2[[#This Row],[Месяц окончания]]=Таблицаx_2[[#This Row],[Месяц]],Таблицаx_2[[#This Row],[id]]=A1890,EDATE(Таблицаx_2[[#This Row],[Месяц]],2)=D1890),F1890,0)</f>
        <v>0</v>
      </c>
    </row>
    <row r="1890" spans="1:11" ht="12.75" hidden="1" customHeight="1" x14ac:dyDescent="0.2">
      <c r="A1890" s="8">
        <v>748</v>
      </c>
      <c r="B1890" s="8" t="s">
        <v>45</v>
      </c>
      <c r="C1890" s="8" t="s">
        <v>4</v>
      </c>
      <c r="D1890" s="12">
        <v>45078</v>
      </c>
      <c r="E1890" s="8">
        <v>269360</v>
      </c>
      <c r="F1890" s="10">
        <f>IF(ISTEXT(Таблицаx_2[[#This Row],[Значение]]), 0, Таблицаx_2[[#This Row],[Значение]])</f>
        <v>269360</v>
      </c>
      <c r="G1890" s="12">
        <v>45200</v>
      </c>
      <c r="H1890" s="10" t="str">
        <f>IFERROR(VLOOKUP(Таблицаx_2[[#This Row],[id]],prolongations!A:C,2,)," ")</f>
        <v>октябрь 2023</v>
      </c>
      <c r="I1890" s="10">
        <f>IF(Таблицаx_2[[#This Row],[Месяц окончания]]=Таблицаx_2[[#This Row],[Месяц]],Таблицаx_2[[#This Row],[Значения числа]],0)</f>
        <v>0</v>
      </c>
      <c r="J1890" s="8">
        <f>IF(AND(Таблицаx_2[[#This Row],[Месяц окончания]]=Таблицаx_2[[#This Row],[Месяц]],Таблицаx_2[[#This Row],[id]]=A1891,EDATE(Таблицаx_2[[#This Row],[Месяц]],1)=D1891),F1891,0)</f>
        <v>0</v>
      </c>
      <c r="K1890" s="8">
        <f>IF(AND(Таблицаx_2[[#This Row],[Месяц окончания]]=Таблицаx_2[[#This Row],[Месяц]],Таблицаx_2[[#This Row],[id]]=A1891,EDATE(Таблицаx_2[[#This Row],[Месяц]],2)=D1891),F1891,0)</f>
        <v>0</v>
      </c>
    </row>
    <row r="1891" spans="1:11" ht="12.75" hidden="1" customHeight="1" x14ac:dyDescent="0.2">
      <c r="A1891" s="8">
        <v>748</v>
      </c>
      <c r="B1891" s="8" t="s">
        <v>45</v>
      </c>
      <c r="C1891" s="8" t="s">
        <v>4</v>
      </c>
      <c r="D1891" s="12">
        <v>45108</v>
      </c>
      <c r="E1891" s="8">
        <v>268895</v>
      </c>
      <c r="F1891" s="10">
        <f>IF(ISTEXT(Таблицаx_2[[#This Row],[Значение]]), 0, Таблицаx_2[[#This Row],[Значение]])</f>
        <v>268895</v>
      </c>
      <c r="G1891" s="12">
        <v>45200</v>
      </c>
      <c r="H1891" s="10" t="str">
        <f>IFERROR(VLOOKUP(Таблицаx_2[[#This Row],[id]],prolongations!A:C,2,)," ")</f>
        <v>октябрь 2023</v>
      </c>
      <c r="I1891" s="10">
        <f>IF(Таблицаx_2[[#This Row],[Месяц окончания]]=Таблицаx_2[[#This Row],[Месяц]],Таблицаx_2[[#This Row],[Значения числа]],0)</f>
        <v>0</v>
      </c>
      <c r="J1891" s="8">
        <f>IF(AND(Таблицаx_2[[#This Row],[Месяц окончания]]=Таблицаx_2[[#This Row],[Месяц]],Таблицаx_2[[#This Row],[id]]=A1892,EDATE(Таблицаx_2[[#This Row],[Месяц]],1)=D1892),F1892,0)</f>
        <v>0</v>
      </c>
      <c r="K1891" s="8">
        <f>IF(AND(Таблицаx_2[[#This Row],[Месяц окончания]]=Таблицаx_2[[#This Row],[Месяц]],Таблицаx_2[[#This Row],[id]]=A1892,EDATE(Таблицаx_2[[#This Row],[Месяц]],2)=D1892),F1892,0)</f>
        <v>0</v>
      </c>
    </row>
    <row r="1892" spans="1:11" ht="12.75" hidden="1" customHeight="1" x14ac:dyDescent="0.2">
      <c r="A1892" s="8">
        <v>748</v>
      </c>
      <c r="B1892" s="8" t="s">
        <v>45</v>
      </c>
      <c r="C1892" s="8" t="s">
        <v>4</v>
      </c>
      <c r="D1892" s="12">
        <v>45139</v>
      </c>
      <c r="E1892" s="8">
        <v>171865</v>
      </c>
      <c r="F1892" s="10">
        <f>IF(ISTEXT(Таблицаx_2[[#This Row],[Значение]]), 0, Таблицаx_2[[#This Row],[Значение]])</f>
        <v>171865</v>
      </c>
      <c r="G1892" s="12">
        <v>45200</v>
      </c>
      <c r="H1892" s="10" t="str">
        <f>IFERROR(VLOOKUP(Таблицаx_2[[#This Row],[id]],prolongations!A:C,2,)," ")</f>
        <v>октябрь 2023</v>
      </c>
      <c r="I1892" s="10">
        <f>IF(Таблицаx_2[[#This Row],[Месяц окончания]]=Таблицаx_2[[#This Row],[Месяц]],Таблицаx_2[[#This Row],[Значения числа]],0)</f>
        <v>0</v>
      </c>
      <c r="J1892" s="8">
        <f>IF(AND(Таблицаx_2[[#This Row],[Месяц окончания]]=Таблицаx_2[[#This Row],[Месяц]],Таблицаx_2[[#This Row],[id]]=A1893,EDATE(Таблицаx_2[[#This Row],[Месяц]],1)=D1893),F1893,0)</f>
        <v>0</v>
      </c>
      <c r="K1892" s="8">
        <f>IF(AND(Таблицаx_2[[#This Row],[Месяц окончания]]=Таблицаx_2[[#This Row],[Месяц]],Таблицаx_2[[#This Row],[id]]=A1893,EDATE(Таблицаx_2[[#This Row],[Месяц]],2)=D1893),F1893,0)</f>
        <v>0</v>
      </c>
    </row>
    <row r="1893" spans="1:11" ht="12.75" hidden="1" customHeight="1" x14ac:dyDescent="0.2">
      <c r="A1893" s="8">
        <v>748</v>
      </c>
      <c r="B1893" s="8" t="s">
        <v>45</v>
      </c>
      <c r="C1893" s="8" t="s">
        <v>4</v>
      </c>
      <c r="D1893" s="12">
        <v>45170</v>
      </c>
      <c r="E1893" s="8">
        <v>173765</v>
      </c>
      <c r="F1893" s="10">
        <f>IF(ISTEXT(Таблицаx_2[[#This Row],[Значение]]), 0, Таблицаx_2[[#This Row],[Значение]])</f>
        <v>173765</v>
      </c>
      <c r="G1893" s="12">
        <v>45200</v>
      </c>
      <c r="H1893" s="10" t="str">
        <f>IFERROR(VLOOKUP(Таблицаx_2[[#This Row],[id]],prolongations!A:C,2,)," ")</f>
        <v>октябрь 2023</v>
      </c>
      <c r="I1893" s="10">
        <f>IF(Таблицаx_2[[#This Row],[Месяц окончания]]=Таблицаx_2[[#This Row],[Месяц]],Таблицаx_2[[#This Row],[Значения числа]],0)</f>
        <v>0</v>
      </c>
      <c r="J1893" s="8">
        <f>IF(AND(Таблицаx_2[[#This Row],[Месяц окончания]]=Таблицаx_2[[#This Row],[Месяц]],Таблицаx_2[[#This Row],[id]]=A1894,EDATE(Таблицаx_2[[#This Row],[Месяц]],1)=D1894),F1894,0)</f>
        <v>0</v>
      </c>
      <c r="K1893" s="8">
        <f>IF(AND(Таблицаx_2[[#This Row],[Месяц окончания]]=Таблицаx_2[[#This Row],[Месяц]],Таблицаx_2[[#This Row],[id]]=A1894,EDATE(Таблицаx_2[[#This Row],[Месяц]],2)=D1894),F1894,0)</f>
        <v>0</v>
      </c>
    </row>
    <row r="1894" spans="1:11" ht="12.75" hidden="1" customHeight="1" x14ac:dyDescent="0.2">
      <c r="A1894" s="8">
        <v>748</v>
      </c>
      <c r="B1894" s="8" t="s">
        <v>45</v>
      </c>
      <c r="C1894" s="8" t="s">
        <v>4</v>
      </c>
      <c r="D1894" s="12">
        <v>45200</v>
      </c>
      <c r="E1894" s="8">
        <v>197110</v>
      </c>
      <c r="F1894" s="10">
        <f>IF(ISTEXT(Таблицаx_2[[#This Row],[Значение]]), 0, Таблицаx_2[[#This Row],[Значение]])</f>
        <v>197110</v>
      </c>
      <c r="G1894" s="12">
        <v>45200</v>
      </c>
      <c r="H1894" s="10" t="str">
        <f>IFERROR(VLOOKUP(Таблицаx_2[[#This Row],[id]],prolongations!A:C,2,)," ")</f>
        <v>октябрь 2023</v>
      </c>
      <c r="I1894" s="10">
        <f>IF(Таблицаx_2[[#This Row],[Месяц окончания]]=Таблицаx_2[[#This Row],[Месяц]],Таблицаx_2[[#This Row],[Значения числа]],0)</f>
        <v>197110</v>
      </c>
      <c r="J1894" s="8">
        <f>IF(AND(Таблицаx_2[[#This Row],[Месяц окончания]]=Таблицаx_2[[#This Row],[Месяц]],Таблицаx_2[[#This Row],[id]]=A1895,EDATE(Таблицаx_2[[#This Row],[Месяц]],1)=D1895),F1895,0)</f>
        <v>194260</v>
      </c>
      <c r="K1894" s="8">
        <f>IF(AND(Таблицаx_2[[#This Row],[Месяц окончания]]=Таблицаx_2[[#This Row],[Месяц]],Таблицаx_2[[#This Row],[id]]=A1895,EDATE(Таблицаx_2[[#This Row],[Месяц]],2)=D1895),F1895,0)</f>
        <v>0</v>
      </c>
    </row>
    <row r="1895" spans="1:11" ht="12.75" hidden="1" customHeight="1" x14ac:dyDescent="0.2">
      <c r="A1895" s="8">
        <v>748</v>
      </c>
      <c r="B1895" s="8" t="s">
        <v>45</v>
      </c>
      <c r="C1895" s="8" t="s">
        <v>4</v>
      </c>
      <c r="D1895" s="12">
        <v>45231</v>
      </c>
      <c r="E1895" s="8">
        <v>194260</v>
      </c>
      <c r="F1895" s="10">
        <f>IF(ISTEXT(Таблицаx_2[[#This Row],[Значение]]), 0, Таблицаx_2[[#This Row],[Значение]])</f>
        <v>194260</v>
      </c>
      <c r="G1895" s="12">
        <v>45200</v>
      </c>
      <c r="H1895" s="10" t="str">
        <f>IFERROR(VLOOKUP(Таблицаx_2[[#This Row],[id]],prolongations!A:C,2,)," ")</f>
        <v>октябрь 2023</v>
      </c>
      <c r="I1895" s="10">
        <f>IF(Таблицаx_2[[#This Row],[Месяц окончания]]=Таблицаx_2[[#This Row],[Месяц]],Таблицаx_2[[#This Row],[Значения числа]],0)</f>
        <v>0</v>
      </c>
      <c r="J1895" s="8">
        <f>IF(AND(Таблицаx_2[[#This Row],[Месяц окончания]]=Таблицаx_2[[#This Row],[Месяц]],Таблицаx_2[[#This Row],[id]]=A1896,EDATE(Таблицаx_2[[#This Row],[Месяц]],1)=D1896),F1896,0)</f>
        <v>0</v>
      </c>
      <c r="K1895" s="8">
        <f>IF(AND(Таблицаx_2[[#This Row],[Месяц окончания]]=Таблицаx_2[[#This Row],[Месяц]],Таблицаx_2[[#This Row],[id]]=A1896,EDATE(Таблицаx_2[[#This Row],[Месяц]],2)=D1896),F1896,0)</f>
        <v>0</v>
      </c>
    </row>
    <row r="1896" spans="1:11" ht="12.75" hidden="1" customHeight="1" x14ac:dyDescent="0.2">
      <c r="A1896" s="8">
        <v>748</v>
      </c>
      <c r="B1896" s="8" t="s">
        <v>45</v>
      </c>
      <c r="C1896" s="8" t="s">
        <v>4</v>
      </c>
      <c r="D1896" s="12">
        <v>45261</v>
      </c>
      <c r="E1896" s="8">
        <v>194735</v>
      </c>
      <c r="F1896" s="10">
        <f>IF(ISTEXT(Таблицаx_2[[#This Row],[Значение]]), 0, Таблицаx_2[[#This Row],[Значение]])</f>
        <v>194735</v>
      </c>
      <c r="G1896" s="12">
        <v>45200</v>
      </c>
      <c r="H1896" s="10" t="str">
        <f>IFERROR(VLOOKUP(Таблицаx_2[[#This Row],[id]],prolongations!A:C,2,)," ")</f>
        <v>октябрь 2023</v>
      </c>
      <c r="I1896" s="10">
        <f>IF(Таблицаx_2[[#This Row],[Месяц окончания]]=Таблицаx_2[[#This Row],[Месяц]],Таблицаx_2[[#This Row],[Значения числа]],0)</f>
        <v>0</v>
      </c>
      <c r="J1896" s="8">
        <f>IF(AND(Таблицаx_2[[#This Row],[Месяц окончания]]=Таблицаx_2[[#This Row],[Месяц]],Таблицаx_2[[#This Row],[id]]=A1897,EDATE(Таблицаx_2[[#This Row],[Месяц]],1)=D1897),F1897,0)</f>
        <v>0</v>
      </c>
      <c r="K1896" s="8">
        <f>IF(AND(Таблицаx_2[[#This Row],[Месяц окончания]]=Таблицаx_2[[#This Row],[Месяц]],Таблицаx_2[[#This Row],[id]]=A1897,EDATE(Таблицаx_2[[#This Row],[Месяц]],2)=D1897),F1897,0)</f>
        <v>0</v>
      </c>
    </row>
    <row r="1897" spans="1:11" ht="12.75" hidden="1" customHeight="1" x14ac:dyDescent="0.2">
      <c r="A1897" s="8">
        <v>748</v>
      </c>
      <c r="B1897" s="8" t="s">
        <v>45</v>
      </c>
      <c r="C1897" s="8" t="s">
        <v>4</v>
      </c>
      <c r="D1897" s="12">
        <v>45323</v>
      </c>
      <c r="E1897" s="8">
        <v>149500</v>
      </c>
      <c r="F1897" s="10">
        <f>IF(ISTEXT(Таблицаx_2[[#This Row],[Значение]]), 0, Таблицаx_2[[#This Row],[Значение]])</f>
        <v>149500</v>
      </c>
      <c r="G1897" s="12">
        <v>45200</v>
      </c>
      <c r="H1897" s="10" t="str">
        <f>IFERROR(VLOOKUP(Таблицаx_2[[#This Row],[id]],prolongations!A:C,2,)," ")</f>
        <v>октябрь 2023</v>
      </c>
      <c r="I1897" s="10">
        <f>IF(Таблицаx_2[[#This Row],[Месяц окончания]]=Таблицаx_2[[#This Row],[Месяц]],Таблицаx_2[[#This Row],[Значения числа]],0)</f>
        <v>0</v>
      </c>
      <c r="J1897" s="8">
        <f>IF(AND(Таблицаx_2[[#This Row],[Месяц окончания]]=Таблицаx_2[[#This Row],[Месяц]],Таблицаx_2[[#This Row],[id]]=A1898,EDATE(Таблицаx_2[[#This Row],[Месяц]],1)=D1898),F1898,0)</f>
        <v>0</v>
      </c>
      <c r="K1897" s="8">
        <f>IF(AND(Таблицаx_2[[#This Row],[Месяц окончания]]=Таблицаx_2[[#This Row],[Месяц]],Таблицаx_2[[#This Row],[id]]=A1898,EDATE(Таблицаx_2[[#This Row],[Месяц]],2)=D1898),F1898,0)</f>
        <v>0</v>
      </c>
    </row>
    <row r="1898" spans="1:11" ht="12.75" hidden="1" customHeight="1" x14ac:dyDescent="0.2">
      <c r="A1898" s="8">
        <v>748</v>
      </c>
      <c r="B1898" s="8" t="s">
        <v>47</v>
      </c>
      <c r="C1898" s="8" t="s">
        <v>4</v>
      </c>
      <c r="D1898" s="12">
        <v>44927</v>
      </c>
      <c r="E1898" s="8">
        <v>5700</v>
      </c>
      <c r="F1898" s="10">
        <f>IF(ISTEXT(Таблицаx_2[[#This Row],[Значение]]), 0, Таблицаx_2[[#This Row],[Значение]])</f>
        <v>5700</v>
      </c>
      <c r="G1898" s="12">
        <v>45200</v>
      </c>
      <c r="H1898" s="10" t="str">
        <f>IFERROR(VLOOKUP(Таблицаx_2[[#This Row],[id]],prolongations!A:C,2,)," ")</f>
        <v>октябрь 2023</v>
      </c>
      <c r="I1898" s="10">
        <f>IF(Таблицаx_2[[#This Row],[Месяц окончания]]=Таблицаx_2[[#This Row],[Месяц]],Таблицаx_2[[#This Row],[Значения числа]],0)</f>
        <v>0</v>
      </c>
      <c r="J1898" s="8">
        <f>IF(AND(Таблицаx_2[[#This Row],[Месяц окончания]]=Таблицаx_2[[#This Row],[Месяц]],Таблицаx_2[[#This Row],[id]]=A1899,EDATE(Таблицаx_2[[#This Row],[Месяц]],1)=D1899),F1899,0)</f>
        <v>0</v>
      </c>
      <c r="K1898" s="8">
        <f>IF(AND(Таблицаx_2[[#This Row],[Месяц окончания]]=Таблицаx_2[[#This Row],[Месяц]],Таблицаx_2[[#This Row],[id]]=A1899,EDATE(Таблицаx_2[[#This Row],[Месяц]],2)=D1899),F1899,0)</f>
        <v>0</v>
      </c>
    </row>
    <row r="1899" spans="1:11" ht="12.75" hidden="1" customHeight="1" x14ac:dyDescent="0.2">
      <c r="A1899" s="8">
        <v>748</v>
      </c>
      <c r="B1899" s="8" t="s">
        <v>47</v>
      </c>
      <c r="C1899" s="8" t="s">
        <v>4</v>
      </c>
      <c r="D1899" s="12">
        <v>44958</v>
      </c>
      <c r="E1899" s="8">
        <v>9500</v>
      </c>
      <c r="F1899" s="10">
        <f>IF(ISTEXT(Таблицаx_2[[#This Row],[Значение]]), 0, Таблицаx_2[[#This Row],[Значение]])</f>
        <v>9500</v>
      </c>
      <c r="G1899" s="12">
        <v>45200</v>
      </c>
      <c r="H1899" s="10" t="str">
        <f>IFERROR(VLOOKUP(Таблицаx_2[[#This Row],[id]],prolongations!A:C,2,)," ")</f>
        <v>октябрь 2023</v>
      </c>
      <c r="I1899" s="10">
        <f>IF(Таблицаx_2[[#This Row],[Месяц окончания]]=Таблицаx_2[[#This Row],[Месяц]],Таблицаx_2[[#This Row],[Значения числа]],0)</f>
        <v>0</v>
      </c>
      <c r="J1899" s="8">
        <f>IF(AND(Таблицаx_2[[#This Row],[Месяц окончания]]=Таблицаx_2[[#This Row],[Месяц]],Таблицаx_2[[#This Row],[id]]=A1900,EDATE(Таблицаx_2[[#This Row],[Месяц]],1)=D1900),F1900,0)</f>
        <v>0</v>
      </c>
      <c r="K1899" s="8">
        <f>IF(AND(Таблицаx_2[[#This Row],[Месяц окончания]]=Таблицаx_2[[#This Row],[Месяц]],Таблицаx_2[[#This Row],[id]]=A1900,EDATE(Таблицаx_2[[#This Row],[Месяц]],2)=D1900),F1900,0)</f>
        <v>0</v>
      </c>
    </row>
    <row r="1900" spans="1:11" ht="12.75" hidden="1" customHeight="1" x14ac:dyDescent="0.2">
      <c r="A1900" s="8">
        <v>748</v>
      </c>
      <c r="B1900" s="8" t="s">
        <v>47</v>
      </c>
      <c r="C1900" s="8" t="s">
        <v>4</v>
      </c>
      <c r="D1900" s="12">
        <v>44986</v>
      </c>
      <c r="E1900" s="8">
        <v>9500</v>
      </c>
      <c r="F1900" s="10">
        <f>IF(ISTEXT(Таблицаx_2[[#This Row],[Значение]]), 0, Таблицаx_2[[#This Row],[Значение]])</f>
        <v>9500</v>
      </c>
      <c r="G1900" s="12">
        <v>45200</v>
      </c>
      <c r="H1900" s="10" t="str">
        <f>IFERROR(VLOOKUP(Таблицаx_2[[#This Row],[id]],prolongations!A:C,2,)," ")</f>
        <v>октябрь 2023</v>
      </c>
      <c r="I1900" s="10">
        <f>IF(Таблицаx_2[[#This Row],[Месяц окончания]]=Таблицаx_2[[#This Row],[Месяц]],Таблицаx_2[[#This Row],[Значения числа]],0)</f>
        <v>0</v>
      </c>
      <c r="J1900" s="8">
        <f>IF(AND(Таблицаx_2[[#This Row],[Месяц окончания]]=Таблицаx_2[[#This Row],[Месяц]],Таблицаx_2[[#This Row],[id]]=A1901,EDATE(Таблицаx_2[[#This Row],[Месяц]],1)=D1901),F1901,0)</f>
        <v>0</v>
      </c>
      <c r="K1900" s="8">
        <f>IF(AND(Таблицаx_2[[#This Row],[Месяц окончания]]=Таблицаx_2[[#This Row],[Месяц]],Таблицаx_2[[#This Row],[id]]=A1901,EDATE(Таблицаx_2[[#This Row],[Месяц]],2)=D1901),F1901,0)</f>
        <v>0</v>
      </c>
    </row>
    <row r="1901" spans="1:11" ht="12.75" hidden="1" customHeight="1" x14ac:dyDescent="0.2">
      <c r="A1901" s="8">
        <v>748</v>
      </c>
      <c r="B1901" s="8" t="s">
        <v>47</v>
      </c>
      <c r="C1901" s="8" t="s">
        <v>4</v>
      </c>
      <c r="D1901" s="12">
        <v>45017</v>
      </c>
      <c r="E1901" s="8">
        <v>14250</v>
      </c>
      <c r="F1901" s="10">
        <f>IF(ISTEXT(Таблицаx_2[[#This Row],[Значение]]), 0, Таблицаx_2[[#This Row],[Значение]])</f>
        <v>14250</v>
      </c>
      <c r="G1901" s="12">
        <v>45200</v>
      </c>
      <c r="H1901" s="10" t="str">
        <f>IFERROR(VLOOKUP(Таблицаx_2[[#This Row],[id]],prolongations!A:C,2,)," ")</f>
        <v>октябрь 2023</v>
      </c>
      <c r="I1901" s="10">
        <f>IF(Таблицаx_2[[#This Row],[Месяц окончания]]=Таблицаx_2[[#This Row],[Месяц]],Таблицаx_2[[#This Row],[Значения числа]],0)</f>
        <v>0</v>
      </c>
      <c r="J1901" s="8">
        <f>IF(AND(Таблицаx_2[[#This Row],[Месяц окончания]]=Таблицаx_2[[#This Row],[Месяц]],Таблицаx_2[[#This Row],[id]]=A1902,EDATE(Таблицаx_2[[#This Row],[Месяц]],1)=D1902),F1902,0)</f>
        <v>0</v>
      </c>
      <c r="K1901" s="8">
        <f>IF(AND(Таблицаx_2[[#This Row],[Месяц окончания]]=Таблицаx_2[[#This Row],[Месяц]],Таблицаx_2[[#This Row],[id]]=A1902,EDATE(Таблицаx_2[[#This Row],[Месяц]],2)=D1902),F1902,0)</f>
        <v>0</v>
      </c>
    </row>
    <row r="1902" spans="1:11" ht="12.75" hidden="1" customHeight="1" x14ac:dyDescent="0.2">
      <c r="A1902" s="8">
        <v>748</v>
      </c>
      <c r="B1902" s="8" t="s">
        <v>47</v>
      </c>
      <c r="C1902" s="8" t="s">
        <v>4</v>
      </c>
      <c r="D1902" s="12">
        <v>45047</v>
      </c>
      <c r="E1902" s="8">
        <v>37430</v>
      </c>
      <c r="F1902" s="10">
        <f>IF(ISTEXT(Таблицаx_2[[#This Row],[Значение]]), 0, Таблицаx_2[[#This Row],[Значение]])</f>
        <v>37430</v>
      </c>
      <c r="G1902" s="12">
        <v>45200</v>
      </c>
      <c r="H1902" s="10" t="str">
        <f>IFERROR(VLOOKUP(Таблицаx_2[[#This Row],[id]],prolongations!A:C,2,)," ")</f>
        <v>октябрь 2023</v>
      </c>
      <c r="I1902" s="10">
        <f>IF(Таблицаx_2[[#This Row],[Месяц окончания]]=Таблицаx_2[[#This Row],[Месяц]],Таблицаx_2[[#This Row],[Значения числа]],0)</f>
        <v>0</v>
      </c>
      <c r="J1902" s="8">
        <f>IF(AND(Таблицаx_2[[#This Row],[Месяц окончания]]=Таблицаx_2[[#This Row],[Месяц]],Таблицаx_2[[#This Row],[id]]=A1903,EDATE(Таблицаx_2[[#This Row],[Месяц]],1)=D1903),F1903,0)</f>
        <v>0</v>
      </c>
      <c r="K1902" s="8">
        <f>IF(AND(Таблицаx_2[[#This Row],[Месяц окончания]]=Таблицаx_2[[#This Row],[Месяц]],Таблицаx_2[[#This Row],[id]]=A1903,EDATE(Таблицаx_2[[#This Row],[Месяц]],2)=D1903),F1903,0)</f>
        <v>0</v>
      </c>
    </row>
    <row r="1903" spans="1:11" ht="12.75" hidden="1" customHeight="1" x14ac:dyDescent="0.2">
      <c r="A1903" s="8">
        <v>748</v>
      </c>
      <c r="B1903" s="8" t="s">
        <v>47</v>
      </c>
      <c r="C1903" s="8" t="s">
        <v>4</v>
      </c>
      <c r="D1903" s="12">
        <v>45078</v>
      </c>
      <c r="E1903" s="8">
        <v>36725</v>
      </c>
      <c r="F1903" s="10">
        <f>IF(ISTEXT(Таблицаx_2[[#This Row],[Значение]]), 0, Таблицаx_2[[#This Row],[Значение]])</f>
        <v>36725</v>
      </c>
      <c r="G1903" s="12">
        <v>45200</v>
      </c>
      <c r="H1903" s="10" t="str">
        <f>IFERROR(VLOOKUP(Таблицаx_2[[#This Row],[id]],prolongations!A:C,2,)," ")</f>
        <v>октябрь 2023</v>
      </c>
      <c r="I1903" s="10">
        <f>IF(Таблицаx_2[[#This Row],[Месяц окончания]]=Таблицаx_2[[#This Row],[Месяц]],Таблицаx_2[[#This Row],[Значения числа]],0)</f>
        <v>0</v>
      </c>
      <c r="J1903" s="8">
        <f>IF(AND(Таблицаx_2[[#This Row],[Месяц окончания]]=Таблицаx_2[[#This Row],[Месяц]],Таблицаx_2[[#This Row],[id]]=A1904,EDATE(Таблицаx_2[[#This Row],[Месяц]],1)=D1904),F1904,0)</f>
        <v>0</v>
      </c>
      <c r="K1903" s="8">
        <f>IF(AND(Таблицаx_2[[#This Row],[Месяц окончания]]=Таблицаx_2[[#This Row],[Месяц]],Таблицаx_2[[#This Row],[id]]=A1904,EDATE(Таблицаx_2[[#This Row],[Месяц]],2)=D1904),F1904,0)</f>
        <v>0</v>
      </c>
    </row>
    <row r="1904" spans="1:11" ht="12.75" hidden="1" customHeight="1" x14ac:dyDescent="0.2">
      <c r="A1904" s="8">
        <v>748</v>
      </c>
      <c r="B1904" s="8" t="s">
        <v>47</v>
      </c>
      <c r="C1904" s="8" t="s">
        <v>4</v>
      </c>
      <c r="D1904" s="12">
        <v>45108</v>
      </c>
      <c r="E1904" s="8">
        <v>53825</v>
      </c>
      <c r="F1904" s="10">
        <f>IF(ISTEXT(Таблицаx_2[[#This Row],[Значение]]), 0, Таблицаx_2[[#This Row],[Значение]])</f>
        <v>53825</v>
      </c>
      <c r="G1904" s="12">
        <v>45200</v>
      </c>
      <c r="H1904" s="10" t="str">
        <f>IFERROR(VLOOKUP(Таблицаx_2[[#This Row],[id]],prolongations!A:C,2,)," ")</f>
        <v>октябрь 2023</v>
      </c>
      <c r="I1904" s="10">
        <f>IF(Таблицаx_2[[#This Row],[Месяц окончания]]=Таблицаx_2[[#This Row],[Месяц]],Таблицаx_2[[#This Row],[Значения числа]],0)</f>
        <v>0</v>
      </c>
      <c r="J1904" s="8">
        <f>IF(AND(Таблицаx_2[[#This Row],[Месяц окончания]]=Таблицаx_2[[#This Row],[Месяц]],Таблицаx_2[[#This Row],[id]]=A1905,EDATE(Таблицаx_2[[#This Row],[Месяц]],1)=D1905),F1905,0)</f>
        <v>0</v>
      </c>
      <c r="K1904" s="8">
        <f>IF(AND(Таблицаx_2[[#This Row],[Месяц окончания]]=Таблицаx_2[[#This Row],[Месяц]],Таблицаx_2[[#This Row],[id]]=A1905,EDATE(Таблицаx_2[[#This Row],[Месяц]],2)=D1905),F1905,0)</f>
        <v>0</v>
      </c>
    </row>
    <row r="1905" spans="1:11" ht="12.75" hidden="1" customHeight="1" x14ac:dyDescent="0.2">
      <c r="A1905" s="8">
        <v>748</v>
      </c>
      <c r="B1905" s="8" t="s">
        <v>47</v>
      </c>
      <c r="C1905" s="8" t="s">
        <v>4</v>
      </c>
      <c r="D1905" s="12">
        <v>45139</v>
      </c>
      <c r="E1905" s="8">
        <v>28175</v>
      </c>
      <c r="F1905" s="10">
        <f>IF(ISTEXT(Таблицаx_2[[#This Row],[Значение]]), 0, Таблицаx_2[[#This Row],[Значение]])</f>
        <v>28175</v>
      </c>
      <c r="G1905" s="12">
        <v>45200</v>
      </c>
      <c r="H1905" s="10" t="str">
        <f>IFERROR(VLOOKUP(Таблицаx_2[[#This Row],[id]],prolongations!A:C,2,)," ")</f>
        <v>октябрь 2023</v>
      </c>
      <c r="I1905" s="10">
        <f>IF(Таблицаx_2[[#This Row],[Месяц окончания]]=Таблицаx_2[[#This Row],[Месяц]],Таблицаx_2[[#This Row],[Значения числа]],0)</f>
        <v>0</v>
      </c>
      <c r="J1905" s="8">
        <f>IF(AND(Таблицаx_2[[#This Row],[Месяц окончания]]=Таблицаx_2[[#This Row],[Месяц]],Таблицаx_2[[#This Row],[id]]=A1906,EDATE(Таблицаx_2[[#This Row],[Месяц]],1)=D1906),F1906,0)</f>
        <v>0</v>
      </c>
      <c r="K1905" s="8">
        <f>IF(AND(Таблицаx_2[[#This Row],[Месяц окончания]]=Таблицаx_2[[#This Row],[Месяц]],Таблицаx_2[[#This Row],[id]]=A1906,EDATE(Таблицаx_2[[#This Row],[Месяц]],2)=D1906),F1906,0)</f>
        <v>0</v>
      </c>
    </row>
    <row r="1906" spans="1:11" ht="12.75" hidden="1" customHeight="1" x14ac:dyDescent="0.2">
      <c r="A1906" s="8">
        <v>748</v>
      </c>
      <c r="B1906" s="8" t="s">
        <v>47</v>
      </c>
      <c r="C1906" s="8" t="s">
        <v>4</v>
      </c>
      <c r="D1906" s="12">
        <v>45170</v>
      </c>
      <c r="E1906" s="8">
        <v>28175</v>
      </c>
      <c r="F1906" s="10">
        <f>IF(ISTEXT(Таблицаx_2[[#This Row],[Значение]]), 0, Таблицаx_2[[#This Row],[Значение]])</f>
        <v>28175</v>
      </c>
      <c r="G1906" s="12">
        <v>45200</v>
      </c>
      <c r="H1906" s="10" t="str">
        <f>IFERROR(VLOOKUP(Таблицаx_2[[#This Row],[id]],prolongations!A:C,2,)," ")</f>
        <v>октябрь 2023</v>
      </c>
      <c r="I1906" s="10">
        <f>IF(Таблицаx_2[[#This Row],[Месяц окончания]]=Таблицаx_2[[#This Row],[Месяц]],Таблицаx_2[[#This Row],[Значения числа]],0)</f>
        <v>0</v>
      </c>
      <c r="J1906" s="8">
        <f>IF(AND(Таблицаx_2[[#This Row],[Месяц окончания]]=Таблицаx_2[[#This Row],[Месяц]],Таблицаx_2[[#This Row],[id]]=A1907,EDATE(Таблицаx_2[[#This Row],[Месяц]],1)=D1907),F1907,0)</f>
        <v>0</v>
      </c>
      <c r="K1906" s="8">
        <f>IF(AND(Таблицаx_2[[#This Row],[Месяц окончания]]=Таблицаx_2[[#This Row],[Месяц]],Таблицаx_2[[#This Row],[id]]=A1907,EDATE(Таблицаx_2[[#This Row],[Месяц]],2)=D1907),F1907,0)</f>
        <v>0</v>
      </c>
    </row>
    <row r="1907" spans="1:11" ht="12.75" hidden="1" customHeight="1" x14ac:dyDescent="0.2">
      <c r="A1907" s="8">
        <v>748</v>
      </c>
      <c r="B1907" s="8" t="s">
        <v>47</v>
      </c>
      <c r="C1907" s="8" t="s">
        <v>4</v>
      </c>
      <c r="D1907" s="12">
        <v>45200</v>
      </c>
      <c r="E1907" s="8">
        <v>32925</v>
      </c>
      <c r="F1907" s="10">
        <f>IF(ISTEXT(Таблицаx_2[[#This Row],[Значение]]), 0, Таблицаx_2[[#This Row],[Значение]])</f>
        <v>32925</v>
      </c>
      <c r="G1907" s="12">
        <v>45200</v>
      </c>
      <c r="H1907" s="10" t="str">
        <f>IFERROR(VLOOKUP(Таблицаx_2[[#This Row],[id]],prolongations!A:C,2,)," ")</f>
        <v>октябрь 2023</v>
      </c>
      <c r="I1907" s="10">
        <f>IF(Таблицаx_2[[#This Row],[Месяц окончания]]=Таблицаx_2[[#This Row],[Месяц]],Таблицаx_2[[#This Row],[Значения числа]],0)</f>
        <v>32925</v>
      </c>
      <c r="J1907" s="8">
        <f>IF(AND(Таблицаx_2[[#This Row],[Месяц окончания]]=Таблицаx_2[[#This Row],[Месяц]],Таблицаx_2[[#This Row],[id]]=A1908,EDATE(Таблицаx_2[[#This Row],[Месяц]],1)=D1908),F1908,0)</f>
        <v>32925</v>
      </c>
      <c r="K1907" s="8">
        <f>IF(AND(Таблицаx_2[[#This Row],[Месяц окончания]]=Таблицаx_2[[#This Row],[Месяц]],Таблицаx_2[[#This Row],[id]]=A1908,EDATE(Таблицаx_2[[#This Row],[Месяц]],2)=D1908),F1908,0)</f>
        <v>0</v>
      </c>
    </row>
    <row r="1908" spans="1:11" ht="12.75" hidden="1" customHeight="1" x14ac:dyDescent="0.2">
      <c r="A1908" s="8">
        <v>748</v>
      </c>
      <c r="B1908" s="8" t="s">
        <v>47</v>
      </c>
      <c r="C1908" s="8" t="s">
        <v>4</v>
      </c>
      <c r="D1908" s="12">
        <v>45231</v>
      </c>
      <c r="E1908" s="8">
        <v>32925</v>
      </c>
      <c r="F1908" s="10">
        <f>IF(ISTEXT(Таблицаx_2[[#This Row],[Значение]]), 0, Таблицаx_2[[#This Row],[Значение]])</f>
        <v>32925</v>
      </c>
      <c r="G1908" s="12">
        <v>45200</v>
      </c>
      <c r="H1908" s="10" t="str">
        <f>IFERROR(VLOOKUP(Таблицаx_2[[#This Row],[id]],prolongations!A:C,2,)," ")</f>
        <v>октябрь 2023</v>
      </c>
      <c r="I1908" s="10">
        <f>IF(Таблицаx_2[[#This Row],[Месяц окончания]]=Таблицаx_2[[#This Row],[Месяц]],Таблицаx_2[[#This Row],[Значения числа]],0)</f>
        <v>0</v>
      </c>
      <c r="J1908" s="8">
        <f>IF(AND(Таблицаx_2[[#This Row],[Месяц окончания]]=Таблицаx_2[[#This Row],[Месяц]],Таблицаx_2[[#This Row],[id]]=A1909,EDATE(Таблицаx_2[[#This Row],[Месяц]],1)=D1909),F1909,0)</f>
        <v>0</v>
      </c>
      <c r="K1908" s="8">
        <f>IF(AND(Таблицаx_2[[#This Row],[Месяц окончания]]=Таблицаx_2[[#This Row],[Месяц]],Таблицаx_2[[#This Row],[id]]=A1909,EDATE(Таблицаx_2[[#This Row],[Месяц]],2)=D1909),F1909,0)</f>
        <v>0</v>
      </c>
    </row>
    <row r="1909" spans="1:11" ht="12.75" hidden="1" customHeight="1" x14ac:dyDescent="0.2">
      <c r="A1909" s="8">
        <v>748</v>
      </c>
      <c r="B1909" s="8" t="s">
        <v>47</v>
      </c>
      <c r="C1909" s="8" t="s">
        <v>4</v>
      </c>
      <c r="D1909" s="12">
        <v>45261</v>
      </c>
      <c r="E1909" s="8">
        <v>32925</v>
      </c>
      <c r="F1909" s="10">
        <f>IF(ISTEXT(Таблицаx_2[[#This Row],[Значение]]), 0, Таблицаx_2[[#This Row],[Значение]])</f>
        <v>32925</v>
      </c>
      <c r="G1909" s="12">
        <v>45200</v>
      </c>
      <c r="H1909" s="10" t="str">
        <f>IFERROR(VLOOKUP(Таблицаx_2[[#This Row],[id]],prolongations!A:C,2,)," ")</f>
        <v>октябрь 2023</v>
      </c>
      <c r="I1909" s="10">
        <f>IF(Таблицаx_2[[#This Row],[Месяц окончания]]=Таблицаx_2[[#This Row],[Месяц]],Таблицаx_2[[#This Row],[Значения числа]],0)</f>
        <v>0</v>
      </c>
      <c r="J1909" s="8">
        <f>IF(AND(Таблицаx_2[[#This Row],[Месяц окончания]]=Таблицаx_2[[#This Row],[Месяц]],Таблицаx_2[[#This Row],[id]]=A1910,EDATE(Таблицаx_2[[#This Row],[Месяц]],1)=D1910),F1910,0)</f>
        <v>0</v>
      </c>
      <c r="K1909" s="8">
        <f>IF(AND(Таблицаx_2[[#This Row],[Месяц окончания]]=Таблицаx_2[[#This Row],[Месяц]],Таблицаx_2[[#This Row],[id]]=A1910,EDATE(Таблицаx_2[[#This Row],[Месяц]],2)=D1910),F1910,0)</f>
        <v>0</v>
      </c>
    </row>
    <row r="1910" spans="1:11" ht="12.75" hidden="1" customHeight="1" x14ac:dyDescent="0.2">
      <c r="A1910" s="8">
        <v>748</v>
      </c>
      <c r="B1910" s="8" t="s">
        <v>47</v>
      </c>
      <c r="C1910" s="8" t="s">
        <v>4</v>
      </c>
      <c r="D1910" s="12">
        <v>45323</v>
      </c>
      <c r="E1910" s="8">
        <v>7050</v>
      </c>
      <c r="F1910" s="10">
        <f>IF(ISTEXT(Таблицаx_2[[#This Row],[Значение]]), 0, Таблицаx_2[[#This Row],[Значение]])</f>
        <v>7050</v>
      </c>
      <c r="G1910" s="12">
        <v>45200</v>
      </c>
      <c r="H1910" s="10" t="str">
        <f>IFERROR(VLOOKUP(Таблицаx_2[[#This Row],[id]],prolongations!A:C,2,)," ")</f>
        <v>октябрь 2023</v>
      </c>
      <c r="I1910" s="10">
        <f>IF(Таблицаx_2[[#This Row],[Месяц окончания]]=Таблицаx_2[[#This Row],[Месяц]],Таблицаx_2[[#This Row],[Значения числа]],0)</f>
        <v>0</v>
      </c>
      <c r="J1910" s="8">
        <f>IF(AND(Таблицаx_2[[#This Row],[Месяц окончания]]=Таблицаx_2[[#This Row],[Месяц]],Таблицаx_2[[#This Row],[id]]=A1911,EDATE(Таблицаx_2[[#This Row],[Месяц]],1)=D1911),F1911,0)</f>
        <v>0</v>
      </c>
      <c r="K1910" s="8">
        <f>IF(AND(Таблицаx_2[[#This Row],[Месяц окончания]]=Таблицаx_2[[#This Row],[Месяц]],Таблицаx_2[[#This Row],[id]]=A1911,EDATE(Таблицаx_2[[#This Row],[Месяц]],2)=D1911),F1911,0)</f>
        <v>0</v>
      </c>
    </row>
    <row r="1911" spans="1:11" ht="12.75" hidden="1" customHeight="1" x14ac:dyDescent="0.2">
      <c r="A1911" s="8">
        <v>112</v>
      </c>
      <c r="B1911" s="8"/>
      <c r="C1911" s="8" t="s">
        <v>5</v>
      </c>
      <c r="D1911" s="12">
        <v>44866</v>
      </c>
      <c r="E1911" s="8">
        <v>202450</v>
      </c>
      <c r="F1911" s="10">
        <f>IF(ISTEXT(Таблицаx_2[[#This Row],[Значение]]), 0, Таблицаx_2[[#This Row],[Значение]])</f>
        <v>202450</v>
      </c>
      <c r="G1911" s="12">
        <v>44896</v>
      </c>
      <c r="H1911" s="10" t="str">
        <f>IFERROR(VLOOKUP(Таблицаx_2[[#This Row],[id]],prolongations!A:C,2,)," ")</f>
        <v>декабрь 2022</v>
      </c>
      <c r="I1911" s="10">
        <f>IF(Таблицаx_2[[#This Row],[Месяц окончания]]=Таблицаx_2[[#This Row],[Месяц]],Таблицаx_2[[#This Row],[Значения числа]],0)</f>
        <v>0</v>
      </c>
      <c r="J1911" s="8">
        <f>IF(AND(Таблицаx_2[[#This Row],[Месяц окончания]]=Таблицаx_2[[#This Row],[Месяц]],Таблицаx_2[[#This Row],[id]]=A1912,EDATE(Таблицаx_2[[#This Row],[Месяц]],1)=D1912),F1912,0)</f>
        <v>0</v>
      </c>
      <c r="K1911" s="8">
        <f>IF(AND(Таблицаx_2[[#This Row],[Месяц окончания]]=Таблицаx_2[[#This Row],[Месяц]],Таблицаx_2[[#This Row],[id]]=A1912,EDATE(Таблицаx_2[[#This Row],[Месяц]],2)=D1912),F1912,0)</f>
        <v>0</v>
      </c>
    </row>
    <row r="1912" spans="1:11" hidden="1" x14ac:dyDescent="0.2">
      <c r="A1912" s="8">
        <v>112</v>
      </c>
      <c r="B1912" s="8"/>
      <c r="C1912" s="8" t="s">
        <v>5</v>
      </c>
      <c r="D1912" s="12">
        <v>44896</v>
      </c>
      <c r="E1912" s="8">
        <v>194050</v>
      </c>
      <c r="F1912" s="10">
        <f>IF(ISTEXT(Таблицаx_2[[#This Row],[Значение]]), 0, Таблицаx_2[[#This Row],[Значение]])</f>
        <v>194050</v>
      </c>
      <c r="G1912" s="12">
        <v>44896</v>
      </c>
      <c r="H1912" s="10" t="str">
        <f>IFERROR(VLOOKUP(Таблицаx_2[[#This Row],[id]],prolongations!A:C,2,)," ")</f>
        <v>декабрь 2022</v>
      </c>
      <c r="I1912" s="10">
        <f>IF(Таблицаx_2[[#This Row],[Месяц окончания]]=Таблицаx_2[[#This Row],[Месяц]],Таблицаx_2[[#This Row],[Значения числа]],0)</f>
        <v>194050</v>
      </c>
      <c r="J1912" s="8">
        <f>IF(AND(Таблицаx_2[[#This Row],[Месяц окончания]]=Таблицаx_2[[#This Row],[Месяц]],Таблицаx_2[[#This Row],[id]]=A1913,EDATE(Таблицаx_2[[#This Row],[Месяц]],1)=D1913),F1913,0)</f>
        <v>125000</v>
      </c>
      <c r="K1912" s="8">
        <f>IF(AND(Таблицаx_2[[#This Row],[Месяц окончания]]=Таблицаx_2[[#This Row],[Месяц]],Таблицаx_2[[#This Row],[id]]=A1913,EDATE(Таблицаx_2[[#This Row],[Месяц]],2)=D1913),F1913,0)</f>
        <v>0</v>
      </c>
    </row>
    <row r="1913" spans="1:11" ht="12.75" hidden="1" customHeight="1" x14ac:dyDescent="0.2">
      <c r="A1913" s="8">
        <v>112</v>
      </c>
      <c r="B1913" s="8"/>
      <c r="C1913" s="8" t="s">
        <v>5</v>
      </c>
      <c r="D1913" s="12">
        <v>44927</v>
      </c>
      <c r="E1913" s="8">
        <v>125000</v>
      </c>
      <c r="F1913" s="10">
        <f>IF(ISTEXT(Таблицаx_2[[#This Row],[Значение]]), 0, Таблицаx_2[[#This Row],[Значение]])</f>
        <v>125000</v>
      </c>
      <c r="G1913" s="12">
        <v>44896</v>
      </c>
      <c r="H1913" s="10" t="str">
        <f>IFERROR(VLOOKUP(Таблицаx_2[[#This Row],[id]],prolongations!A:C,2,)," ")</f>
        <v>декабрь 2022</v>
      </c>
      <c r="I1913" s="10">
        <f>IF(Таблицаx_2[[#This Row],[Месяц окончания]]=Таблицаx_2[[#This Row],[Месяц]],Таблицаx_2[[#This Row],[Значения числа]],0)</f>
        <v>0</v>
      </c>
      <c r="J1913" s="8">
        <f>IF(AND(Таблицаx_2[[#This Row],[Месяц окончания]]=Таблицаx_2[[#This Row],[Месяц]],Таблицаx_2[[#This Row],[id]]=A1914,EDATE(Таблицаx_2[[#This Row],[Месяц]],1)=D1914),F1914,0)</f>
        <v>0</v>
      </c>
      <c r="K1913" s="8">
        <f>IF(AND(Таблицаx_2[[#This Row],[Месяц окончания]]=Таблицаx_2[[#This Row],[Месяц]],Таблицаx_2[[#This Row],[id]]=A1914,EDATE(Таблицаx_2[[#This Row],[Месяц]],2)=D1914),F1914,0)</f>
        <v>0</v>
      </c>
    </row>
    <row r="1914" spans="1:11" ht="12.75" hidden="1" customHeight="1" x14ac:dyDescent="0.2">
      <c r="A1914" s="8">
        <v>112</v>
      </c>
      <c r="B1914" s="8"/>
      <c r="C1914" s="8" t="s">
        <v>5</v>
      </c>
      <c r="D1914" s="12">
        <v>44958</v>
      </c>
      <c r="E1914" s="8">
        <v>222000</v>
      </c>
      <c r="F1914" s="10">
        <f>IF(ISTEXT(Таблицаx_2[[#This Row],[Значение]]), 0, Таблицаx_2[[#This Row],[Значение]])</f>
        <v>222000</v>
      </c>
      <c r="G1914" s="12">
        <v>44896</v>
      </c>
      <c r="H1914" s="10" t="str">
        <f>IFERROR(VLOOKUP(Таблицаx_2[[#This Row],[id]],prolongations!A:C,2,)," ")</f>
        <v>декабрь 2022</v>
      </c>
      <c r="I1914" s="10">
        <f>IF(Таблицаx_2[[#This Row],[Месяц окончания]]=Таблицаx_2[[#This Row],[Месяц]],Таблицаx_2[[#This Row],[Значения числа]],0)</f>
        <v>0</v>
      </c>
      <c r="J1914" s="8">
        <f>IF(AND(Таблицаx_2[[#This Row],[Месяц окончания]]=Таблицаx_2[[#This Row],[Месяц]],Таблицаx_2[[#This Row],[id]]=A1915,EDATE(Таблицаx_2[[#This Row],[Месяц]],1)=D1915),F1915,0)</f>
        <v>0</v>
      </c>
      <c r="K1914" s="8">
        <f>IF(AND(Таблицаx_2[[#This Row],[Месяц окончания]]=Таблицаx_2[[#This Row],[Месяц]],Таблицаx_2[[#This Row],[id]]=A1915,EDATE(Таблицаx_2[[#This Row],[Месяц]],2)=D1915),F1915,0)</f>
        <v>0</v>
      </c>
    </row>
    <row r="1915" spans="1:11" ht="12.75" hidden="1" customHeight="1" x14ac:dyDescent="0.2">
      <c r="A1915" s="8">
        <v>112</v>
      </c>
      <c r="B1915" s="8"/>
      <c r="C1915" s="8" t="s">
        <v>5</v>
      </c>
      <c r="D1915" s="12">
        <v>44986</v>
      </c>
      <c r="E1915" s="8">
        <v>240800</v>
      </c>
      <c r="F1915" s="10">
        <f>IF(ISTEXT(Таблицаx_2[[#This Row],[Значение]]), 0, Таблицаx_2[[#This Row],[Значение]])</f>
        <v>240800</v>
      </c>
      <c r="G1915" s="12">
        <v>44896</v>
      </c>
      <c r="H1915" s="10" t="str">
        <f>IFERROR(VLOOKUP(Таблицаx_2[[#This Row],[id]],prolongations!A:C,2,)," ")</f>
        <v>декабрь 2022</v>
      </c>
      <c r="I1915" s="10">
        <f>IF(Таблицаx_2[[#This Row],[Месяц окончания]]=Таблицаx_2[[#This Row],[Месяц]],Таблицаx_2[[#This Row],[Значения числа]],0)</f>
        <v>0</v>
      </c>
      <c r="J1915" s="8">
        <f>IF(AND(Таблицаx_2[[#This Row],[Месяц окончания]]=Таблицаx_2[[#This Row],[Месяц]],Таблицаx_2[[#This Row],[id]]=A1916,EDATE(Таблицаx_2[[#This Row],[Месяц]],1)=D1916),F1916,0)</f>
        <v>0</v>
      </c>
      <c r="K1915" s="8">
        <f>IF(AND(Таблицаx_2[[#This Row],[Месяц окончания]]=Таблицаx_2[[#This Row],[Месяц]],Таблицаx_2[[#This Row],[id]]=A1916,EDATE(Таблицаx_2[[#This Row],[Месяц]],2)=D1916),F1916,0)</f>
        <v>0</v>
      </c>
    </row>
    <row r="1916" spans="1:11" ht="12.75" hidden="1" customHeight="1" x14ac:dyDescent="0.2">
      <c r="A1916" s="8">
        <v>112</v>
      </c>
      <c r="B1916" s="8"/>
      <c r="C1916" s="8" t="s">
        <v>5</v>
      </c>
      <c r="D1916" s="12">
        <v>45017</v>
      </c>
      <c r="E1916" s="8">
        <v>90090</v>
      </c>
      <c r="F1916" s="10">
        <f>IF(ISTEXT(Таблицаx_2[[#This Row],[Значение]]), 0, Таблицаx_2[[#This Row],[Значение]])</f>
        <v>90090</v>
      </c>
      <c r="G1916" s="12">
        <v>44896</v>
      </c>
      <c r="H1916" s="10" t="str">
        <f>IFERROR(VLOOKUP(Таблицаx_2[[#This Row],[id]],prolongations!A:C,2,)," ")</f>
        <v>декабрь 2022</v>
      </c>
      <c r="I1916" s="10">
        <f>IF(Таблицаx_2[[#This Row],[Месяц окончания]]=Таблицаx_2[[#This Row],[Месяц]],Таблицаx_2[[#This Row],[Значения числа]],0)</f>
        <v>0</v>
      </c>
      <c r="J1916" s="8">
        <f>IF(AND(Таблицаx_2[[#This Row],[Месяц окончания]]=Таблицаx_2[[#This Row],[Месяц]],Таблицаx_2[[#This Row],[id]]=A1917,EDATE(Таблицаx_2[[#This Row],[Месяц]],1)=D1917),F1917,0)</f>
        <v>0</v>
      </c>
      <c r="K1916" s="8">
        <f>IF(AND(Таблицаx_2[[#This Row],[Месяц окончания]]=Таблицаx_2[[#This Row],[Месяц]],Таблицаx_2[[#This Row],[id]]=A1917,EDATE(Таблицаx_2[[#This Row],[Месяц]],2)=D1917),F1917,0)</f>
        <v>0</v>
      </c>
    </row>
    <row r="1917" spans="1:11" ht="12.75" hidden="1" customHeight="1" x14ac:dyDescent="0.2">
      <c r="A1917" s="8">
        <v>112</v>
      </c>
      <c r="B1917" s="8"/>
      <c r="C1917" s="8" t="s">
        <v>5</v>
      </c>
      <c r="D1917" s="12">
        <v>45047</v>
      </c>
      <c r="E1917" s="8">
        <v>117090</v>
      </c>
      <c r="F1917" s="10">
        <f>IF(ISTEXT(Таблицаx_2[[#This Row],[Значение]]), 0, Таблицаx_2[[#This Row],[Значение]])</f>
        <v>117090</v>
      </c>
      <c r="G1917" s="12">
        <v>44896</v>
      </c>
      <c r="H1917" s="10" t="str">
        <f>IFERROR(VLOOKUP(Таблицаx_2[[#This Row],[id]],prolongations!A:C,2,)," ")</f>
        <v>декабрь 2022</v>
      </c>
      <c r="I1917" s="10">
        <f>IF(Таблицаx_2[[#This Row],[Месяц окончания]]=Таблицаx_2[[#This Row],[Месяц]],Таблицаx_2[[#This Row],[Значения числа]],0)</f>
        <v>0</v>
      </c>
      <c r="J1917" s="8">
        <f>IF(AND(Таблицаx_2[[#This Row],[Месяц окончания]]=Таблицаx_2[[#This Row],[Месяц]],Таблицаx_2[[#This Row],[id]]=A1918,EDATE(Таблицаx_2[[#This Row],[Месяц]],1)=D1918),F1918,0)</f>
        <v>0</v>
      </c>
      <c r="K1917" s="8">
        <f>IF(AND(Таблицаx_2[[#This Row],[Месяц окончания]]=Таблицаx_2[[#This Row],[Месяц]],Таблицаx_2[[#This Row],[id]]=A1918,EDATE(Таблицаx_2[[#This Row],[Месяц]],2)=D1918),F1918,0)</f>
        <v>0</v>
      </c>
    </row>
    <row r="1918" spans="1:11" ht="12.75" hidden="1" customHeight="1" x14ac:dyDescent="0.2">
      <c r="A1918" s="8">
        <v>112</v>
      </c>
      <c r="B1918" s="8"/>
      <c r="C1918" s="8" t="s">
        <v>5</v>
      </c>
      <c r="D1918" s="12">
        <v>45078</v>
      </c>
      <c r="E1918" s="8">
        <v>117090</v>
      </c>
      <c r="F1918" s="10">
        <f>IF(ISTEXT(Таблицаx_2[[#This Row],[Значение]]), 0, Таблицаx_2[[#This Row],[Значение]])</f>
        <v>117090</v>
      </c>
      <c r="G1918" s="12">
        <v>44896</v>
      </c>
      <c r="H1918" s="10" t="str">
        <f>IFERROR(VLOOKUP(Таблицаx_2[[#This Row],[id]],prolongations!A:C,2,)," ")</f>
        <v>декабрь 2022</v>
      </c>
      <c r="I1918" s="10">
        <f>IF(Таблицаx_2[[#This Row],[Месяц окончания]]=Таблицаx_2[[#This Row],[Месяц]],Таблицаx_2[[#This Row],[Значения числа]],0)</f>
        <v>0</v>
      </c>
      <c r="J1918" s="8">
        <f>IF(AND(Таблицаx_2[[#This Row],[Месяц окончания]]=Таблицаx_2[[#This Row],[Месяц]],Таблицаx_2[[#This Row],[id]]=A1919,EDATE(Таблицаx_2[[#This Row],[Месяц]],1)=D1919),F1919,0)</f>
        <v>0</v>
      </c>
      <c r="K1918" s="8">
        <f>IF(AND(Таблицаx_2[[#This Row],[Месяц окончания]]=Таблицаx_2[[#This Row],[Месяц]],Таблицаx_2[[#This Row],[id]]=A1919,EDATE(Таблицаx_2[[#This Row],[Месяц]],2)=D1919),F1919,0)</f>
        <v>0</v>
      </c>
    </row>
    <row r="1919" spans="1:11" ht="12.75" hidden="1" customHeight="1" x14ac:dyDescent="0.2">
      <c r="A1919" s="8">
        <v>112</v>
      </c>
      <c r="B1919" s="8"/>
      <c r="C1919" s="8" t="s">
        <v>5</v>
      </c>
      <c r="D1919" s="12">
        <v>45108</v>
      </c>
      <c r="E1919" s="8">
        <v>155090</v>
      </c>
      <c r="F1919" s="10">
        <f>IF(ISTEXT(Таблицаx_2[[#This Row],[Значение]]), 0, Таблицаx_2[[#This Row],[Значение]])</f>
        <v>155090</v>
      </c>
      <c r="G1919" s="12">
        <v>44896</v>
      </c>
      <c r="H1919" s="10" t="str">
        <f>IFERROR(VLOOKUP(Таблицаx_2[[#This Row],[id]],prolongations!A:C,2,)," ")</f>
        <v>декабрь 2022</v>
      </c>
      <c r="I1919" s="10">
        <f>IF(Таблицаx_2[[#This Row],[Месяц окончания]]=Таблицаx_2[[#This Row],[Месяц]],Таблицаx_2[[#This Row],[Значения числа]],0)</f>
        <v>0</v>
      </c>
      <c r="J1919" s="8">
        <f>IF(AND(Таблицаx_2[[#This Row],[Месяц окончания]]=Таблицаx_2[[#This Row],[Месяц]],Таблицаx_2[[#This Row],[id]]=A1920,EDATE(Таблицаx_2[[#This Row],[Месяц]],1)=D1920),F1920,0)</f>
        <v>0</v>
      </c>
      <c r="K1919" s="8">
        <f>IF(AND(Таблицаx_2[[#This Row],[Месяц окончания]]=Таблицаx_2[[#This Row],[Месяц]],Таблицаx_2[[#This Row],[id]]=A1920,EDATE(Таблицаx_2[[#This Row],[Месяц]],2)=D1920),F1920,0)</f>
        <v>0</v>
      </c>
    </row>
    <row r="1920" spans="1:11" ht="12.75" hidden="1" customHeight="1" x14ac:dyDescent="0.2">
      <c r="A1920" s="8">
        <v>112</v>
      </c>
      <c r="B1920" s="8"/>
      <c r="C1920" s="8" t="s">
        <v>5</v>
      </c>
      <c r="D1920" s="12">
        <v>45139</v>
      </c>
      <c r="E1920" s="8">
        <v>162650</v>
      </c>
      <c r="F1920" s="10">
        <f>IF(ISTEXT(Таблицаx_2[[#This Row],[Значение]]), 0, Таблицаx_2[[#This Row],[Значение]])</f>
        <v>162650</v>
      </c>
      <c r="G1920" s="12">
        <v>44896</v>
      </c>
      <c r="H1920" s="10" t="str">
        <f>IFERROR(VLOOKUP(Таблицаx_2[[#This Row],[id]],prolongations!A:C,2,)," ")</f>
        <v>декабрь 2022</v>
      </c>
      <c r="I1920" s="10">
        <f>IF(Таблицаx_2[[#This Row],[Месяц окончания]]=Таблицаx_2[[#This Row],[Месяц]],Таблицаx_2[[#This Row],[Значения числа]],0)</f>
        <v>0</v>
      </c>
      <c r="J1920" s="8">
        <f>IF(AND(Таблицаx_2[[#This Row],[Месяц окончания]]=Таблицаx_2[[#This Row],[Месяц]],Таблицаx_2[[#This Row],[id]]=A1921,EDATE(Таблицаx_2[[#This Row],[Месяц]],1)=D1921),F1921,0)</f>
        <v>0</v>
      </c>
      <c r="K1920" s="8">
        <f>IF(AND(Таблицаx_2[[#This Row],[Месяц окончания]]=Таблицаx_2[[#This Row],[Месяц]],Таблицаx_2[[#This Row],[id]]=A1921,EDATE(Таблицаx_2[[#This Row],[Месяц]],2)=D1921),F1921,0)</f>
        <v>0</v>
      </c>
    </row>
    <row r="1921" spans="1:11" ht="12.75" hidden="1" customHeight="1" x14ac:dyDescent="0.2">
      <c r="A1921" s="8">
        <v>112</v>
      </c>
      <c r="B1921" s="8"/>
      <c r="C1921" s="8" t="s">
        <v>5</v>
      </c>
      <c r="D1921" s="12">
        <v>45170</v>
      </c>
      <c r="E1921" s="8">
        <v>162650</v>
      </c>
      <c r="F1921" s="10">
        <f>IF(ISTEXT(Таблицаx_2[[#This Row],[Значение]]), 0, Таблицаx_2[[#This Row],[Значение]])</f>
        <v>162650</v>
      </c>
      <c r="G1921" s="12">
        <v>44896</v>
      </c>
      <c r="H1921" s="10" t="str">
        <f>IFERROR(VLOOKUP(Таблицаx_2[[#This Row],[id]],prolongations!A:C,2,)," ")</f>
        <v>декабрь 2022</v>
      </c>
      <c r="I1921" s="10">
        <f>IF(Таблицаx_2[[#This Row],[Месяц окончания]]=Таблицаx_2[[#This Row],[Месяц]],Таблицаx_2[[#This Row],[Значения числа]],0)</f>
        <v>0</v>
      </c>
      <c r="J1921" s="8">
        <f>IF(AND(Таблицаx_2[[#This Row],[Месяц окончания]]=Таблицаx_2[[#This Row],[Месяц]],Таблицаx_2[[#This Row],[id]]=A1922,EDATE(Таблицаx_2[[#This Row],[Месяц]],1)=D1922),F1922,0)</f>
        <v>0</v>
      </c>
      <c r="K1921" s="8">
        <f>IF(AND(Таблицаx_2[[#This Row],[Месяц окончания]]=Таблицаx_2[[#This Row],[Месяц]],Таблицаx_2[[#This Row],[id]]=A1922,EDATE(Таблицаx_2[[#This Row],[Месяц]],2)=D1922),F1922,0)</f>
        <v>0</v>
      </c>
    </row>
    <row r="1922" spans="1:11" ht="12.75" hidden="1" customHeight="1" x14ac:dyDescent="0.2">
      <c r="A1922" s="8">
        <v>112</v>
      </c>
      <c r="B1922" s="8"/>
      <c r="C1922" s="8" t="s">
        <v>5</v>
      </c>
      <c r="D1922" s="12">
        <v>45200</v>
      </c>
      <c r="E1922" s="8">
        <v>132410</v>
      </c>
      <c r="F1922" s="10">
        <f>IF(ISTEXT(Таблицаx_2[[#This Row],[Значение]]), 0, Таблицаx_2[[#This Row],[Значение]])</f>
        <v>132410</v>
      </c>
      <c r="G1922" s="12">
        <v>44896</v>
      </c>
      <c r="H1922" s="10" t="str">
        <f>IFERROR(VLOOKUP(Таблицаx_2[[#This Row],[id]],prolongations!A:C,2,)," ")</f>
        <v>декабрь 2022</v>
      </c>
      <c r="I1922" s="10">
        <f>IF(Таблицаx_2[[#This Row],[Месяц окончания]]=Таблицаx_2[[#This Row],[Месяц]],Таблицаx_2[[#This Row],[Значения числа]],0)</f>
        <v>0</v>
      </c>
      <c r="J1922" s="8">
        <f>IF(AND(Таблицаx_2[[#This Row],[Месяц окончания]]=Таблицаx_2[[#This Row],[Месяц]],Таблицаx_2[[#This Row],[id]]=A1923,EDATE(Таблицаx_2[[#This Row],[Месяц]],1)=D1923),F1923,0)</f>
        <v>0</v>
      </c>
      <c r="K1922" s="8">
        <f>IF(AND(Таблицаx_2[[#This Row],[Месяц окончания]]=Таблицаx_2[[#This Row],[Месяц]],Таблицаx_2[[#This Row],[id]]=A1923,EDATE(Таблицаx_2[[#This Row],[Месяц]],2)=D1923),F1923,0)</f>
        <v>0</v>
      </c>
    </row>
    <row r="1923" spans="1:11" ht="12.75" hidden="1" customHeight="1" x14ac:dyDescent="0.2">
      <c r="A1923" s="8">
        <v>112</v>
      </c>
      <c r="B1923" s="8"/>
      <c r="C1923" s="8" t="s">
        <v>5</v>
      </c>
      <c r="D1923" s="12">
        <v>45231</v>
      </c>
      <c r="E1923" s="8">
        <v>132410</v>
      </c>
      <c r="F1923" s="10">
        <f>IF(ISTEXT(Таблицаx_2[[#This Row],[Значение]]), 0, Таблицаx_2[[#This Row],[Значение]])</f>
        <v>132410</v>
      </c>
      <c r="G1923" s="12">
        <v>44896</v>
      </c>
      <c r="H1923" s="10" t="str">
        <f>IFERROR(VLOOKUP(Таблицаx_2[[#This Row],[id]],prolongations!A:C,2,)," ")</f>
        <v>декабрь 2022</v>
      </c>
      <c r="I1923" s="10">
        <f>IF(Таблицаx_2[[#This Row],[Месяц окончания]]=Таблицаx_2[[#This Row],[Месяц]],Таблицаx_2[[#This Row],[Значения числа]],0)</f>
        <v>0</v>
      </c>
      <c r="J1923" s="8">
        <f>IF(AND(Таблицаx_2[[#This Row],[Месяц окончания]]=Таблицаx_2[[#This Row],[Месяц]],Таблицаx_2[[#This Row],[id]]=A1924,EDATE(Таблицаx_2[[#This Row],[Месяц]],1)=D1924),F1924,0)</f>
        <v>0</v>
      </c>
      <c r="K1923" s="8">
        <f>IF(AND(Таблицаx_2[[#This Row],[Месяц окончания]]=Таблицаx_2[[#This Row],[Месяц]],Таблицаx_2[[#This Row],[id]]=A1924,EDATE(Таблицаx_2[[#This Row],[Месяц]],2)=D1924),F1924,0)</f>
        <v>0</v>
      </c>
    </row>
    <row r="1924" spans="1:11" ht="12.75" hidden="1" customHeight="1" x14ac:dyDescent="0.2">
      <c r="A1924" s="8">
        <v>112</v>
      </c>
      <c r="B1924" s="8"/>
      <c r="C1924" s="8" t="s">
        <v>5</v>
      </c>
      <c r="D1924" s="12">
        <v>45261</v>
      </c>
      <c r="E1924" s="8">
        <v>132410</v>
      </c>
      <c r="F1924" s="10">
        <f>IF(ISTEXT(Таблицаx_2[[#This Row],[Значение]]), 0, Таблицаx_2[[#This Row],[Значение]])</f>
        <v>132410</v>
      </c>
      <c r="G1924" s="12">
        <v>44896</v>
      </c>
      <c r="H1924" s="10" t="str">
        <f>IFERROR(VLOOKUP(Таблицаx_2[[#This Row],[id]],prolongations!A:C,2,)," ")</f>
        <v>декабрь 2022</v>
      </c>
      <c r="I1924" s="10">
        <f>IF(Таблицаx_2[[#This Row],[Месяц окончания]]=Таблицаx_2[[#This Row],[Месяц]],Таблицаx_2[[#This Row],[Значения числа]],0)</f>
        <v>0</v>
      </c>
      <c r="J1924" s="8">
        <f>IF(AND(Таблицаx_2[[#This Row],[Месяц окончания]]=Таблицаx_2[[#This Row],[Месяц]],Таблицаx_2[[#This Row],[id]]=A1925,EDATE(Таблицаx_2[[#This Row],[Месяц]],1)=D1925),F1925,0)</f>
        <v>0</v>
      </c>
      <c r="K1924" s="8">
        <f>IF(AND(Таблицаx_2[[#This Row],[Месяц окончания]]=Таблицаx_2[[#This Row],[Месяц]],Таблицаx_2[[#This Row],[id]]=A1925,EDATE(Таблицаx_2[[#This Row],[Месяц]],2)=D1925),F1925,0)</f>
        <v>0</v>
      </c>
    </row>
    <row r="1925" spans="1:11" ht="12.75" hidden="1" customHeight="1" x14ac:dyDescent="0.2">
      <c r="A1925" s="8">
        <v>112</v>
      </c>
      <c r="B1925" s="8"/>
      <c r="C1925" s="8" t="s">
        <v>5</v>
      </c>
      <c r="D1925" s="12">
        <v>45323</v>
      </c>
      <c r="E1925" s="8">
        <v>136730</v>
      </c>
      <c r="F1925" s="10">
        <f>IF(ISTEXT(Таблицаx_2[[#This Row],[Значение]]), 0, Таблицаx_2[[#This Row],[Значение]])</f>
        <v>136730</v>
      </c>
      <c r="G1925" s="12">
        <v>44896</v>
      </c>
      <c r="H1925" s="10" t="str">
        <f>IFERROR(VLOOKUP(Таблицаx_2[[#This Row],[id]],prolongations!A:C,2,)," ")</f>
        <v>декабрь 2022</v>
      </c>
      <c r="I1925" s="10">
        <f>IF(Таблицаx_2[[#This Row],[Месяц окончания]]=Таблицаx_2[[#This Row],[Месяц]],Таблицаx_2[[#This Row],[Значения числа]],0)</f>
        <v>0</v>
      </c>
      <c r="J1925" s="8">
        <f>IF(AND(Таблицаx_2[[#This Row],[Месяц окончания]]=Таблицаx_2[[#This Row],[Месяц]],Таблицаx_2[[#This Row],[id]]=A1926,EDATE(Таблицаx_2[[#This Row],[Месяц]],1)=D1926),F1926,0)</f>
        <v>0</v>
      </c>
      <c r="K1925" s="8">
        <f>IF(AND(Таблицаx_2[[#This Row],[Месяц окончания]]=Таблицаx_2[[#This Row],[Месяц]],Таблицаx_2[[#This Row],[id]]=A1926,EDATE(Таблицаx_2[[#This Row],[Месяц]],2)=D1926),F1926,0)</f>
        <v>0</v>
      </c>
    </row>
    <row r="1926" spans="1:11" ht="12.75" hidden="1" customHeight="1" x14ac:dyDescent="0.2">
      <c r="A1926" s="8">
        <v>656</v>
      </c>
      <c r="B1926" s="8" t="s">
        <v>52</v>
      </c>
      <c r="C1926" s="8" t="s">
        <v>10</v>
      </c>
      <c r="D1926" s="12">
        <v>44986</v>
      </c>
      <c r="E1926" s="8">
        <v>152931</v>
      </c>
      <c r="F1926" s="10">
        <f>IF(ISTEXT(Таблицаx_2[[#This Row],[Значение]]), 0, Таблицаx_2[[#This Row],[Значение]])</f>
        <v>152931</v>
      </c>
      <c r="G1926" s="12">
        <v>45261</v>
      </c>
      <c r="H1926" s="10" t="str">
        <f>IFERROR(VLOOKUP(Таблицаx_2[[#This Row],[id]],prolongations!A:C,2,)," ")</f>
        <v>декабрь 2023</v>
      </c>
      <c r="I1926" s="10">
        <f>IF(Таблицаx_2[[#This Row],[Месяц окончания]]=Таблицаx_2[[#This Row],[Месяц]],Таблицаx_2[[#This Row],[Значения числа]],0)</f>
        <v>0</v>
      </c>
      <c r="J1926" s="8">
        <f>IF(AND(Таблицаx_2[[#This Row],[Месяц окончания]]=Таблицаx_2[[#This Row],[Месяц]],Таблицаx_2[[#This Row],[id]]=A1927,EDATE(Таблицаx_2[[#This Row],[Месяц]],1)=D1927),F1927,0)</f>
        <v>0</v>
      </c>
      <c r="K1926" s="8">
        <f>IF(AND(Таблицаx_2[[#This Row],[Месяц окончания]]=Таблицаx_2[[#This Row],[Месяц]],Таблицаx_2[[#This Row],[id]]=A1927,EDATE(Таблицаx_2[[#This Row],[Месяц]],2)=D1927),F1927,0)</f>
        <v>0</v>
      </c>
    </row>
    <row r="1927" spans="1:11" ht="12.75" hidden="1" customHeight="1" x14ac:dyDescent="0.2">
      <c r="A1927" s="8">
        <v>656</v>
      </c>
      <c r="B1927" s="8" t="s">
        <v>52</v>
      </c>
      <c r="C1927" s="8" t="s">
        <v>10</v>
      </c>
      <c r="D1927" s="12">
        <v>45017</v>
      </c>
      <c r="E1927" s="8">
        <v>147231</v>
      </c>
      <c r="F1927" s="10">
        <f>IF(ISTEXT(Таблицаx_2[[#This Row],[Значение]]), 0, Таблицаx_2[[#This Row],[Значение]])</f>
        <v>147231</v>
      </c>
      <c r="G1927" s="12">
        <v>45261</v>
      </c>
      <c r="H1927" s="10" t="str">
        <f>IFERROR(VLOOKUP(Таблицаx_2[[#This Row],[id]],prolongations!A:C,2,)," ")</f>
        <v>декабрь 2023</v>
      </c>
      <c r="I1927" s="10">
        <f>IF(Таблицаx_2[[#This Row],[Месяц окончания]]=Таблицаx_2[[#This Row],[Месяц]],Таблицаx_2[[#This Row],[Значения числа]],0)</f>
        <v>0</v>
      </c>
      <c r="J1927" s="8">
        <f>IF(AND(Таблицаx_2[[#This Row],[Месяц окончания]]=Таблицаx_2[[#This Row],[Месяц]],Таблицаx_2[[#This Row],[id]]=A1928,EDATE(Таблицаx_2[[#This Row],[Месяц]],1)=D1928),F1928,0)</f>
        <v>0</v>
      </c>
      <c r="K1927" s="8">
        <f>IF(AND(Таблицаx_2[[#This Row],[Месяц окончания]]=Таблицаx_2[[#This Row],[Месяц]],Таблицаx_2[[#This Row],[id]]=A1928,EDATE(Таблицаx_2[[#This Row],[Месяц]],2)=D1928),F1928,0)</f>
        <v>0</v>
      </c>
    </row>
    <row r="1928" spans="1:11" ht="12.75" hidden="1" customHeight="1" x14ac:dyDescent="0.2">
      <c r="A1928" s="8">
        <v>656</v>
      </c>
      <c r="B1928" s="8" t="s">
        <v>52</v>
      </c>
      <c r="C1928" s="8" t="s">
        <v>10</v>
      </c>
      <c r="D1928" s="12">
        <v>45047</v>
      </c>
      <c r="E1928" s="8">
        <v>147231</v>
      </c>
      <c r="F1928" s="10">
        <f>IF(ISTEXT(Таблицаx_2[[#This Row],[Значение]]), 0, Таблицаx_2[[#This Row],[Значение]])</f>
        <v>147231</v>
      </c>
      <c r="G1928" s="12">
        <v>45261</v>
      </c>
      <c r="H1928" s="10" t="str">
        <f>IFERROR(VLOOKUP(Таблицаx_2[[#This Row],[id]],prolongations!A:C,2,)," ")</f>
        <v>декабрь 2023</v>
      </c>
      <c r="I1928" s="10">
        <f>IF(Таблицаx_2[[#This Row],[Месяц окончания]]=Таблицаx_2[[#This Row],[Месяц]],Таблицаx_2[[#This Row],[Значения числа]],0)</f>
        <v>0</v>
      </c>
      <c r="J1928" s="8">
        <f>IF(AND(Таблицаx_2[[#This Row],[Месяц окончания]]=Таблицаx_2[[#This Row],[Месяц]],Таблицаx_2[[#This Row],[id]]=A1929,EDATE(Таблицаx_2[[#This Row],[Месяц]],1)=D1929),F1929,0)</f>
        <v>0</v>
      </c>
      <c r="K1928" s="8">
        <f>IF(AND(Таблицаx_2[[#This Row],[Месяц окончания]]=Таблицаx_2[[#This Row],[Месяц]],Таблицаx_2[[#This Row],[id]]=A1929,EDATE(Таблицаx_2[[#This Row],[Месяц]],2)=D1929),F1929,0)</f>
        <v>0</v>
      </c>
    </row>
    <row r="1929" spans="1:11" ht="12.75" hidden="1" customHeight="1" x14ac:dyDescent="0.2">
      <c r="A1929" s="8">
        <v>656</v>
      </c>
      <c r="B1929" s="8" t="s">
        <v>52</v>
      </c>
      <c r="C1929" s="8" t="s">
        <v>10</v>
      </c>
      <c r="D1929" s="12">
        <v>45078</v>
      </c>
      <c r="E1929" s="8">
        <v>147231</v>
      </c>
      <c r="F1929" s="10">
        <f>IF(ISTEXT(Таблицаx_2[[#This Row],[Значение]]), 0, Таблицаx_2[[#This Row],[Значение]])</f>
        <v>147231</v>
      </c>
      <c r="G1929" s="12">
        <v>45261</v>
      </c>
      <c r="H1929" s="10" t="str">
        <f>IFERROR(VLOOKUP(Таблицаx_2[[#This Row],[id]],prolongations!A:C,2,)," ")</f>
        <v>декабрь 2023</v>
      </c>
      <c r="I1929" s="10">
        <f>IF(Таблицаx_2[[#This Row],[Месяц окончания]]=Таблицаx_2[[#This Row],[Месяц]],Таблицаx_2[[#This Row],[Значения числа]],0)</f>
        <v>0</v>
      </c>
      <c r="J1929" s="8">
        <f>IF(AND(Таблицаx_2[[#This Row],[Месяц окончания]]=Таблицаx_2[[#This Row],[Месяц]],Таблицаx_2[[#This Row],[id]]=A1930,EDATE(Таблицаx_2[[#This Row],[Месяц]],1)=D1930),F1930,0)</f>
        <v>0</v>
      </c>
      <c r="K1929" s="8">
        <f>IF(AND(Таблицаx_2[[#This Row],[Месяц окончания]]=Таблицаx_2[[#This Row],[Месяц]],Таблицаx_2[[#This Row],[id]]=A1930,EDATE(Таблицаx_2[[#This Row],[Месяц]],2)=D1930),F1930,0)</f>
        <v>0</v>
      </c>
    </row>
    <row r="1930" spans="1:11" ht="12.75" hidden="1" customHeight="1" x14ac:dyDescent="0.2">
      <c r="A1930" s="8">
        <v>656</v>
      </c>
      <c r="B1930" s="8" t="s">
        <v>52</v>
      </c>
      <c r="C1930" s="8" t="s">
        <v>10</v>
      </c>
      <c r="D1930" s="12">
        <v>45108</v>
      </c>
      <c r="E1930" s="8">
        <v>147231</v>
      </c>
      <c r="F1930" s="10">
        <f>IF(ISTEXT(Таблицаx_2[[#This Row],[Значение]]), 0, Таблицаx_2[[#This Row],[Значение]])</f>
        <v>147231</v>
      </c>
      <c r="G1930" s="12">
        <v>45261</v>
      </c>
      <c r="H1930" s="10" t="str">
        <f>IFERROR(VLOOKUP(Таблицаx_2[[#This Row],[id]],prolongations!A:C,2,)," ")</f>
        <v>декабрь 2023</v>
      </c>
      <c r="I1930" s="10">
        <f>IF(Таблицаx_2[[#This Row],[Месяц окончания]]=Таблицаx_2[[#This Row],[Месяц]],Таблицаx_2[[#This Row],[Значения числа]],0)</f>
        <v>0</v>
      </c>
      <c r="J1930" s="8">
        <f>IF(AND(Таблицаx_2[[#This Row],[Месяц окончания]]=Таблицаx_2[[#This Row],[Месяц]],Таблицаx_2[[#This Row],[id]]=A1931,EDATE(Таблицаx_2[[#This Row],[Месяц]],1)=D1931),F1931,0)</f>
        <v>0</v>
      </c>
      <c r="K1930" s="8">
        <f>IF(AND(Таблицаx_2[[#This Row],[Месяц окончания]]=Таблицаx_2[[#This Row],[Месяц]],Таблицаx_2[[#This Row],[id]]=A1931,EDATE(Таблицаx_2[[#This Row],[Месяц]],2)=D1931),F1931,0)</f>
        <v>0</v>
      </c>
    </row>
    <row r="1931" spans="1:11" ht="12.75" hidden="1" customHeight="1" x14ac:dyDescent="0.2">
      <c r="A1931" s="8">
        <v>656</v>
      </c>
      <c r="B1931" s="8" t="s">
        <v>52</v>
      </c>
      <c r="C1931" s="8" t="s">
        <v>10</v>
      </c>
      <c r="D1931" s="12">
        <v>45139</v>
      </c>
      <c r="E1931" s="8">
        <v>147231</v>
      </c>
      <c r="F1931" s="10">
        <f>IF(ISTEXT(Таблицаx_2[[#This Row],[Значение]]), 0, Таблицаx_2[[#This Row],[Значение]])</f>
        <v>147231</v>
      </c>
      <c r="G1931" s="12">
        <v>45261</v>
      </c>
      <c r="H1931" s="10" t="str">
        <f>IFERROR(VLOOKUP(Таблицаx_2[[#This Row],[id]],prolongations!A:C,2,)," ")</f>
        <v>декабрь 2023</v>
      </c>
      <c r="I1931" s="10">
        <f>IF(Таблицаx_2[[#This Row],[Месяц окончания]]=Таблицаx_2[[#This Row],[Месяц]],Таблицаx_2[[#This Row],[Значения числа]],0)</f>
        <v>0</v>
      </c>
      <c r="J1931" s="8">
        <f>IF(AND(Таблицаx_2[[#This Row],[Месяц окончания]]=Таблицаx_2[[#This Row],[Месяц]],Таблицаx_2[[#This Row],[id]]=A1932,EDATE(Таблицаx_2[[#This Row],[Месяц]],1)=D1932),F1932,0)</f>
        <v>0</v>
      </c>
      <c r="K1931" s="8">
        <f>IF(AND(Таблицаx_2[[#This Row],[Месяц окончания]]=Таблицаx_2[[#This Row],[Месяц]],Таблицаx_2[[#This Row],[id]]=A1932,EDATE(Таблицаx_2[[#This Row],[Месяц]],2)=D1932),F1932,0)</f>
        <v>0</v>
      </c>
    </row>
    <row r="1932" spans="1:11" ht="12.75" hidden="1" customHeight="1" x14ac:dyDescent="0.2">
      <c r="A1932" s="8">
        <v>656</v>
      </c>
      <c r="B1932" s="8" t="s">
        <v>52</v>
      </c>
      <c r="C1932" s="8" t="s">
        <v>10</v>
      </c>
      <c r="D1932" s="12">
        <v>45170</v>
      </c>
      <c r="E1932" s="8">
        <v>147231</v>
      </c>
      <c r="F1932" s="10">
        <f>IF(ISTEXT(Таблицаx_2[[#This Row],[Значение]]), 0, Таблицаx_2[[#This Row],[Значение]])</f>
        <v>147231</v>
      </c>
      <c r="G1932" s="12">
        <v>45261</v>
      </c>
      <c r="H1932" s="10" t="str">
        <f>IFERROR(VLOOKUP(Таблицаx_2[[#This Row],[id]],prolongations!A:C,2,)," ")</f>
        <v>декабрь 2023</v>
      </c>
      <c r="I1932" s="10">
        <f>IF(Таблицаx_2[[#This Row],[Месяц окончания]]=Таблицаx_2[[#This Row],[Месяц]],Таблицаx_2[[#This Row],[Значения числа]],0)</f>
        <v>0</v>
      </c>
      <c r="J1932" s="8">
        <f>IF(AND(Таблицаx_2[[#This Row],[Месяц окончания]]=Таблицаx_2[[#This Row],[Месяц]],Таблицаx_2[[#This Row],[id]]=A1933,EDATE(Таблицаx_2[[#This Row],[Месяц]],1)=D1933),F1933,0)</f>
        <v>0</v>
      </c>
      <c r="K1932" s="8">
        <f>IF(AND(Таблицаx_2[[#This Row],[Месяц окончания]]=Таблицаx_2[[#This Row],[Месяц]],Таблицаx_2[[#This Row],[id]]=A1933,EDATE(Таблицаx_2[[#This Row],[Месяц]],2)=D1933),F1933,0)</f>
        <v>0</v>
      </c>
    </row>
    <row r="1933" spans="1:11" ht="12.75" hidden="1" customHeight="1" x14ac:dyDescent="0.2">
      <c r="A1933" s="8">
        <v>656</v>
      </c>
      <c r="B1933" s="8" t="s">
        <v>52</v>
      </c>
      <c r="C1933" s="8" t="s">
        <v>10</v>
      </c>
      <c r="D1933" s="12">
        <v>45200</v>
      </c>
      <c r="E1933" s="8">
        <v>147231</v>
      </c>
      <c r="F1933" s="10">
        <f>IF(ISTEXT(Таблицаx_2[[#This Row],[Значение]]), 0, Таблицаx_2[[#This Row],[Значение]])</f>
        <v>147231</v>
      </c>
      <c r="G1933" s="12">
        <v>45261</v>
      </c>
      <c r="H1933" s="10" t="str">
        <f>IFERROR(VLOOKUP(Таблицаx_2[[#This Row],[id]],prolongations!A:C,2,)," ")</f>
        <v>декабрь 2023</v>
      </c>
      <c r="I1933" s="10">
        <f>IF(Таблицаx_2[[#This Row],[Месяц окончания]]=Таблицаx_2[[#This Row],[Месяц]],Таблицаx_2[[#This Row],[Значения числа]],0)</f>
        <v>0</v>
      </c>
      <c r="J1933" s="8">
        <f>IF(AND(Таблицаx_2[[#This Row],[Месяц окончания]]=Таблицаx_2[[#This Row],[Месяц]],Таблицаx_2[[#This Row],[id]]=A1934,EDATE(Таблицаx_2[[#This Row],[Месяц]],1)=D1934),F1934,0)</f>
        <v>0</v>
      </c>
      <c r="K1933" s="8">
        <f>IF(AND(Таблицаx_2[[#This Row],[Месяц окончания]]=Таблицаx_2[[#This Row],[Месяц]],Таблицаx_2[[#This Row],[id]]=A1934,EDATE(Таблицаx_2[[#This Row],[Месяц]],2)=D1934),F1934,0)</f>
        <v>0</v>
      </c>
    </row>
    <row r="1934" spans="1:11" ht="12.75" hidden="1" customHeight="1" x14ac:dyDescent="0.2">
      <c r="A1934" s="8">
        <v>656</v>
      </c>
      <c r="B1934" s="8" t="s">
        <v>52</v>
      </c>
      <c r="C1934" s="8" t="s">
        <v>10</v>
      </c>
      <c r="D1934" s="12">
        <v>45231</v>
      </c>
      <c r="E1934" s="8">
        <v>120916</v>
      </c>
      <c r="F1934" s="10">
        <f>IF(ISTEXT(Таблицаx_2[[#This Row],[Значение]]), 0, Таблицаx_2[[#This Row],[Значение]])</f>
        <v>120916</v>
      </c>
      <c r="G1934" s="12">
        <v>45261</v>
      </c>
      <c r="H1934" s="10" t="str">
        <f>IFERROR(VLOOKUP(Таблицаx_2[[#This Row],[id]],prolongations!A:C,2,)," ")</f>
        <v>декабрь 2023</v>
      </c>
      <c r="I1934" s="10">
        <f>IF(Таблицаx_2[[#This Row],[Месяц окончания]]=Таблицаx_2[[#This Row],[Месяц]],Таблицаx_2[[#This Row],[Значения числа]],0)</f>
        <v>0</v>
      </c>
      <c r="J1934" s="8">
        <f>IF(AND(Таблицаx_2[[#This Row],[Месяц окончания]]=Таблицаx_2[[#This Row],[Месяц]],Таблицаx_2[[#This Row],[id]]=A1935,EDATE(Таблицаx_2[[#This Row],[Месяц]],1)=D1935),F1935,0)</f>
        <v>0</v>
      </c>
      <c r="K1934" s="8">
        <f>IF(AND(Таблицаx_2[[#This Row],[Месяц окончания]]=Таблицаx_2[[#This Row],[Месяц]],Таблицаx_2[[#This Row],[id]]=A1935,EDATE(Таблицаx_2[[#This Row],[Месяц]],2)=D1935),F1935,0)</f>
        <v>0</v>
      </c>
    </row>
    <row r="1935" spans="1:11" ht="12.75" hidden="1" customHeight="1" x14ac:dyDescent="0.2">
      <c r="A1935" s="8">
        <v>656</v>
      </c>
      <c r="B1935" s="8" t="s">
        <v>52</v>
      </c>
      <c r="C1935" s="8" t="s">
        <v>10</v>
      </c>
      <c r="D1935" s="12">
        <v>45261</v>
      </c>
      <c r="E1935" s="8">
        <v>118313</v>
      </c>
      <c r="F1935" s="10">
        <f>IF(ISTEXT(Таблицаx_2[[#This Row],[Значение]]), 0, Таблицаx_2[[#This Row],[Значение]])</f>
        <v>118313</v>
      </c>
      <c r="G1935" s="12">
        <v>45261</v>
      </c>
      <c r="H1935" s="10" t="str">
        <f>IFERROR(VLOOKUP(Таблицаx_2[[#This Row],[id]],prolongations!A:C,2,)," ")</f>
        <v>декабрь 2023</v>
      </c>
      <c r="I1935" s="10">
        <f>IF(Таблицаx_2[[#This Row],[Месяц окончания]]=Таблицаx_2[[#This Row],[Месяц]],Таблицаx_2[[#This Row],[Значения числа]],0)</f>
        <v>118313</v>
      </c>
      <c r="J1935" s="8">
        <f>IF(AND(Таблицаx_2[[#This Row],[Месяц окончания]]=Таблицаx_2[[#This Row],[Месяц]],Таблицаx_2[[#This Row],[id]]=A1936,EDATE(Таблицаx_2[[#This Row],[Месяц]],1)=D1936),F1936,0)</f>
        <v>0</v>
      </c>
      <c r="K1935" s="8">
        <f>IF(AND(Таблицаx_2[[#This Row],[Месяц окончания]]=Таблицаx_2[[#This Row],[Месяц]],Таблицаx_2[[#This Row],[id]]=A1936,EDATE(Таблицаx_2[[#This Row],[Месяц]],2)=D1936),F1936,0)</f>
        <v>0</v>
      </c>
    </row>
    <row r="1936" spans="1:11" ht="12.75" hidden="1" customHeight="1" x14ac:dyDescent="0.2">
      <c r="A1936" s="8">
        <v>656</v>
      </c>
      <c r="B1936" s="8" t="s">
        <v>50</v>
      </c>
      <c r="C1936" s="8" t="s">
        <v>10</v>
      </c>
      <c r="D1936" s="12">
        <v>44986</v>
      </c>
      <c r="E1936" s="8">
        <v>16200</v>
      </c>
      <c r="F1936" s="10">
        <f>IF(ISTEXT(Таблицаx_2[[#This Row],[Значение]]), 0, Таблицаx_2[[#This Row],[Значение]])</f>
        <v>16200</v>
      </c>
      <c r="G1936" s="12">
        <v>45261</v>
      </c>
      <c r="H1936" s="10" t="str">
        <f>IFERROR(VLOOKUP(Таблицаx_2[[#This Row],[id]],prolongations!A:C,2,)," ")</f>
        <v>декабрь 2023</v>
      </c>
      <c r="I1936" s="10">
        <f>IF(Таблицаx_2[[#This Row],[Месяц окончания]]=Таблицаx_2[[#This Row],[Месяц]],Таблицаx_2[[#This Row],[Значения числа]],0)</f>
        <v>0</v>
      </c>
      <c r="J1936" s="8">
        <f>IF(AND(Таблицаx_2[[#This Row],[Месяц окончания]]=Таблицаx_2[[#This Row],[Месяц]],Таблицаx_2[[#This Row],[id]]=A1937,EDATE(Таблицаx_2[[#This Row],[Месяц]],1)=D1937),F1937,0)</f>
        <v>0</v>
      </c>
      <c r="K1936" s="8">
        <f>IF(AND(Таблицаx_2[[#This Row],[Месяц окончания]]=Таблицаx_2[[#This Row],[Месяц]],Таблицаx_2[[#This Row],[id]]=A1937,EDATE(Таблицаx_2[[#This Row],[Месяц]],2)=D1937),F1937,0)</f>
        <v>0</v>
      </c>
    </row>
    <row r="1937" spans="1:11" ht="12.75" hidden="1" customHeight="1" x14ac:dyDescent="0.2">
      <c r="A1937" s="8">
        <v>656</v>
      </c>
      <c r="B1937" s="8" t="s">
        <v>50</v>
      </c>
      <c r="C1937" s="8" t="s">
        <v>10</v>
      </c>
      <c r="D1937" s="12">
        <v>45017</v>
      </c>
      <c r="E1937" s="8">
        <v>7700</v>
      </c>
      <c r="F1937" s="10">
        <f>IF(ISTEXT(Таблицаx_2[[#This Row],[Значение]]), 0, Таблицаx_2[[#This Row],[Значение]])</f>
        <v>7700</v>
      </c>
      <c r="G1937" s="12">
        <v>45261</v>
      </c>
      <c r="H1937" s="10" t="str">
        <f>IFERROR(VLOOKUP(Таблицаx_2[[#This Row],[id]],prolongations!A:C,2,)," ")</f>
        <v>декабрь 2023</v>
      </c>
      <c r="I1937" s="10">
        <f>IF(Таблицаx_2[[#This Row],[Месяц окончания]]=Таблицаx_2[[#This Row],[Месяц]],Таблицаx_2[[#This Row],[Значения числа]],0)</f>
        <v>0</v>
      </c>
      <c r="J1937" s="8">
        <f>IF(AND(Таблицаx_2[[#This Row],[Месяц окончания]]=Таблицаx_2[[#This Row],[Месяц]],Таблицаx_2[[#This Row],[id]]=A1938,EDATE(Таблицаx_2[[#This Row],[Месяц]],1)=D1938),F1938,0)</f>
        <v>0</v>
      </c>
      <c r="K1937" s="8">
        <f>IF(AND(Таблицаx_2[[#This Row],[Месяц окончания]]=Таблицаx_2[[#This Row],[Месяц]],Таблицаx_2[[#This Row],[id]]=A1938,EDATE(Таблицаx_2[[#This Row],[Месяц]],2)=D1938),F1938,0)</f>
        <v>0</v>
      </c>
    </row>
    <row r="1938" spans="1:11" ht="12.75" hidden="1" customHeight="1" x14ac:dyDescent="0.2">
      <c r="A1938" s="8">
        <v>656</v>
      </c>
      <c r="B1938" s="8" t="s">
        <v>50</v>
      </c>
      <c r="C1938" s="8" t="s">
        <v>10</v>
      </c>
      <c r="D1938" s="12">
        <v>45047</v>
      </c>
      <c r="E1938" s="8">
        <v>7200</v>
      </c>
      <c r="F1938" s="10">
        <f>IF(ISTEXT(Таблицаx_2[[#This Row],[Значение]]), 0, Таблицаx_2[[#This Row],[Значение]])</f>
        <v>7200</v>
      </c>
      <c r="G1938" s="12">
        <v>45261</v>
      </c>
      <c r="H1938" s="10" t="str">
        <f>IFERROR(VLOOKUP(Таблицаx_2[[#This Row],[id]],prolongations!A:C,2,)," ")</f>
        <v>декабрь 2023</v>
      </c>
      <c r="I1938" s="10">
        <f>IF(Таблицаx_2[[#This Row],[Месяц окончания]]=Таблицаx_2[[#This Row],[Месяц]],Таблицаx_2[[#This Row],[Значения числа]],0)</f>
        <v>0</v>
      </c>
      <c r="J1938" s="8">
        <f>IF(AND(Таблицаx_2[[#This Row],[Месяц окончания]]=Таблицаx_2[[#This Row],[Месяц]],Таблицаx_2[[#This Row],[id]]=A1939,EDATE(Таблицаx_2[[#This Row],[Месяц]],1)=D1939),F1939,0)</f>
        <v>0</v>
      </c>
      <c r="K1938" s="8">
        <f>IF(AND(Таблицаx_2[[#This Row],[Месяц окончания]]=Таблицаx_2[[#This Row],[Месяц]],Таблицаx_2[[#This Row],[id]]=A1939,EDATE(Таблицаx_2[[#This Row],[Месяц]],2)=D1939),F1939,0)</f>
        <v>0</v>
      </c>
    </row>
    <row r="1939" spans="1:11" ht="12.75" hidden="1" customHeight="1" x14ac:dyDescent="0.2">
      <c r="A1939" s="8">
        <v>656</v>
      </c>
      <c r="B1939" s="8" t="s">
        <v>50</v>
      </c>
      <c r="C1939" s="8" t="s">
        <v>10</v>
      </c>
      <c r="D1939" s="12">
        <v>45078</v>
      </c>
      <c r="E1939" s="8">
        <v>7000</v>
      </c>
      <c r="F1939" s="10">
        <f>IF(ISTEXT(Таблицаx_2[[#This Row],[Значение]]), 0, Таблицаx_2[[#This Row],[Значение]])</f>
        <v>7000</v>
      </c>
      <c r="G1939" s="12">
        <v>45261</v>
      </c>
      <c r="H1939" s="10" t="str">
        <f>IFERROR(VLOOKUP(Таблицаx_2[[#This Row],[id]],prolongations!A:C,2,)," ")</f>
        <v>декабрь 2023</v>
      </c>
      <c r="I1939" s="10">
        <f>IF(Таблицаx_2[[#This Row],[Месяц окончания]]=Таблицаx_2[[#This Row],[Месяц]],Таблицаx_2[[#This Row],[Значения числа]],0)</f>
        <v>0</v>
      </c>
      <c r="J1939" s="8">
        <f>IF(AND(Таблицаx_2[[#This Row],[Месяц окончания]]=Таблицаx_2[[#This Row],[Месяц]],Таблицаx_2[[#This Row],[id]]=A1940,EDATE(Таблицаx_2[[#This Row],[Месяц]],1)=D1940),F1940,0)</f>
        <v>0</v>
      </c>
      <c r="K1939" s="8">
        <f>IF(AND(Таблицаx_2[[#This Row],[Месяц окончания]]=Таблицаx_2[[#This Row],[Месяц]],Таблицаx_2[[#This Row],[id]]=A1940,EDATE(Таблицаx_2[[#This Row],[Месяц]],2)=D1940),F1940,0)</f>
        <v>0</v>
      </c>
    </row>
    <row r="1940" spans="1:11" ht="12.75" hidden="1" customHeight="1" x14ac:dyDescent="0.2">
      <c r="A1940" s="8">
        <v>656</v>
      </c>
      <c r="B1940" s="8" t="s">
        <v>50</v>
      </c>
      <c r="C1940" s="8" t="s">
        <v>10</v>
      </c>
      <c r="D1940" s="12">
        <v>45108</v>
      </c>
      <c r="E1940" s="8">
        <v>7000</v>
      </c>
      <c r="F1940" s="10">
        <f>IF(ISTEXT(Таблицаx_2[[#This Row],[Значение]]), 0, Таблицаx_2[[#This Row],[Значение]])</f>
        <v>7000</v>
      </c>
      <c r="G1940" s="12">
        <v>45261</v>
      </c>
      <c r="H1940" s="10" t="str">
        <f>IFERROR(VLOOKUP(Таблицаx_2[[#This Row],[id]],prolongations!A:C,2,)," ")</f>
        <v>декабрь 2023</v>
      </c>
      <c r="I1940" s="10">
        <f>IF(Таблицаx_2[[#This Row],[Месяц окончания]]=Таблицаx_2[[#This Row],[Месяц]],Таблицаx_2[[#This Row],[Значения числа]],0)</f>
        <v>0</v>
      </c>
      <c r="J1940" s="8">
        <f>IF(AND(Таблицаx_2[[#This Row],[Месяц окончания]]=Таблицаx_2[[#This Row],[Месяц]],Таблицаx_2[[#This Row],[id]]=A1941,EDATE(Таблицаx_2[[#This Row],[Месяц]],1)=D1941),F1941,0)</f>
        <v>0</v>
      </c>
      <c r="K1940" s="8">
        <f>IF(AND(Таблицаx_2[[#This Row],[Месяц окончания]]=Таблицаx_2[[#This Row],[Месяц]],Таблицаx_2[[#This Row],[id]]=A1941,EDATE(Таблицаx_2[[#This Row],[Месяц]],2)=D1941),F1941,0)</f>
        <v>0</v>
      </c>
    </row>
    <row r="1941" spans="1:11" ht="12.75" hidden="1" customHeight="1" x14ac:dyDescent="0.2">
      <c r="A1941" s="8">
        <v>656</v>
      </c>
      <c r="B1941" s="8" t="s">
        <v>50</v>
      </c>
      <c r="C1941" s="8" t="s">
        <v>10</v>
      </c>
      <c r="D1941" s="12">
        <v>45139</v>
      </c>
      <c r="E1941" s="8">
        <v>5000</v>
      </c>
      <c r="F1941" s="10">
        <f>IF(ISTEXT(Таблицаx_2[[#This Row],[Значение]]), 0, Таблицаx_2[[#This Row],[Значение]])</f>
        <v>5000</v>
      </c>
      <c r="G1941" s="12">
        <v>45261</v>
      </c>
      <c r="H1941" s="10" t="str">
        <f>IFERROR(VLOOKUP(Таблицаx_2[[#This Row],[id]],prolongations!A:C,2,)," ")</f>
        <v>декабрь 2023</v>
      </c>
      <c r="I1941" s="10">
        <f>IF(Таблицаx_2[[#This Row],[Месяц окончания]]=Таблицаx_2[[#This Row],[Месяц]],Таблицаx_2[[#This Row],[Значения числа]],0)</f>
        <v>0</v>
      </c>
      <c r="J1941" s="8">
        <f>IF(AND(Таблицаx_2[[#This Row],[Месяц окончания]]=Таблицаx_2[[#This Row],[Месяц]],Таблицаx_2[[#This Row],[id]]=A1942,EDATE(Таблицаx_2[[#This Row],[Месяц]],1)=D1942),F1942,0)</f>
        <v>0</v>
      </c>
      <c r="K1941" s="8">
        <f>IF(AND(Таблицаx_2[[#This Row],[Месяц окончания]]=Таблицаx_2[[#This Row],[Месяц]],Таблицаx_2[[#This Row],[id]]=A1942,EDATE(Таблицаx_2[[#This Row],[Месяц]],2)=D1942),F1942,0)</f>
        <v>0</v>
      </c>
    </row>
    <row r="1942" spans="1:11" ht="12.75" hidden="1" customHeight="1" x14ac:dyDescent="0.2">
      <c r="A1942" s="8">
        <v>656</v>
      </c>
      <c r="B1942" s="8" t="s">
        <v>50</v>
      </c>
      <c r="C1942" s="8" t="s">
        <v>10</v>
      </c>
      <c r="D1942" s="12">
        <v>45170</v>
      </c>
      <c r="E1942" s="8" t="s">
        <v>48</v>
      </c>
      <c r="F1942" s="10">
        <f>IF(ISTEXT(Таблицаx_2[[#This Row],[Значение]]), 0, Таблицаx_2[[#This Row],[Значение]])</f>
        <v>0</v>
      </c>
      <c r="G1942" s="12">
        <v>45261</v>
      </c>
      <c r="H1942" s="10" t="str">
        <f>IFERROR(VLOOKUP(Таблицаx_2[[#This Row],[id]],prolongations!A:C,2,)," ")</f>
        <v>декабрь 2023</v>
      </c>
      <c r="I1942" s="10">
        <f>IF(Таблицаx_2[[#This Row],[Месяц окончания]]=Таблицаx_2[[#This Row],[Месяц]],Таблицаx_2[[#This Row],[Значения числа]],0)</f>
        <v>0</v>
      </c>
      <c r="J1942" s="8">
        <f>IF(AND(Таблицаx_2[[#This Row],[Месяц окончания]]=Таблицаx_2[[#This Row],[Месяц]],Таблицаx_2[[#This Row],[id]]=A1943,EDATE(Таблицаx_2[[#This Row],[Месяц]],1)=D1943),F1943,0)</f>
        <v>0</v>
      </c>
      <c r="K1942" s="8">
        <f>IF(AND(Таблицаx_2[[#This Row],[Месяц окончания]]=Таблицаx_2[[#This Row],[Месяц]],Таблицаx_2[[#This Row],[id]]=A1943,EDATE(Таблицаx_2[[#This Row],[Месяц]],2)=D1943),F1943,0)</f>
        <v>0</v>
      </c>
    </row>
    <row r="1943" spans="1:11" ht="12.75" hidden="1" customHeight="1" x14ac:dyDescent="0.2">
      <c r="A1943" s="8">
        <v>656</v>
      </c>
      <c r="B1943" s="8" t="s">
        <v>50</v>
      </c>
      <c r="C1943" s="8" t="s">
        <v>10</v>
      </c>
      <c r="D1943" s="12">
        <v>45200</v>
      </c>
      <c r="E1943" s="8">
        <v>20300</v>
      </c>
      <c r="F1943" s="10">
        <f>IF(ISTEXT(Таблицаx_2[[#This Row],[Значение]]), 0, Таблицаx_2[[#This Row],[Значение]])</f>
        <v>20300</v>
      </c>
      <c r="G1943" s="12">
        <v>45261</v>
      </c>
      <c r="H1943" s="10" t="str">
        <f>IFERROR(VLOOKUP(Таблицаx_2[[#This Row],[id]],prolongations!A:C,2,)," ")</f>
        <v>декабрь 2023</v>
      </c>
      <c r="I1943" s="10">
        <f>IF(Таблицаx_2[[#This Row],[Месяц окончания]]=Таблицаx_2[[#This Row],[Месяц]],Таблицаx_2[[#This Row],[Значения числа]],0)</f>
        <v>0</v>
      </c>
      <c r="J1943" s="8">
        <f>IF(AND(Таблицаx_2[[#This Row],[Месяц окончания]]=Таблицаx_2[[#This Row],[Месяц]],Таблицаx_2[[#This Row],[id]]=A1944,EDATE(Таблицаx_2[[#This Row],[Месяц]],1)=D1944),F1944,0)</f>
        <v>0</v>
      </c>
      <c r="K1943" s="8">
        <f>IF(AND(Таблицаx_2[[#This Row],[Месяц окончания]]=Таблицаx_2[[#This Row],[Месяц]],Таблицаx_2[[#This Row],[id]]=A1944,EDATE(Таблицаx_2[[#This Row],[Месяц]],2)=D1944),F1944,0)</f>
        <v>0</v>
      </c>
    </row>
    <row r="1944" spans="1:11" ht="12.75" hidden="1" customHeight="1" x14ac:dyDescent="0.2">
      <c r="A1944" s="8">
        <v>656</v>
      </c>
      <c r="B1944" s="8" t="s">
        <v>50</v>
      </c>
      <c r="C1944" s="8" t="s">
        <v>10</v>
      </c>
      <c r="D1944" s="12">
        <v>45231</v>
      </c>
      <c r="E1944" s="8">
        <v>43000</v>
      </c>
      <c r="F1944" s="10">
        <f>IF(ISTEXT(Таблицаx_2[[#This Row],[Значение]]), 0, Таблицаx_2[[#This Row],[Значение]])</f>
        <v>43000</v>
      </c>
      <c r="G1944" s="12">
        <v>45261</v>
      </c>
      <c r="H1944" s="10" t="str">
        <f>IFERROR(VLOOKUP(Таблицаx_2[[#This Row],[id]],prolongations!A:C,2,)," ")</f>
        <v>декабрь 2023</v>
      </c>
      <c r="I1944" s="10">
        <f>IF(Таблицаx_2[[#This Row],[Месяц окончания]]=Таблицаx_2[[#This Row],[Месяц]],Таблицаx_2[[#This Row],[Значения числа]],0)</f>
        <v>0</v>
      </c>
      <c r="J1944" s="8">
        <f>IF(AND(Таблицаx_2[[#This Row],[Месяц окончания]]=Таблицаx_2[[#This Row],[Месяц]],Таблицаx_2[[#This Row],[id]]=A1945,EDATE(Таблицаx_2[[#This Row],[Месяц]],1)=D1945),F1945,0)</f>
        <v>0</v>
      </c>
      <c r="K1944" s="8">
        <f>IF(AND(Таблицаx_2[[#This Row],[Месяц окончания]]=Таблицаx_2[[#This Row],[Месяц]],Таблицаx_2[[#This Row],[id]]=A1945,EDATE(Таблицаx_2[[#This Row],[Месяц]],2)=D1945),F1945,0)</f>
        <v>0</v>
      </c>
    </row>
    <row r="1945" spans="1:11" ht="12.75" hidden="1" customHeight="1" x14ac:dyDescent="0.2">
      <c r="A1945" s="8">
        <v>656</v>
      </c>
      <c r="B1945" s="8" t="s">
        <v>50</v>
      </c>
      <c r="C1945" s="8" t="s">
        <v>10</v>
      </c>
      <c r="D1945" s="12">
        <v>45261</v>
      </c>
      <c r="E1945" s="8">
        <v>38300</v>
      </c>
      <c r="F1945" s="10">
        <f>IF(ISTEXT(Таблицаx_2[[#This Row],[Значение]]), 0, Таблицаx_2[[#This Row],[Значение]])</f>
        <v>38300</v>
      </c>
      <c r="G1945" s="12">
        <v>45261</v>
      </c>
      <c r="H1945" s="10" t="str">
        <f>IFERROR(VLOOKUP(Таблицаx_2[[#This Row],[id]],prolongations!A:C,2,)," ")</f>
        <v>декабрь 2023</v>
      </c>
      <c r="I1945" s="10">
        <f>IF(Таблицаx_2[[#This Row],[Месяц окончания]]=Таблицаx_2[[#This Row],[Месяц]],Таблицаx_2[[#This Row],[Значения числа]],0)</f>
        <v>38300</v>
      </c>
      <c r="J1945" s="8">
        <f>IF(AND(Таблицаx_2[[#This Row],[Месяц окончания]]=Таблицаx_2[[#This Row],[Месяц]],Таблицаx_2[[#This Row],[id]]=A1946,EDATE(Таблицаx_2[[#This Row],[Месяц]],1)=D1946),F1946,0)</f>
        <v>0</v>
      </c>
      <c r="K1945" s="8">
        <f>IF(AND(Таблицаx_2[[#This Row],[Месяц окончания]]=Таблицаx_2[[#This Row],[Месяц]],Таблицаx_2[[#This Row],[id]]=A1946,EDATE(Таблицаx_2[[#This Row],[Месяц]],2)=D1946),F1946,0)</f>
        <v>0</v>
      </c>
    </row>
    <row r="1946" spans="1:11" ht="12.75" hidden="1" customHeight="1" x14ac:dyDescent="0.2">
      <c r="A1946" s="8">
        <v>744</v>
      </c>
      <c r="B1946" s="8" t="s">
        <v>45</v>
      </c>
      <c r="C1946" s="8" t="s">
        <v>11</v>
      </c>
      <c r="D1946" s="12">
        <v>44958</v>
      </c>
      <c r="E1946" s="8">
        <v>79800</v>
      </c>
      <c r="F1946" s="10">
        <f>IF(ISTEXT(Таблицаx_2[[#This Row],[Значение]]), 0, Таблицаx_2[[#This Row],[Значение]])</f>
        <v>79800</v>
      </c>
      <c r="G1946" s="12">
        <v>44958</v>
      </c>
      <c r="H1946" s="10" t="str">
        <f>IFERROR(VLOOKUP(Таблицаx_2[[#This Row],[id]],prolongations!A:C,2,)," ")</f>
        <v>февраль 2023</v>
      </c>
      <c r="I1946" s="10">
        <f>IF(Таблицаx_2[[#This Row],[Месяц окончания]]=Таблицаx_2[[#This Row],[Месяц]],Таблицаx_2[[#This Row],[Значения числа]],0)</f>
        <v>79800</v>
      </c>
      <c r="J1946" s="8">
        <f>IF(AND(Таблицаx_2[[#This Row],[Месяц окончания]]=Таблицаx_2[[#This Row],[Месяц]],Таблицаx_2[[#This Row],[id]]=A1947,EDATE(Таблицаx_2[[#This Row],[Месяц]],1)=D1947),F1947,0)</f>
        <v>82400</v>
      </c>
      <c r="K1946" s="8">
        <f>IF(AND(Таблицаx_2[[#This Row],[Месяц окончания]]=Таблицаx_2[[#This Row],[Месяц]],Таблицаx_2[[#This Row],[id]]=A1947,EDATE(Таблицаx_2[[#This Row],[Месяц]],2)=D1947),F1947,0)</f>
        <v>0</v>
      </c>
    </row>
    <row r="1947" spans="1:11" ht="12.75" hidden="1" customHeight="1" x14ac:dyDescent="0.2">
      <c r="A1947" s="8">
        <v>744</v>
      </c>
      <c r="B1947" s="8" t="s">
        <v>45</v>
      </c>
      <c r="C1947" s="8" t="s">
        <v>11</v>
      </c>
      <c r="D1947" s="12">
        <v>44986</v>
      </c>
      <c r="E1947" s="8">
        <v>82400</v>
      </c>
      <c r="F1947" s="10">
        <f>IF(ISTEXT(Таблицаx_2[[#This Row],[Значение]]), 0, Таблицаx_2[[#This Row],[Значение]])</f>
        <v>82400</v>
      </c>
      <c r="G1947" s="12">
        <v>44958</v>
      </c>
      <c r="H1947" s="10" t="str">
        <f>IFERROR(VLOOKUP(Таблицаx_2[[#This Row],[id]],prolongations!A:C,2,)," ")</f>
        <v>февраль 2023</v>
      </c>
      <c r="I1947" s="10">
        <f>IF(Таблицаx_2[[#This Row],[Месяц окончания]]=Таблицаx_2[[#This Row],[Месяц]],Таблицаx_2[[#This Row],[Значения числа]],0)</f>
        <v>0</v>
      </c>
      <c r="J1947" s="8">
        <f>IF(AND(Таблицаx_2[[#This Row],[Месяц окончания]]=Таблицаx_2[[#This Row],[Месяц]],Таблицаx_2[[#This Row],[id]]=A1948,EDATE(Таблицаx_2[[#This Row],[Месяц]],1)=D1948),F1948,0)</f>
        <v>0</v>
      </c>
      <c r="K1947" s="8">
        <f>IF(AND(Таблицаx_2[[#This Row],[Месяц окончания]]=Таблицаx_2[[#This Row],[Месяц]],Таблицаx_2[[#This Row],[id]]=A1948,EDATE(Таблицаx_2[[#This Row],[Месяц]],2)=D1948),F1948,0)</f>
        <v>0</v>
      </c>
    </row>
    <row r="1948" spans="1:11" ht="12.75" hidden="1" customHeight="1" x14ac:dyDescent="0.2">
      <c r="A1948" s="8">
        <v>744</v>
      </c>
      <c r="B1948" s="8" t="s">
        <v>45</v>
      </c>
      <c r="C1948" s="8" t="s">
        <v>11</v>
      </c>
      <c r="D1948" s="12">
        <v>45017</v>
      </c>
      <c r="E1948" s="8">
        <v>44550</v>
      </c>
      <c r="F1948" s="10">
        <f>IF(ISTEXT(Таблицаx_2[[#This Row],[Значение]]), 0, Таблицаx_2[[#This Row],[Значение]])</f>
        <v>44550</v>
      </c>
      <c r="G1948" s="12">
        <v>44958</v>
      </c>
      <c r="H1948" s="10" t="str">
        <f>IFERROR(VLOOKUP(Таблицаx_2[[#This Row],[id]],prolongations!A:C,2,)," ")</f>
        <v>февраль 2023</v>
      </c>
      <c r="I1948" s="10">
        <f>IF(Таблицаx_2[[#This Row],[Месяц окончания]]=Таблицаx_2[[#This Row],[Месяц]],Таблицаx_2[[#This Row],[Значения числа]],0)</f>
        <v>0</v>
      </c>
      <c r="J1948" s="8">
        <f>IF(AND(Таблицаx_2[[#This Row],[Месяц окончания]]=Таблицаx_2[[#This Row],[Месяц]],Таблицаx_2[[#This Row],[id]]=A1949,EDATE(Таблицаx_2[[#This Row],[Месяц]],1)=D1949),F1949,0)</f>
        <v>0</v>
      </c>
      <c r="K1948" s="8">
        <f>IF(AND(Таблицаx_2[[#This Row],[Месяц окончания]]=Таблицаx_2[[#This Row],[Месяц]],Таблицаx_2[[#This Row],[id]]=A1949,EDATE(Таблицаx_2[[#This Row],[Месяц]],2)=D1949),F1949,0)</f>
        <v>0</v>
      </c>
    </row>
    <row r="1949" spans="1:11" ht="12.75" hidden="1" customHeight="1" x14ac:dyDescent="0.2">
      <c r="A1949" s="8">
        <v>744</v>
      </c>
      <c r="B1949" s="8" t="s">
        <v>45</v>
      </c>
      <c r="C1949" s="8" t="s">
        <v>11</v>
      </c>
      <c r="D1949" s="12">
        <v>45047</v>
      </c>
      <c r="E1949" s="8">
        <v>36100</v>
      </c>
      <c r="F1949" s="10">
        <f>IF(ISTEXT(Таблицаx_2[[#This Row],[Значение]]), 0, Таблицаx_2[[#This Row],[Значение]])</f>
        <v>36100</v>
      </c>
      <c r="G1949" s="12">
        <v>44958</v>
      </c>
      <c r="H1949" s="10" t="str">
        <f>IFERROR(VLOOKUP(Таблицаx_2[[#This Row],[id]],prolongations!A:C,2,)," ")</f>
        <v>февраль 2023</v>
      </c>
      <c r="I1949" s="10">
        <f>IF(Таблицаx_2[[#This Row],[Месяц окончания]]=Таблицаx_2[[#This Row],[Месяц]],Таблицаx_2[[#This Row],[Значения числа]],0)</f>
        <v>0</v>
      </c>
      <c r="J1949" s="8">
        <f>IF(AND(Таблицаx_2[[#This Row],[Месяц окончания]]=Таблицаx_2[[#This Row],[Месяц]],Таблицаx_2[[#This Row],[id]]=A1950,EDATE(Таблицаx_2[[#This Row],[Месяц]],1)=D1950),F1950,0)</f>
        <v>0</v>
      </c>
      <c r="K1949" s="8">
        <f>IF(AND(Таблицаx_2[[#This Row],[Месяц окончания]]=Таблицаx_2[[#This Row],[Месяц]],Таблицаx_2[[#This Row],[id]]=A1950,EDATE(Таблицаx_2[[#This Row],[Месяц]],2)=D1950),F1950,0)</f>
        <v>0</v>
      </c>
    </row>
    <row r="1950" spans="1:11" ht="12.75" hidden="1" customHeight="1" x14ac:dyDescent="0.2">
      <c r="A1950" s="8">
        <v>744</v>
      </c>
      <c r="B1950" s="8" t="s">
        <v>45</v>
      </c>
      <c r="C1950" s="8" t="s">
        <v>11</v>
      </c>
      <c r="D1950" s="12">
        <v>45078</v>
      </c>
      <c r="E1950" s="8">
        <v>36100</v>
      </c>
      <c r="F1950" s="10">
        <f>IF(ISTEXT(Таблицаx_2[[#This Row],[Значение]]), 0, Таблицаx_2[[#This Row],[Значение]])</f>
        <v>36100</v>
      </c>
      <c r="G1950" s="12">
        <v>44958</v>
      </c>
      <c r="H1950" s="10" t="str">
        <f>IFERROR(VLOOKUP(Таблицаx_2[[#This Row],[id]],prolongations!A:C,2,)," ")</f>
        <v>февраль 2023</v>
      </c>
      <c r="I1950" s="10">
        <f>IF(Таблицаx_2[[#This Row],[Месяц окончания]]=Таблицаx_2[[#This Row],[Месяц]],Таблицаx_2[[#This Row],[Значения числа]],0)</f>
        <v>0</v>
      </c>
      <c r="J1950" s="8">
        <f>IF(AND(Таблицаx_2[[#This Row],[Месяц окончания]]=Таблицаx_2[[#This Row],[Месяц]],Таблицаx_2[[#This Row],[id]]=A1951,EDATE(Таблицаx_2[[#This Row],[Месяц]],1)=D1951),F1951,0)</f>
        <v>0</v>
      </c>
      <c r="K1950" s="8">
        <f>IF(AND(Таблицаx_2[[#This Row],[Месяц окончания]]=Таблицаx_2[[#This Row],[Месяц]],Таблицаx_2[[#This Row],[id]]=A1951,EDATE(Таблицаx_2[[#This Row],[Месяц]],2)=D1951),F1951,0)</f>
        <v>0</v>
      </c>
    </row>
    <row r="1951" spans="1:11" ht="12.75" hidden="1" customHeight="1" x14ac:dyDescent="0.2">
      <c r="A1951" s="8">
        <v>744</v>
      </c>
      <c r="B1951" s="8" t="s">
        <v>45</v>
      </c>
      <c r="C1951" s="8" t="s">
        <v>11</v>
      </c>
      <c r="D1951" s="12">
        <v>45108</v>
      </c>
      <c r="E1951" s="8">
        <v>44550</v>
      </c>
      <c r="F1951" s="10">
        <f>IF(ISTEXT(Таблицаx_2[[#This Row],[Значение]]), 0, Таблицаx_2[[#This Row],[Значение]])</f>
        <v>44550</v>
      </c>
      <c r="G1951" s="12">
        <v>44958</v>
      </c>
      <c r="H1951" s="10" t="str">
        <f>IFERROR(VLOOKUP(Таблицаx_2[[#This Row],[id]],prolongations!A:C,2,)," ")</f>
        <v>февраль 2023</v>
      </c>
      <c r="I1951" s="10">
        <f>IF(Таблицаx_2[[#This Row],[Месяц окончания]]=Таблицаx_2[[#This Row],[Месяц]],Таблицаx_2[[#This Row],[Значения числа]],0)</f>
        <v>0</v>
      </c>
      <c r="J1951" s="8">
        <f>IF(AND(Таблицаx_2[[#This Row],[Месяц окончания]]=Таблицаx_2[[#This Row],[Месяц]],Таблицаx_2[[#This Row],[id]]=A1952,EDATE(Таблицаx_2[[#This Row],[Месяц]],1)=D1952),F1952,0)</f>
        <v>0</v>
      </c>
      <c r="K1951" s="8">
        <f>IF(AND(Таблицаx_2[[#This Row],[Месяц окончания]]=Таблицаx_2[[#This Row],[Месяц]],Таблицаx_2[[#This Row],[id]]=A1952,EDATE(Таблицаx_2[[#This Row],[Месяц]],2)=D1952),F1952,0)</f>
        <v>0</v>
      </c>
    </row>
    <row r="1952" spans="1:11" ht="12.75" hidden="1" customHeight="1" x14ac:dyDescent="0.2">
      <c r="A1952" s="8">
        <v>744</v>
      </c>
      <c r="B1952" s="8" t="s">
        <v>45</v>
      </c>
      <c r="C1952" s="8" t="s">
        <v>11</v>
      </c>
      <c r="D1952" s="12">
        <v>45139</v>
      </c>
      <c r="E1952" s="8">
        <v>36100</v>
      </c>
      <c r="F1952" s="10">
        <f>IF(ISTEXT(Таблицаx_2[[#This Row],[Значение]]), 0, Таблицаx_2[[#This Row],[Значение]])</f>
        <v>36100</v>
      </c>
      <c r="G1952" s="12">
        <v>44958</v>
      </c>
      <c r="H1952" s="10" t="str">
        <f>IFERROR(VLOOKUP(Таблицаx_2[[#This Row],[id]],prolongations!A:C,2,)," ")</f>
        <v>февраль 2023</v>
      </c>
      <c r="I1952" s="10">
        <f>IF(Таблицаx_2[[#This Row],[Месяц окончания]]=Таблицаx_2[[#This Row],[Месяц]],Таблицаx_2[[#This Row],[Значения числа]],0)</f>
        <v>0</v>
      </c>
      <c r="J1952" s="8">
        <f>IF(AND(Таблицаx_2[[#This Row],[Месяц окончания]]=Таблицаx_2[[#This Row],[Месяц]],Таблицаx_2[[#This Row],[id]]=A1953,EDATE(Таблицаx_2[[#This Row],[Месяц]],1)=D1953),F1953,0)</f>
        <v>0</v>
      </c>
      <c r="K1952" s="8">
        <f>IF(AND(Таблицаx_2[[#This Row],[Месяц окончания]]=Таблицаx_2[[#This Row],[Месяц]],Таблицаx_2[[#This Row],[id]]=A1953,EDATE(Таблицаx_2[[#This Row],[Месяц]],2)=D1953),F1953,0)</f>
        <v>0</v>
      </c>
    </row>
    <row r="1953" spans="1:11" ht="12.75" hidden="1" customHeight="1" x14ac:dyDescent="0.2">
      <c r="A1953" s="8">
        <v>744</v>
      </c>
      <c r="B1953" s="8" t="s">
        <v>45</v>
      </c>
      <c r="C1953" s="8" t="s">
        <v>11</v>
      </c>
      <c r="D1953" s="12">
        <v>45170</v>
      </c>
      <c r="E1953" s="8">
        <v>36100</v>
      </c>
      <c r="F1953" s="10">
        <f>IF(ISTEXT(Таблицаx_2[[#This Row],[Значение]]), 0, Таблицаx_2[[#This Row],[Значение]])</f>
        <v>36100</v>
      </c>
      <c r="G1953" s="12">
        <v>44958</v>
      </c>
      <c r="H1953" s="10" t="str">
        <f>IFERROR(VLOOKUP(Таблицаx_2[[#This Row],[id]],prolongations!A:C,2,)," ")</f>
        <v>февраль 2023</v>
      </c>
      <c r="I1953" s="10">
        <f>IF(Таблицаx_2[[#This Row],[Месяц окончания]]=Таблицаx_2[[#This Row],[Месяц]],Таблицаx_2[[#This Row],[Значения числа]],0)</f>
        <v>0</v>
      </c>
      <c r="J1953" s="8">
        <f>IF(AND(Таблицаx_2[[#This Row],[Месяц окончания]]=Таблицаx_2[[#This Row],[Месяц]],Таблицаx_2[[#This Row],[id]]=A1954,EDATE(Таблицаx_2[[#This Row],[Месяц]],1)=D1954),F1954,0)</f>
        <v>0</v>
      </c>
      <c r="K1953" s="8">
        <f>IF(AND(Таблицаx_2[[#This Row],[Месяц окончания]]=Таблицаx_2[[#This Row],[Месяц]],Таблицаx_2[[#This Row],[id]]=A1954,EDATE(Таблицаx_2[[#This Row],[Месяц]],2)=D1954),F1954,0)</f>
        <v>0</v>
      </c>
    </row>
    <row r="1954" spans="1:11" ht="12.75" hidden="1" customHeight="1" x14ac:dyDescent="0.2">
      <c r="A1954" s="8">
        <v>744</v>
      </c>
      <c r="B1954" s="8" t="s">
        <v>45</v>
      </c>
      <c r="C1954" s="8" t="s">
        <v>11</v>
      </c>
      <c r="D1954" s="12">
        <v>45200</v>
      </c>
      <c r="E1954" s="8">
        <v>54600</v>
      </c>
      <c r="F1954" s="10">
        <f>IF(ISTEXT(Таблицаx_2[[#This Row],[Значение]]), 0, Таблицаx_2[[#This Row],[Значение]])</f>
        <v>54600</v>
      </c>
      <c r="G1954" s="12">
        <v>44958</v>
      </c>
      <c r="H1954" s="10" t="str">
        <f>IFERROR(VLOOKUP(Таблицаx_2[[#This Row],[id]],prolongations!A:C,2,)," ")</f>
        <v>февраль 2023</v>
      </c>
      <c r="I1954" s="10">
        <f>IF(Таблицаx_2[[#This Row],[Месяц окончания]]=Таблицаx_2[[#This Row],[Месяц]],Таблицаx_2[[#This Row],[Значения числа]],0)</f>
        <v>0</v>
      </c>
      <c r="J1954" s="8">
        <f>IF(AND(Таблицаx_2[[#This Row],[Месяц окончания]]=Таблицаx_2[[#This Row],[Месяц]],Таблицаx_2[[#This Row],[id]]=A1955,EDATE(Таблицаx_2[[#This Row],[Месяц]],1)=D1955),F1955,0)</f>
        <v>0</v>
      </c>
      <c r="K1954" s="8">
        <f>IF(AND(Таблицаx_2[[#This Row],[Месяц окончания]]=Таблицаx_2[[#This Row],[Месяц]],Таблицаx_2[[#This Row],[id]]=A1955,EDATE(Таблицаx_2[[#This Row],[Месяц]],2)=D1955),F1955,0)</f>
        <v>0</v>
      </c>
    </row>
    <row r="1955" spans="1:11" ht="12.75" hidden="1" customHeight="1" x14ac:dyDescent="0.2">
      <c r="A1955" s="8">
        <v>744</v>
      </c>
      <c r="B1955" s="8" t="s">
        <v>45</v>
      </c>
      <c r="C1955" s="8" t="s">
        <v>11</v>
      </c>
      <c r="D1955" s="12">
        <v>45231</v>
      </c>
      <c r="E1955" s="8">
        <v>54600</v>
      </c>
      <c r="F1955" s="10">
        <f>IF(ISTEXT(Таблицаx_2[[#This Row],[Значение]]), 0, Таблицаx_2[[#This Row],[Значение]])</f>
        <v>54600</v>
      </c>
      <c r="G1955" s="12">
        <v>44958</v>
      </c>
      <c r="H1955" s="10" t="str">
        <f>IFERROR(VLOOKUP(Таблицаx_2[[#This Row],[id]],prolongations!A:C,2,)," ")</f>
        <v>февраль 2023</v>
      </c>
      <c r="I1955" s="10">
        <f>IF(Таблицаx_2[[#This Row],[Месяц окончания]]=Таблицаx_2[[#This Row],[Месяц]],Таблицаx_2[[#This Row],[Значения числа]],0)</f>
        <v>0</v>
      </c>
      <c r="J1955" s="8">
        <f>IF(AND(Таблицаx_2[[#This Row],[Месяц окончания]]=Таблицаx_2[[#This Row],[Месяц]],Таблицаx_2[[#This Row],[id]]=A1956,EDATE(Таблицаx_2[[#This Row],[Месяц]],1)=D1956),F1956,0)</f>
        <v>0</v>
      </c>
      <c r="K1955" s="8">
        <f>IF(AND(Таблицаx_2[[#This Row],[Месяц окончания]]=Таблицаx_2[[#This Row],[Месяц]],Таблицаx_2[[#This Row],[id]]=A1956,EDATE(Таблицаx_2[[#This Row],[Месяц]],2)=D1956),F1956,0)</f>
        <v>0</v>
      </c>
    </row>
    <row r="1956" spans="1:11" ht="12.75" hidden="1" customHeight="1" x14ac:dyDescent="0.2">
      <c r="A1956" s="8">
        <v>744</v>
      </c>
      <c r="B1956" s="8" t="s">
        <v>45</v>
      </c>
      <c r="C1956" s="8" t="s">
        <v>11</v>
      </c>
      <c r="D1956" s="12">
        <v>45261</v>
      </c>
      <c r="E1956" s="8">
        <v>54600</v>
      </c>
      <c r="F1956" s="10">
        <f>IF(ISTEXT(Таблицаx_2[[#This Row],[Значение]]), 0, Таблицаx_2[[#This Row],[Значение]])</f>
        <v>54600</v>
      </c>
      <c r="G1956" s="12">
        <v>44958</v>
      </c>
      <c r="H1956" s="10" t="str">
        <f>IFERROR(VLOOKUP(Таблицаx_2[[#This Row],[id]],prolongations!A:C,2,)," ")</f>
        <v>февраль 2023</v>
      </c>
      <c r="I1956" s="10">
        <f>IF(Таблицаx_2[[#This Row],[Месяц окончания]]=Таблицаx_2[[#This Row],[Месяц]],Таблицаx_2[[#This Row],[Значения числа]],0)</f>
        <v>0</v>
      </c>
      <c r="J1956" s="8">
        <f>IF(AND(Таблицаx_2[[#This Row],[Месяц окончания]]=Таблицаx_2[[#This Row],[Месяц]],Таблицаx_2[[#This Row],[id]]=A1957,EDATE(Таблицаx_2[[#This Row],[Месяц]],1)=D1957),F1957,0)</f>
        <v>0</v>
      </c>
      <c r="K1956" s="8">
        <f>IF(AND(Таблицаx_2[[#This Row],[Месяц окончания]]=Таблицаx_2[[#This Row],[Месяц]],Таблицаx_2[[#This Row],[id]]=A1957,EDATE(Таблицаx_2[[#This Row],[Месяц]],2)=D1957),F1957,0)</f>
        <v>0</v>
      </c>
    </row>
    <row r="1957" spans="1:11" ht="12.75" hidden="1" customHeight="1" x14ac:dyDescent="0.2">
      <c r="A1957" s="8">
        <v>744</v>
      </c>
      <c r="B1957" s="8" t="s">
        <v>45</v>
      </c>
      <c r="C1957" s="8" t="s">
        <v>11</v>
      </c>
      <c r="D1957" s="12">
        <v>45292</v>
      </c>
      <c r="E1957" s="8">
        <v>54600</v>
      </c>
      <c r="F1957" s="10">
        <f>IF(ISTEXT(Таблицаx_2[[#This Row],[Значение]]), 0, Таблицаx_2[[#This Row],[Значение]])</f>
        <v>54600</v>
      </c>
      <c r="G1957" s="12">
        <v>44958</v>
      </c>
      <c r="H1957" s="10" t="str">
        <f>IFERROR(VLOOKUP(Таблицаx_2[[#This Row],[id]],prolongations!A:C,2,)," ")</f>
        <v>февраль 2023</v>
      </c>
      <c r="I1957" s="10">
        <f>IF(Таблицаx_2[[#This Row],[Месяц окончания]]=Таблицаx_2[[#This Row],[Месяц]],Таблицаx_2[[#This Row],[Значения числа]],0)</f>
        <v>0</v>
      </c>
      <c r="J1957" s="8">
        <f>IF(AND(Таблицаx_2[[#This Row],[Месяц окончания]]=Таблицаx_2[[#This Row],[Месяц]],Таблицаx_2[[#This Row],[id]]=A1958,EDATE(Таблицаx_2[[#This Row],[Месяц]],1)=D1958),F1958,0)</f>
        <v>0</v>
      </c>
      <c r="K1957" s="8">
        <f>IF(AND(Таблицаx_2[[#This Row],[Месяц окончания]]=Таблицаx_2[[#This Row],[Месяц]],Таблицаx_2[[#This Row],[id]]=A1958,EDATE(Таблицаx_2[[#This Row],[Месяц]],2)=D1958),F1958,0)</f>
        <v>0</v>
      </c>
    </row>
    <row r="1958" spans="1:11" ht="12.75" hidden="1" customHeight="1" x14ac:dyDescent="0.2">
      <c r="A1958" s="8">
        <v>744</v>
      </c>
      <c r="B1958" s="8" t="s">
        <v>47</v>
      </c>
      <c r="C1958" s="8" t="s">
        <v>11</v>
      </c>
      <c r="D1958" s="12">
        <v>44958</v>
      </c>
      <c r="E1958" s="8">
        <v>11864.42</v>
      </c>
      <c r="F1958" s="10">
        <f>IF(ISTEXT(Таблицаx_2[[#This Row],[Значение]]), 0, Таблицаx_2[[#This Row],[Значение]])</f>
        <v>11864.42</v>
      </c>
      <c r="G1958" s="12">
        <v>44958</v>
      </c>
      <c r="H1958" s="10" t="str">
        <f>IFERROR(VLOOKUP(Таблицаx_2[[#This Row],[id]],prolongations!A:C,2,)," ")</f>
        <v>февраль 2023</v>
      </c>
      <c r="I1958" s="10">
        <f>IF(Таблицаx_2[[#This Row],[Месяц окончания]]=Таблицаx_2[[#This Row],[Месяц]],Таблицаx_2[[#This Row],[Значения числа]],0)</f>
        <v>11864.42</v>
      </c>
      <c r="J1958" s="8">
        <f>IF(AND(Таблицаx_2[[#This Row],[Месяц окончания]]=Таблицаx_2[[#This Row],[Месяц]],Таблицаx_2[[#This Row],[id]]=A1959,EDATE(Таблицаx_2[[#This Row],[Месяц]],1)=D1959),F1959,0)</f>
        <v>10354.549999999999</v>
      </c>
      <c r="K1958" s="8">
        <f>IF(AND(Таблицаx_2[[#This Row],[Месяц окончания]]=Таблицаx_2[[#This Row],[Месяц]],Таблицаx_2[[#This Row],[id]]=A1959,EDATE(Таблицаx_2[[#This Row],[Месяц]],2)=D1959),F1959,0)</f>
        <v>0</v>
      </c>
    </row>
    <row r="1959" spans="1:11" ht="12.75" hidden="1" customHeight="1" x14ac:dyDescent="0.2">
      <c r="A1959" s="8">
        <v>744</v>
      </c>
      <c r="B1959" s="8" t="s">
        <v>47</v>
      </c>
      <c r="C1959" s="8" t="s">
        <v>11</v>
      </c>
      <c r="D1959" s="12">
        <v>44986</v>
      </c>
      <c r="E1959" s="8">
        <v>10354.549999999999</v>
      </c>
      <c r="F1959" s="10">
        <f>IF(ISTEXT(Таблицаx_2[[#This Row],[Значение]]), 0, Таблицаx_2[[#This Row],[Значение]])</f>
        <v>10354.549999999999</v>
      </c>
      <c r="G1959" s="12">
        <v>44958</v>
      </c>
      <c r="H1959" s="10" t="str">
        <f>IFERROR(VLOOKUP(Таблицаx_2[[#This Row],[id]],prolongations!A:C,2,)," ")</f>
        <v>февраль 2023</v>
      </c>
      <c r="I1959" s="10">
        <f>IF(Таблицаx_2[[#This Row],[Месяц окончания]]=Таблицаx_2[[#This Row],[Месяц]],Таблицаx_2[[#This Row],[Значения числа]],0)</f>
        <v>0</v>
      </c>
      <c r="J1959" s="8">
        <f>IF(AND(Таблицаx_2[[#This Row],[Месяц окончания]]=Таблицаx_2[[#This Row],[Месяц]],Таблицаx_2[[#This Row],[id]]=A1960,EDATE(Таблицаx_2[[#This Row],[Месяц]],1)=D1960),F1960,0)</f>
        <v>0</v>
      </c>
      <c r="K1959" s="8">
        <f>IF(AND(Таблицаx_2[[#This Row],[Месяц окончания]]=Таблицаx_2[[#This Row],[Месяц]],Таблицаx_2[[#This Row],[id]]=A1960,EDATE(Таблицаx_2[[#This Row],[Месяц]],2)=D1960),F1960,0)</f>
        <v>0</v>
      </c>
    </row>
    <row r="1960" spans="1:11" ht="12.75" hidden="1" customHeight="1" x14ac:dyDescent="0.2">
      <c r="A1960" s="8">
        <v>744</v>
      </c>
      <c r="B1960" s="8" t="s">
        <v>47</v>
      </c>
      <c r="C1960" s="8" t="s">
        <v>11</v>
      </c>
      <c r="D1960" s="12">
        <v>45017</v>
      </c>
      <c r="E1960" s="8" t="s">
        <v>48</v>
      </c>
      <c r="F1960" s="10">
        <f>IF(ISTEXT(Таблицаx_2[[#This Row],[Значение]]), 0, Таблицаx_2[[#This Row],[Значение]])</f>
        <v>0</v>
      </c>
      <c r="G1960" s="12">
        <v>44958</v>
      </c>
      <c r="H1960" s="10" t="str">
        <f>IFERROR(VLOOKUP(Таблицаx_2[[#This Row],[id]],prolongations!A:C,2,)," ")</f>
        <v>февраль 2023</v>
      </c>
      <c r="I1960" s="10">
        <f>IF(Таблицаx_2[[#This Row],[Месяц окончания]]=Таблицаx_2[[#This Row],[Месяц]],Таблицаx_2[[#This Row],[Значения числа]],0)</f>
        <v>0</v>
      </c>
      <c r="J1960" s="8">
        <f>IF(AND(Таблицаx_2[[#This Row],[Месяц окончания]]=Таблицаx_2[[#This Row],[Месяц]],Таблицаx_2[[#This Row],[id]]=A1961,EDATE(Таблицаx_2[[#This Row],[Месяц]],1)=D1961),F1961,0)</f>
        <v>0</v>
      </c>
      <c r="K1960" s="8">
        <f>IF(AND(Таблицаx_2[[#This Row],[Месяц окончания]]=Таблицаx_2[[#This Row],[Месяц]],Таблицаx_2[[#This Row],[id]]=A1961,EDATE(Таблицаx_2[[#This Row],[Месяц]],2)=D1961),F1961,0)</f>
        <v>0</v>
      </c>
    </row>
    <row r="1961" spans="1:11" ht="12.75" hidden="1" customHeight="1" x14ac:dyDescent="0.2">
      <c r="A1961" s="8">
        <v>744</v>
      </c>
      <c r="B1961" s="8" t="s">
        <v>47</v>
      </c>
      <c r="C1961" s="8" t="s">
        <v>11</v>
      </c>
      <c r="D1961" s="12">
        <v>45047</v>
      </c>
      <c r="E1961" s="8">
        <v>19277.3</v>
      </c>
      <c r="F1961" s="10">
        <f>IF(ISTEXT(Таблицаx_2[[#This Row],[Значение]]), 0, Таблицаx_2[[#This Row],[Значение]])</f>
        <v>19277.3</v>
      </c>
      <c r="G1961" s="12">
        <v>44958</v>
      </c>
      <c r="H1961" s="10" t="str">
        <f>IFERROR(VLOOKUP(Таблицаx_2[[#This Row],[id]],prolongations!A:C,2,)," ")</f>
        <v>февраль 2023</v>
      </c>
      <c r="I1961" s="10">
        <f>IF(Таблицаx_2[[#This Row],[Месяц окончания]]=Таблицаx_2[[#This Row],[Месяц]],Таблицаx_2[[#This Row],[Значения числа]],0)</f>
        <v>0</v>
      </c>
      <c r="J1961" s="8">
        <f>IF(AND(Таблицаx_2[[#This Row],[Месяц окончания]]=Таблицаx_2[[#This Row],[Месяц]],Таблицаx_2[[#This Row],[id]]=A1962,EDATE(Таблицаx_2[[#This Row],[Месяц]],1)=D1962),F1962,0)</f>
        <v>0</v>
      </c>
      <c r="K1961" s="8">
        <f>IF(AND(Таблицаx_2[[#This Row],[Месяц окончания]]=Таблицаx_2[[#This Row],[Месяц]],Таблицаx_2[[#This Row],[id]]=A1962,EDATE(Таблицаx_2[[#This Row],[Месяц]],2)=D1962),F1962,0)</f>
        <v>0</v>
      </c>
    </row>
    <row r="1962" spans="1:11" ht="12.75" hidden="1" customHeight="1" x14ac:dyDescent="0.2">
      <c r="A1962" s="8">
        <v>744</v>
      </c>
      <c r="B1962" s="8" t="s">
        <v>47</v>
      </c>
      <c r="C1962" s="8" t="s">
        <v>11</v>
      </c>
      <c r="D1962" s="12">
        <v>45078</v>
      </c>
      <c r="E1962" s="8">
        <v>4688</v>
      </c>
      <c r="F1962" s="10">
        <f>IF(ISTEXT(Таблицаx_2[[#This Row],[Значение]]), 0, Таблицаx_2[[#This Row],[Значение]])</f>
        <v>4688</v>
      </c>
      <c r="G1962" s="12">
        <v>44958</v>
      </c>
      <c r="H1962" s="10" t="str">
        <f>IFERROR(VLOOKUP(Таблицаx_2[[#This Row],[id]],prolongations!A:C,2,)," ")</f>
        <v>февраль 2023</v>
      </c>
      <c r="I1962" s="10">
        <f>IF(Таблицаx_2[[#This Row],[Месяц окончания]]=Таблицаx_2[[#This Row],[Месяц]],Таблицаx_2[[#This Row],[Значения числа]],0)</f>
        <v>0</v>
      </c>
      <c r="J1962" s="8">
        <f>IF(AND(Таблицаx_2[[#This Row],[Месяц окончания]]=Таблицаx_2[[#This Row],[Месяц]],Таблицаx_2[[#This Row],[id]]=A1963,EDATE(Таблицаx_2[[#This Row],[Месяц]],1)=D1963),F1963,0)</f>
        <v>0</v>
      </c>
      <c r="K1962" s="8">
        <f>IF(AND(Таблицаx_2[[#This Row],[Месяц окончания]]=Таблицаx_2[[#This Row],[Месяц]],Таблицаx_2[[#This Row],[id]]=A1963,EDATE(Таблицаx_2[[#This Row],[Месяц]],2)=D1963),F1963,0)</f>
        <v>0</v>
      </c>
    </row>
    <row r="1963" spans="1:11" ht="12.75" hidden="1" customHeight="1" x14ac:dyDescent="0.2">
      <c r="A1963" s="8">
        <v>744</v>
      </c>
      <c r="B1963" s="8" t="s">
        <v>47</v>
      </c>
      <c r="C1963" s="8" t="s">
        <v>11</v>
      </c>
      <c r="D1963" s="12">
        <v>45108</v>
      </c>
      <c r="E1963" s="8">
        <v>2311</v>
      </c>
      <c r="F1963" s="10">
        <f>IF(ISTEXT(Таблицаx_2[[#This Row],[Значение]]), 0, Таблицаx_2[[#This Row],[Значение]])</f>
        <v>2311</v>
      </c>
      <c r="G1963" s="12">
        <v>44958</v>
      </c>
      <c r="H1963" s="10" t="str">
        <f>IFERROR(VLOOKUP(Таблицаx_2[[#This Row],[id]],prolongations!A:C,2,)," ")</f>
        <v>февраль 2023</v>
      </c>
      <c r="I1963" s="10">
        <f>IF(Таблицаx_2[[#This Row],[Месяц окончания]]=Таблицаx_2[[#This Row],[Месяц]],Таблицаx_2[[#This Row],[Значения числа]],0)</f>
        <v>0</v>
      </c>
      <c r="J1963" s="8">
        <f>IF(AND(Таблицаx_2[[#This Row],[Месяц окончания]]=Таблицаx_2[[#This Row],[Месяц]],Таблицаx_2[[#This Row],[id]]=A1964,EDATE(Таблицаx_2[[#This Row],[Месяц]],1)=D1964),F1964,0)</f>
        <v>0</v>
      </c>
      <c r="K1963" s="8">
        <f>IF(AND(Таблицаx_2[[#This Row],[Месяц окончания]]=Таблицаx_2[[#This Row],[Месяц]],Таблицаx_2[[#This Row],[id]]=A1964,EDATE(Таблицаx_2[[#This Row],[Месяц]],2)=D1964),F1964,0)</f>
        <v>0</v>
      </c>
    </row>
    <row r="1964" spans="1:11" ht="12.75" hidden="1" customHeight="1" x14ac:dyDescent="0.2">
      <c r="A1964" s="8">
        <v>744</v>
      </c>
      <c r="B1964" s="8" t="s">
        <v>47</v>
      </c>
      <c r="C1964" s="8" t="s">
        <v>11</v>
      </c>
      <c r="D1964" s="12">
        <v>45139</v>
      </c>
      <c r="E1964" s="8">
        <v>13415.32</v>
      </c>
      <c r="F1964" s="10">
        <f>IF(ISTEXT(Таблицаx_2[[#This Row],[Значение]]), 0, Таблицаx_2[[#This Row],[Значение]])</f>
        <v>13415.32</v>
      </c>
      <c r="G1964" s="12">
        <v>44958</v>
      </c>
      <c r="H1964" s="10" t="str">
        <f>IFERROR(VLOOKUP(Таблицаx_2[[#This Row],[id]],prolongations!A:C,2,)," ")</f>
        <v>февраль 2023</v>
      </c>
      <c r="I1964" s="10">
        <f>IF(Таблицаx_2[[#This Row],[Месяц окончания]]=Таблицаx_2[[#This Row],[Месяц]],Таблицаx_2[[#This Row],[Значения числа]],0)</f>
        <v>0</v>
      </c>
      <c r="J1964" s="8">
        <f>IF(AND(Таблицаx_2[[#This Row],[Месяц окончания]]=Таблицаx_2[[#This Row],[Месяц]],Таблицаx_2[[#This Row],[id]]=A1965,EDATE(Таблицаx_2[[#This Row],[Месяц]],1)=D1965),F1965,0)</f>
        <v>0</v>
      </c>
      <c r="K1964" s="8">
        <f>IF(AND(Таблицаx_2[[#This Row],[Месяц окончания]]=Таблицаx_2[[#This Row],[Месяц]],Таблицаx_2[[#This Row],[id]]=A1965,EDATE(Таблицаx_2[[#This Row],[Месяц]],2)=D1965),F1965,0)</f>
        <v>0</v>
      </c>
    </row>
    <row r="1965" spans="1:11" ht="12.75" hidden="1" customHeight="1" x14ac:dyDescent="0.2">
      <c r="A1965" s="8">
        <v>744</v>
      </c>
      <c r="B1965" s="8" t="s">
        <v>47</v>
      </c>
      <c r="C1965" s="8" t="s">
        <v>11</v>
      </c>
      <c r="D1965" s="12">
        <v>45170</v>
      </c>
      <c r="E1965" s="8">
        <v>7851.06</v>
      </c>
      <c r="F1965" s="10">
        <f>IF(ISTEXT(Таблицаx_2[[#This Row],[Значение]]), 0, Таблицаx_2[[#This Row],[Значение]])</f>
        <v>7851.06</v>
      </c>
      <c r="G1965" s="12">
        <v>44958</v>
      </c>
      <c r="H1965" s="10" t="str">
        <f>IFERROR(VLOOKUP(Таблицаx_2[[#This Row],[id]],prolongations!A:C,2,)," ")</f>
        <v>февраль 2023</v>
      </c>
      <c r="I1965" s="10">
        <f>IF(Таблицаx_2[[#This Row],[Месяц окончания]]=Таблицаx_2[[#This Row],[Месяц]],Таблицаx_2[[#This Row],[Значения числа]],0)</f>
        <v>0</v>
      </c>
      <c r="J1965" s="8">
        <f>IF(AND(Таблицаx_2[[#This Row],[Месяц окончания]]=Таблицаx_2[[#This Row],[Месяц]],Таблицаx_2[[#This Row],[id]]=A1966,EDATE(Таблицаx_2[[#This Row],[Месяц]],1)=D1966),F1966,0)</f>
        <v>0</v>
      </c>
      <c r="K1965" s="8">
        <f>IF(AND(Таблицаx_2[[#This Row],[Месяц окончания]]=Таблицаx_2[[#This Row],[Месяц]],Таблицаx_2[[#This Row],[id]]=A1966,EDATE(Таблицаx_2[[#This Row],[Месяц]],2)=D1966),F1966,0)</f>
        <v>0</v>
      </c>
    </row>
    <row r="1966" spans="1:11" ht="12.75" hidden="1" customHeight="1" x14ac:dyDescent="0.2">
      <c r="A1966" s="8">
        <v>744</v>
      </c>
      <c r="B1966" s="8" t="s">
        <v>47</v>
      </c>
      <c r="C1966" s="8" t="s">
        <v>11</v>
      </c>
      <c r="D1966" s="12">
        <v>45200</v>
      </c>
      <c r="E1966" s="8">
        <v>2910.64</v>
      </c>
      <c r="F1966" s="10">
        <f>IF(ISTEXT(Таблицаx_2[[#This Row],[Значение]]), 0, Таблицаx_2[[#This Row],[Значение]])</f>
        <v>2910.64</v>
      </c>
      <c r="G1966" s="12">
        <v>44958</v>
      </c>
      <c r="H1966" s="10" t="str">
        <f>IFERROR(VLOOKUP(Таблицаx_2[[#This Row],[id]],prolongations!A:C,2,)," ")</f>
        <v>февраль 2023</v>
      </c>
      <c r="I1966" s="10">
        <f>IF(Таблицаx_2[[#This Row],[Месяц окончания]]=Таблицаx_2[[#This Row],[Месяц]],Таблицаx_2[[#This Row],[Значения числа]],0)</f>
        <v>0</v>
      </c>
      <c r="J1966" s="8">
        <f>IF(AND(Таблицаx_2[[#This Row],[Месяц окончания]]=Таблицаx_2[[#This Row],[Месяц]],Таблицаx_2[[#This Row],[id]]=A1967,EDATE(Таблицаx_2[[#This Row],[Месяц]],1)=D1967),F1967,0)</f>
        <v>0</v>
      </c>
      <c r="K1966" s="8">
        <f>IF(AND(Таблицаx_2[[#This Row],[Месяц окончания]]=Таблицаx_2[[#This Row],[Месяц]],Таблицаx_2[[#This Row],[id]]=A1967,EDATE(Таблицаx_2[[#This Row],[Месяц]],2)=D1967),F1967,0)</f>
        <v>0</v>
      </c>
    </row>
    <row r="1967" spans="1:11" ht="12.75" hidden="1" customHeight="1" x14ac:dyDescent="0.2">
      <c r="A1967" s="8">
        <v>744</v>
      </c>
      <c r="B1967" s="8" t="s">
        <v>47</v>
      </c>
      <c r="C1967" s="8" t="s">
        <v>11</v>
      </c>
      <c r="D1967" s="12">
        <v>45231</v>
      </c>
      <c r="E1967" s="8">
        <v>8984</v>
      </c>
      <c r="F1967" s="10">
        <f>IF(ISTEXT(Таблицаx_2[[#This Row],[Значение]]), 0, Таблицаx_2[[#This Row],[Значение]])</f>
        <v>8984</v>
      </c>
      <c r="G1967" s="12">
        <v>44958</v>
      </c>
      <c r="H1967" s="10" t="str">
        <f>IFERROR(VLOOKUP(Таблицаx_2[[#This Row],[id]],prolongations!A:C,2,)," ")</f>
        <v>февраль 2023</v>
      </c>
      <c r="I1967" s="10">
        <f>IF(Таблицаx_2[[#This Row],[Месяц окончания]]=Таблицаx_2[[#This Row],[Месяц]],Таблицаx_2[[#This Row],[Значения числа]],0)</f>
        <v>0</v>
      </c>
      <c r="J1967" s="8">
        <f>IF(AND(Таблицаx_2[[#This Row],[Месяц окончания]]=Таблицаx_2[[#This Row],[Месяц]],Таблицаx_2[[#This Row],[id]]=A1968,EDATE(Таблицаx_2[[#This Row],[Месяц]],1)=D1968),F1968,0)</f>
        <v>0</v>
      </c>
      <c r="K1967" s="8">
        <f>IF(AND(Таблицаx_2[[#This Row],[Месяц окончания]]=Таблицаx_2[[#This Row],[Месяц]],Таблицаx_2[[#This Row],[id]]=A1968,EDATE(Таблицаx_2[[#This Row],[Месяц]],2)=D1968),F1968,0)</f>
        <v>0</v>
      </c>
    </row>
    <row r="1968" spans="1:11" ht="12.75" hidden="1" customHeight="1" x14ac:dyDescent="0.2">
      <c r="A1968" s="8">
        <v>744</v>
      </c>
      <c r="B1968" s="8" t="s">
        <v>47</v>
      </c>
      <c r="C1968" s="8" t="s">
        <v>11</v>
      </c>
      <c r="D1968" s="12">
        <v>45261</v>
      </c>
      <c r="E1968" s="8">
        <v>7735.11</v>
      </c>
      <c r="F1968" s="10">
        <f>IF(ISTEXT(Таблицаx_2[[#This Row],[Значение]]), 0, Таблицаx_2[[#This Row],[Значение]])</f>
        <v>7735.11</v>
      </c>
      <c r="G1968" s="12">
        <v>44958</v>
      </c>
      <c r="H1968" s="10" t="str">
        <f>IFERROR(VLOOKUP(Таблицаx_2[[#This Row],[id]],prolongations!A:C,2,)," ")</f>
        <v>февраль 2023</v>
      </c>
      <c r="I1968" s="10">
        <f>IF(Таблицаx_2[[#This Row],[Месяц окончания]]=Таблицаx_2[[#This Row],[Месяц]],Таблицаx_2[[#This Row],[Значения числа]],0)</f>
        <v>0</v>
      </c>
      <c r="J1968" s="8">
        <f>IF(AND(Таблицаx_2[[#This Row],[Месяц окончания]]=Таблицаx_2[[#This Row],[Месяц]],Таблицаx_2[[#This Row],[id]]=A1969,EDATE(Таблицаx_2[[#This Row],[Месяц]],1)=D1969),F1969,0)</f>
        <v>0</v>
      </c>
      <c r="K1968" s="8">
        <f>IF(AND(Таблицаx_2[[#This Row],[Месяц окончания]]=Таблицаx_2[[#This Row],[Месяц]],Таблицаx_2[[#This Row],[id]]=A1969,EDATE(Таблицаx_2[[#This Row],[Месяц]],2)=D1969),F1969,0)</f>
        <v>0</v>
      </c>
    </row>
    <row r="1969" spans="1:11" ht="12.75" hidden="1" customHeight="1" x14ac:dyDescent="0.2">
      <c r="A1969" s="8">
        <v>744</v>
      </c>
      <c r="B1969" s="8" t="s">
        <v>47</v>
      </c>
      <c r="C1969" s="8" t="s">
        <v>11</v>
      </c>
      <c r="D1969" s="12">
        <v>45292</v>
      </c>
      <c r="E1969" s="8">
        <v>17707</v>
      </c>
      <c r="F1969" s="10">
        <f>IF(ISTEXT(Таблицаx_2[[#This Row],[Значение]]), 0, Таблицаx_2[[#This Row],[Значение]])</f>
        <v>17707</v>
      </c>
      <c r="G1969" s="12">
        <v>44958</v>
      </c>
      <c r="H1969" s="10" t="str">
        <f>IFERROR(VLOOKUP(Таблицаx_2[[#This Row],[id]],prolongations!A:C,2,)," ")</f>
        <v>февраль 2023</v>
      </c>
      <c r="I1969" s="10">
        <f>IF(Таблицаx_2[[#This Row],[Месяц окончания]]=Таблицаx_2[[#This Row],[Месяц]],Таблицаx_2[[#This Row],[Значения числа]],0)</f>
        <v>0</v>
      </c>
      <c r="J1969" s="8">
        <f>IF(AND(Таблицаx_2[[#This Row],[Месяц окончания]]=Таблицаx_2[[#This Row],[Месяц]],Таблицаx_2[[#This Row],[id]]=A1970,EDATE(Таблицаx_2[[#This Row],[Месяц]],1)=D1970),F1970,0)</f>
        <v>0</v>
      </c>
      <c r="K1969" s="8">
        <f>IF(AND(Таблицаx_2[[#This Row],[Месяц окончания]]=Таблицаx_2[[#This Row],[Месяц]],Таблицаx_2[[#This Row],[id]]=A1970,EDATE(Таблицаx_2[[#This Row],[Месяц]],2)=D1970),F1970,0)</f>
        <v>0</v>
      </c>
    </row>
    <row r="1970" spans="1:11" ht="12.75" hidden="1" customHeight="1" x14ac:dyDescent="0.2">
      <c r="A1970" s="8">
        <v>801</v>
      </c>
      <c r="B1970" s="8" t="s">
        <v>52</v>
      </c>
      <c r="C1970" s="8" t="s">
        <v>8</v>
      </c>
      <c r="D1970" s="12">
        <v>45017</v>
      </c>
      <c r="E1970" s="8">
        <v>126747.25</v>
      </c>
      <c r="F1970" s="10">
        <f>IF(ISTEXT(Таблицаx_2[[#This Row],[Значение]]), 0, Таблицаx_2[[#This Row],[Значение]])</f>
        <v>126747.25</v>
      </c>
      <c r="G1970" s="12">
        <v>45170</v>
      </c>
      <c r="H1970" s="10" t="str">
        <f>IFERROR(VLOOKUP(Таблицаx_2[[#This Row],[id]],prolongations!A:C,2,)," ")</f>
        <v>сентябрь 2023</v>
      </c>
      <c r="I1970" s="10">
        <f>IF(Таблицаx_2[[#This Row],[Месяц окончания]]=Таблицаx_2[[#This Row],[Месяц]],Таблицаx_2[[#This Row],[Значения числа]],0)</f>
        <v>0</v>
      </c>
      <c r="J1970" s="8">
        <f>IF(AND(Таблицаx_2[[#This Row],[Месяц окончания]]=Таблицаx_2[[#This Row],[Месяц]],Таблицаx_2[[#This Row],[id]]=A1971,EDATE(Таблицаx_2[[#This Row],[Месяц]],1)=D1971),F1971,0)</f>
        <v>0</v>
      </c>
      <c r="K1970" s="8">
        <f>IF(AND(Таблицаx_2[[#This Row],[Месяц окончания]]=Таблицаx_2[[#This Row],[Месяц]],Таблицаx_2[[#This Row],[id]]=A1971,EDATE(Таблицаx_2[[#This Row],[Месяц]],2)=D1971),F1971,0)</f>
        <v>0</v>
      </c>
    </row>
    <row r="1971" spans="1:11" ht="12.75" hidden="1" customHeight="1" x14ac:dyDescent="0.2">
      <c r="A1971" s="8">
        <v>801</v>
      </c>
      <c r="B1971" s="8" t="s">
        <v>52</v>
      </c>
      <c r="C1971" s="8" t="s">
        <v>8</v>
      </c>
      <c r="D1971" s="12">
        <v>45047</v>
      </c>
      <c r="E1971" s="8">
        <v>114327.25</v>
      </c>
      <c r="F1971" s="10">
        <f>IF(ISTEXT(Таблицаx_2[[#This Row],[Значение]]), 0, Таблицаx_2[[#This Row],[Значение]])</f>
        <v>114327.25</v>
      </c>
      <c r="G1971" s="12">
        <v>45170</v>
      </c>
      <c r="H1971" s="10" t="str">
        <f>IFERROR(VLOOKUP(Таблицаx_2[[#This Row],[id]],prolongations!A:C,2,)," ")</f>
        <v>сентябрь 2023</v>
      </c>
      <c r="I1971" s="10">
        <f>IF(Таблицаx_2[[#This Row],[Месяц окончания]]=Таблицаx_2[[#This Row],[Месяц]],Таблицаx_2[[#This Row],[Значения числа]],0)</f>
        <v>0</v>
      </c>
      <c r="J1971" s="8">
        <f>IF(AND(Таблицаx_2[[#This Row],[Месяц окончания]]=Таблицаx_2[[#This Row],[Месяц]],Таблицаx_2[[#This Row],[id]]=A1972,EDATE(Таблицаx_2[[#This Row],[Месяц]],1)=D1972),F1972,0)</f>
        <v>0</v>
      </c>
      <c r="K1971" s="8">
        <f>IF(AND(Таблицаx_2[[#This Row],[Месяц окончания]]=Таблицаx_2[[#This Row],[Месяц]],Таблицаx_2[[#This Row],[id]]=A1972,EDATE(Таблицаx_2[[#This Row],[Месяц]],2)=D1972),F1972,0)</f>
        <v>0</v>
      </c>
    </row>
    <row r="1972" spans="1:11" ht="12.75" hidden="1" customHeight="1" x14ac:dyDescent="0.2">
      <c r="A1972" s="8">
        <v>801</v>
      </c>
      <c r="B1972" s="8" t="s">
        <v>52</v>
      </c>
      <c r="C1972" s="8" t="s">
        <v>8</v>
      </c>
      <c r="D1972" s="12">
        <v>45078</v>
      </c>
      <c r="E1972" s="8">
        <v>112947.25</v>
      </c>
      <c r="F1972" s="10">
        <f>IF(ISTEXT(Таблицаx_2[[#This Row],[Значение]]), 0, Таблицаx_2[[#This Row],[Значение]])</f>
        <v>112947.25</v>
      </c>
      <c r="G1972" s="12">
        <v>45170</v>
      </c>
      <c r="H1972" s="10" t="str">
        <f>IFERROR(VLOOKUP(Таблицаx_2[[#This Row],[id]],prolongations!A:C,2,)," ")</f>
        <v>сентябрь 2023</v>
      </c>
      <c r="I1972" s="10">
        <f>IF(Таблицаx_2[[#This Row],[Месяц окончания]]=Таблицаx_2[[#This Row],[Месяц]],Таблицаx_2[[#This Row],[Значения числа]],0)</f>
        <v>0</v>
      </c>
      <c r="J1972" s="8">
        <f>IF(AND(Таблицаx_2[[#This Row],[Месяц окончания]]=Таблицаx_2[[#This Row],[Месяц]],Таблицаx_2[[#This Row],[id]]=A1973,EDATE(Таблицаx_2[[#This Row],[Месяц]],1)=D1973),F1973,0)</f>
        <v>0</v>
      </c>
      <c r="K1972" s="8">
        <f>IF(AND(Таблицаx_2[[#This Row],[Месяц окончания]]=Таблицаx_2[[#This Row],[Месяц]],Таблицаx_2[[#This Row],[id]]=A1973,EDATE(Таблицаx_2[[#This Row],[Месяц]],2)=D1973),F1973,0)</f>
        <v>0</v>
      </c>
    </row>
    <row r="1973" spans="1:11" ht="12.75" hidden="1" customHeight="1" x14ac:dyDescent="0.2">
      <c r="A1973" s="8">
        <v>801</v>
      </c>
      <c r="B1973" s="8" t="s">
        <v>52</v>
      </c>
      <c r="C1973" s="8" t="s">
        <v>8</v>
      </c>
      <c r="D1973" s="12">
        <v>45108</v>
      </c>
      <c r="E1973" s="8">
        <v>113493.5</v>
      </c>
      <c r="F1973" s="10">
        <f>IF(ISTEXT(Таблицаx_2[[#This Row],[Значение]]), 0, Таблицаx_2[[#This Row],[Значение]])</f>
        <v>113493.5</v>
      </c>
      <c r="G1973" s="12">
        <v>45170</v>
      </c>
      <c r="H1973" s="10" t="str">
        <f>IFERROR(VLOOKUP(Таблицаx_2[[#This Row],[id]],prolongations!A:C,2,)," ")</f>
        <v>сентябрь 2023</v>
      </c>
      <c r="I1973" s="10">
        <f>IF(Таблицаx_2[[#This Row],[Месяц окончания]]=Таблицаx_2[[#This Row],[Месяц]],Таблицаx_2[[#This Row],[Значения числа]],0)</f>
        <v>0</v>
      </c>
      <c r="J1973" s="8">
        <f>IF(AND(Таблицаx_2[[#This Row],[Месяц окончания]]=Таблицаx_2[[#This Row],[Месяц]],Таблицаx_2[[#This Row],[id]]=A1974,EDATE(Таблицаx_2[[#This Row],[Месяц]],1)=D1974),F1974,0)</f>
        <v>0</v>
      </c>
      <c r="K1973" s="8">
        <f>IF(AND(Таблицаx_2[[#This Row],[Месяц окончания]]=Таблицаx_2[[#This Row],[Месяц]],Таблицаx_2[[#This Row],[id]]=A1974,EDATE(Таблицаx_2[[#This Row],[Месяц]],2)=D1974),F1974,0)</f>
        <v>0</v>
      </c>
    </row>
    <row r="1974" spans="1:11" ht="12.75" hidden="1" customHeight="1" x14ac:dyDescent="0.2">
      <c r="A1974" s="8">
        <v>801</v>
      </c>
      <c r="B1974" s="8" t="s">
        <v>52</v>
      </c>
      <c r="C1974" s="8" t="s">
        <v>8</v>
      </c>
      <c r="D1974" s="12">
        <v>45139</v>
      </c>
      <c r="E1974" s="8">
        <v>113493.5</v>
      </c>
      <c r="F1974" s="10">
        <f>IF(ISTEXT(Таблицаx_2[[#This Row],[Значение]]), 0, Таблицаx_2[[#This Row],[Значение]])</f>
        <v>113493.5</v>
      </c>
      <c r="G1974" s="12">
        <v>45170</v>
      </c>
      <c r="H1974" s="10" t="str">
        <f>IFERROR(VLOOKUP(Таблицаx_2[[#This Row],[id]],prolongations!A:C,2,)," ")</f>
        <v>сентябрь 2023</v>
      </c>
      <c r="I1974" s="10">
        <f>IF(Таблицаx_2[[#This Row],[Месяц окончания]]=Таблицаx_2[[#This Row],[Месяц]],Таблицаx_2[[#This Row],[Значения числа]],0)</f>
        <v>0</v>
      </c>
      <c r="J1974" s="8">
        <f>IF(AND(Таблицаx_2[[#This Row],[Месяц окончания]]=Таблицаx_2[[#This Row],[Месяц]],Таблицаx_2[[#This Row],[id]]=A1975,EDATE(Таблицаx_2[[#This Row],[Месяц]],1)=D1975),F1975,0)</f>
        <v>0</v>
      </c>
      <c r="K1974" s="8">
        <f>IF(AND(Таблицаx_2[[#This Row],[Месяц окончания]]=Таблицаx_2[[#This Row],[Месяц]],Таблицаx_2[[#This Row],[id]]=A1975,EDATE(Таблицаx_2[[#This Row],[Месяц]],2)=D1975),F1975,0)</f>
        <v>0</v>
      </c>
    </row>
    <row r="1975" spans="1:11" ht="12.75" hidden="1" customHeight="1" x14ac:dyDescent="0.2">
      <c r="A1975" s="8">
        <v>801</v>
      </c>
      <c r="B1975" s="8" t="s">
        <v>52</v>
      </c>
      <c r="C1975" s="8" t="s">
        <v>8</v>
      </c>
      <c r="D1975" s="12">
        <v>45170</v>
      </c>
      <c r="E1975" s="8">
        <v>113493.5</v>
      </c>
      <c r="F1975" s="10">
        <f>IF(ISTEXT(Таблицаx_2[[#This Row],[Значение]]), 0, Таблицаx_2[[#This Row],[Значение]])</f>
        <v>113493.5</v>
      </c>
      <c r="G1975" s="12">
        <v>45170</v>
      </c>
      <c r="H1975" s="10" t="str">
        <f>IFERROR(VLOOKUP(Таблицаx_2[[#This Row],[id]],prolongations!A:C,2,)," ")</f>
        <v>сентябрь 2023</v>
      </c>
      <c r="I1975" s="10">
        <f>IF(Таблицаx_2[[#This Row],[Месяц окончания]]=Таблицаx_2[[#This Row],[Месяц]],Таблицаx_2[[#This Row],[Значения числа]],0)</f>
        <v>113493.5</v>
      </c>
      <c r="J1975" s="8">
        <f>IF(AND(Таблицаx_2[[#This Row],[Месяц окончания]]=Таблицаx_2[[#This Row],[Месяц]],Таблицаx_2[[#This Row],[id]]=A1976,EDATE(Таблицаx_2[[#This Row],[Месяц]],1)=D1976),F1976,0)</f>
        <v>82420.5</v>
      </c>
      <c r="K1975" s="8">
        <f>IF(AND(Таблицаx_2[[#This Row],[Месяц окончания]]=Таблицаx_2[[#This Row],[Месяц]],Таблицаx_2[[#This Row],[id]]=A1976,EDATE(Таблицаx_2[[#This Row],[Месяц]],2)=D1976),F1976,0)</f>
        <v>0</v>
      </c>
    </row>
    <row r="1976" spans="1:11" ht="12.75" hidden="1" customHeight="1" x14ac:dyDescent="0.2">
      <c r="A1976" s="8">
        <v>801</v>
      </c>
      <c r="B1976" s="8" t="s">
        <v>52</v>
      </c>
      <c r="C1976" s="8" t="s">
        <v>8</v>
      </c>
      <c r="D1976" s="12">
        <v>45200</v>
      </c>
      <c r="E1976" s="8">
        <v>82420.5</v>
      </c>
      <c r="F1976" s="10">
        <f>IF(ISTEXT(Таблицаx_2[[#This Row],[Значение]]), 0, Таблицаx_2[[#This Row],[Значение]])</f>
        <v>82420.5</v>
      </c>
      <c r="G1976" s="12">
        <v>45170</v>
      </c>
      <c r="H1976" s="10" t="str">
        <f>IFERROR(VLOOKUP(Таблицаx_2[[#This Row],[id]],prolongations!A:C,2,)," ")</f>
        <v>сентябрь 2023</v>
      </c>
      <c r="I1976" s="10">
        <f>IF(Таблицаx_2[[#This Row],[Месяц окончания]]=Таблицаx_2[[#This Row],[Месяц]],Таблицаx_2[[#This Row],[Значения числа]],0)</f>
        <v>0</v>
      </c>
      <c r="J1976" s="8">
        <f>IF(AND(Таблицаx_2[[#This Row],[Месяц окончания]]=Таблицаx_2[[#This Row],[Месяц]],Таблицаx_2[[#This Row],[id]]=A1977,EDATE(Таблицаx_2[[#This Row],[Месяц]],1)=D1977),F1977,0)</f>
        <v>0</v>
      </c>
      <c r="K1976" s="8">
        <f>IF(AND(Таблицаx_2[[#This Row],[Месяц окончания]]=Таблицаx_2[[#This Row],[Месяц]],Таблицаx_2[[#This Row],[id]]=A1977,EDATE(Таблицаx_2[[#This Row],[Месяц]],2)=D1977),F1977,0)</f>
        <v>0</v>
      </c>
    </row>
    <row r="1977" spans="1:11" ht="12.75" hidden="1" customHeight="1" x14ac:dyDescent="0.2">
      <c r="A1977" s="8">
        <v>801</v>
      </c>
      <c r="B1977" s="8" t="s">
        <v>52</v>
      </c>
      <c r="C1977" s="8" t="s">
        <v>8</v>
      </c>
      <c r="D1977" s="12">
        <v>45231</v>
      </c>
      <c r="E1977" s="8">
        <v>82420.5</v>
      </c>
      <c r="F1977" s="10">
        <f>IF(ISTEXT(Таблицаx_2[[#This Row],[Значение]]), 0, Таблицаx_2[[#This Row],[Значение]])</f>
        <v>82420.5</v>
      </c>
      <c r="G1977" s="12">
        <v>45170</v>
      </c>
      <c r="H1977" s="10" t="str">
        <f>IFERROR(VLOOKUP(Таблицаx_2[[#This Row],[id]],prolongations!A:C,2,)," ")</f>
        <v>сентябрь 2023</v>
      </c>
      <c r="I1977" s="10">
        <f>IF(Таблицаx_2[[#This Row],[Месяц окончания]]=Таблицаx_2[[#This Row],[Месяц]],Таблицаx_2[[#This Row],[Значения числа]],0)</f>
        <v>0</v>
      </c>
      <c r="J1977" s="8">
        <f>IF(AND(Таблицаx_2[[#This Row],[Месяц окончания]]=Таблицаx_2[[#This Row],[Месяц]],Таблицаx_2[[#This Row],[id]]=A1978,EDATE(Таблицаx_2[[#This Row],[Месяц]],1)=D1978),F1978,0)</f>
        <v>0</v>
      </c>
      <c r="K1977" s="8">
        <f>IF(AND(Таблицаx_2[[#This Row],[Месяц окончания]]=Таблицаx_2[[#This Row],[Месяц]],Таблицаx_2[[#This Row],[id]]=A1978,EDATE(Таблицаx_2[[#This Row],[Месяц]],2)=D1978),F1978,0)</f>
        <v>0</v>
      </c>
    </row>
    <row r="1978" spans="1:11" ht="12.75" hidden="1" customHeight="1" x14ac:dyDescent="0.2">
      <c r="A1978" s="8">
        <v>801</v>
      </c>
      <c r="B1978" s="8" t="s">
        <v>52</v>
      </c>
      <c r="C1978" s="8" t="s">
        <v>8</v>
      </c>
      <c r="D1978" s="12">
        <v>45261</v>
      </c>
      <c r="E1978" s="8">
        <v>82420.5</v>
      </c>
      <c r="F1978" s="10">
        <f>IF(ISTEXT(Таблицаx_2[[#This Row],[Значение]]), 0, Таблицаx_2[[#This Row],[Значение]])</f>
        <v>82420.5</v>
      </c>
      <c r="G1978" s="12">
        <v>45170</v>
      </c>
      <c r="H1978" s="10" t="str">
        <f>IFERROR(VLOOKUP(Таблицаx_2[[#This Row],[id]],prolongations!A:C,2,)," ")</f>
        <v>сентябрь 2023</v>
      </c>
      <c r="I1978" s="10">
        <f>IF(Таблицаx_2[[#This Row],[Месяц окончания]]=Таблицаx_2[[#This Row],[Месяц]],Таблицаx_2[[#This Row],[Значения числа]],0)</f>
        <v>0</v>
      </c>
      <c r="J1978" s="8">
        <f>IF(AND(Таблицаx_2[[#This Row],[Месяц окончания]]=Таблицаx_2[[#This Row],[Месяц]],Таблицаx_2[[#This Row],[id]]=A1979,EDATE(Таблицаx_2[[#This Row],[Месяц]],1)=D1979),F1979,0)</f>
        <v>0</v>
      </c>
      <c r="K1978" s="8">
        <f>IF(AND(Таблицаx_2[[#This Row],[Месяц окончания]]=Таблицаx_2[[#This Row],[Месяц]],Таблицаx_2[[#This Row],[id]]=A1979,EDATE(Таблицаx_2[[#This Row],[Месяц]],2)=D1979),F1979,0)</f>
        <v>0</v>
      </c>
    </row>
    <row r="1979" spans="1:11" ht="12.75" hidden="1" customHeight="1" x14ac:dyDescent="0.2">
      <c r="A1979" s="8">
        <v>801</v>
      </c>
      <c r="B1979" s="8" t="s">
        <v>50</v>
      </c>
      <c r="C1979" s="8" t="s">
        <v>8</v>
      </c>
      <c r="D1979" s="12">
        <v>45017</v>
      </c>
      <c r="E1979" s="8">
        <v>14268.89</v>
      </c>
      <c r="F1979" s="10">
        <f>IF(ISTEXT(Таблицаx_2[[#This Row],[Значение]]), 0, Таблицаx_2[[#This Row],[Значение]])</f>
        <v>14268.89</v>
      </c>
      <c r="G1979" s="12">
        <v>45170</v>
      </c>
      <c r="H1979" s="10" t="str">
        <f>IFERROR(VLOOKUP(Таблицаx_2[[#This Row],[id]],prolongations!A:C,2,)," ")</f>
        <v>сентябрь 2023</v>
      </c>
      <c r="I1979" s="10">
        <f>IF(Таблицаx_2[[#This Row],[Месяц окончания]]=Таблицаx_2[[#This Row],[Месяц]],Таблицаx_2[[#This Row],[Значения числа]],0)</f>
        <v>0</v>
      </c>
      <c r="J1979" s="8">
        <f>IF(AND(Таблицаx_2[[#This Row],[Месяц окончания]]=Таблицаx_2[[#This Row],[Месяц]],Таблицаx_2[[#This Row],[id]]=A1980,EDATE(Таблицаx_2[[#This Row],[Месяц]],1)=D1980),F1980,0)</f>
        <v>0</v>
      </c>
      <c r="K1979" s="8">
        <f>IF(AND(Таблицаx_2[[#This Row],[Месяц окончания]]=Таблицаx_2[[#This Row],[Месяц]],Таблицаx_2[[#This Row],[id]]=A1980,EDATE(Таблицаx_2[[#This Row],[Месяц]],2)=D1980),F1980,0)</f>
        <v>0</v>
      </c>
    </row>
    <row r="1980" spans="1:11" ht="12.75" hidden="1" customHeight="1" x14ac:dyDescent="0.2">
      <c r="A1980" s="8">
        <v>801</v>
      </c>
      <c r="B1980" s="8" t="s">
        <v>50</v>
      </c>
      <c r="C1980" s="8" t="s">
        <v>8</v>
      </c>
      <c r="D1980" s="12">
        <v>45047</v>
      </c>
      <c r="E1980" s="8">
        <v>21395.59</v>
      </c>
      <c r="F1980" s="10">
        <f>IF(ISTEXT(Таблицаx_2[[#This Row],[Значение]]), 0, Таблицаx_2[[#This Row],[Значение]])</f>
        <v>21395.59</v>
      </c>
      <c r="G1980" s="12">
        <v>45170</v>
      </c>
      <c r="H1980" s="10" t="str">
        <f>IFERROR(VLOOKUP(Таблицаx_2[[#This Row],[id]],prolongations!A:C,2,)," ")</f>
        <v>сентябрь 2023</v>
      </c>
      <c r="I1980" s="10">
        <f>IF(Таблицаx_2[[#This Row],[Месяц окончания]]=Таблицаx_2[[#This Row],[Месяц]],Таблицаx_2[[#This Row],[Значения числа]],0)</f>
        <v>0</v>
      </c>
      <c r="J1980" s="8">
        <f>IF(AND(Таблицаx_2[[#This Row],[Месяц окончания]]=Таблицаx_2[[#This Row],[Месяц]],Таблицаx_2[[#This Row],[id]]=A1981,EDATE(Таблицаx_2[[#This Row],[Месяц]],1)=D1981),F1981,0)</f>
        <v>0</v>
      </c>
      <c r="K1980" s="8">
        <f>IF(AND(Таблицаx_2[[#This Row],[Месяц окончания]]=Таблицаx_2[[#This Row],[Месяц]],Таблицаx_2[[#This Row],[id]]=A1981,EDATE(Таблицаx_2[[#This Row],[Месяц]],2)=D1981),F1981,0)</f>
        <v>0</v>
      </c>
    </row>
    <row r="1981" spans="1:11" ht="12.75" hidden="1" customHeight="1" x14ac:dyDescent="0.2">
      <c r="A1981" s="8">
        <v>801</v>
      </c>
      <c r="B1981" s="8" t="s">
        <v>50</v>
      </c>
      <c r="C1981" s="8" t="s">
        <v>8</v>
      </c>
      <c r="D1981" s="12">
        <v>45078</v>
      </c>
      <c r="E1981" s="8">
        <v>21560</v>
      </c>
      <c r="F1981" s="10">
        <f>IF(ISTEXT(Таблицаx_2[[#This Row],[Значение]]), 0, Таблицаx_2[[#This Row],[Значение]])</f>
        <v>21560</v>
      </c>
      <c r="G1981" s="12">
        <v>45170</v>
      </c>
      <c r="H1981" s="10" t="str">
        <f>IFERROR(VLOOKUP(Таблицаx_2[[#This Row],[id]],prolongations!A:C,2,)," ")</f>
        <v>сентябрь 2023</v>
      </c>
      <c r="I1981" s="10">
        <f>IF(Таблицаx_2[[#This Row],[Месяц окончания]]=Таблицаx_2[[#This Row],[Месяц]],Таблицаx_2[[#This Row],[Значения числа]],0)</f>
        <v>0</v>
      </c>
      <c r="J1981" s="8">
        <f>IF(AND(Таблицаx_2[[#This Row],[Месяц окончания]]=Таблицаx_2[[#This Row],[Месяц]],Таблицаx_2[[#This Row],[id]]=A1982,EDATE(Таблицаx_2[[#This Row],[Месяц]],1)=D1982),F1982,0)</f>
        <v>0</v>
      </c>
      <c r="K1981" s="8">
        <f>IF(AND(Таблицаx_2[[#This Row],[Месяц окончания]]=Таблицаx_2[[#This Row],[Месяц]],Таблицаx_2[[#This Row],[id]]=A1982,EDATE(Таблицаx_2[[#This Row],[Месяц]],2)=D1982),F1982,0)</f>
        <v>0</v>
      </c>
    </row>
    <row r="1982" spans="1:11" ht="12.75" hidden="1" customHeight="1" x14ac:dyDescent="0.2">
      <c r="A1982" s="8">
        <v>801</v>
      </c>
      <c r="B1982" s="8" t="s">
        <v>50</v>
      </c>
      <c r="C1982" s="8" t="s">
        <v>8</v>
      </c>
      <c r="D1982" s="12">
        <v>45108</v>
      </c>
      <c r="E1982" s="8">
        <v>62135.82</v>
      </c>
      <c r="F1982" s="10">
        <f>IF(ISTEXT(Таблицаx_2[[#This Row],[Значение]]), 0, Таблицаx_2[[#This Row],[Значение]])</f>
        <v>62135.82</v>
      </c>
      <c r="G1982" s="12">
        <v>45170</v>
      </c>
      <c r="H1982" s="10" t="str">
        <f>IFERROR(VLOOKUP(Таблицаx_2[[#This Row],[id]],prolongations!A:C,2,)," ")</f>
        <v>сентябрь 2023</v>
      </c>
      <c r="I1982" s="10">
        <f>IF(Таблицаx_2[[#This Row],[Месяц окончания]]=Таблицаx_2[[#This Row],[Месяц]],Таблицаx_2[[#This Row],[Значения числа]],0)</f>
        <v>0</v>
      </c>
      <c r="J1982" s="8">
        <f>IF(AND(Таблицаx_2[[#This Row],[Месяц окончания]]=Таблицаx_2[[#This Row],[Месяц]],Таблицаx_2[[#This Row],[id]]=A1983,EDATE(Таблицаx_2[[#This Row],[Месяц]],1)=D1983),F1983,0)</f>
        <v>0</v>
      </c>
      <c r="K1982" s="8">
        <f>IF(AND(Таблицаx_2[[#This Row],[Месяц окончания]]=Таблицаx_2[[#This Row],[Месяц]],Таблицаx_2[[#This Row],[id]]=A1983,EDATE(Таблицаx_2[[#This Row],[Месяц]],2)=D1983),F1983,0)</f>
        <v>0</v>
      </c>
    </row>
    <row r="1983" spans="1:11" ht="12.75" hidden="1" customHeight="1" x14ac:dyDescent="0.2">
      <c r="A1983" s="8">
        <v>801</v>
      </c>
      <c r="B1983" s="8" t="s">
        <v>50</v>
      </c>
      <c r="C1983" s="8" t="s">
        <v>8</v>
      </c>
      <c r="D1983" s="12">
        <v>45139</v>
      </c>
      <c r="E1983" s="8">
        <v>44629.96</v>
      </c>
      <c r="F1983" s="10">
        <f>IF(ISTEXT(Таблицаx_2[[#This Row],[Значение]]), 0, Таблицаx_2[[#This Row],[Значение]])</f>
        <v>44629.96</v>
      </c>
      <c r="G1983" s="12">
        <v>45170</v>
      </c>
      <c r="H1983" s="10" t="str">
        <f>IFERROR(VLOOKUP(Таблицаx_2[[#This Row],[id]],prolongations!A:C,2,)," ")</f>
        <v>сентябрь 2023</v>
      </c>
      <c r="I1983" s="10">
        <f>IF(Таблицаx_2[[#This Row],[Месяц окончания]]=Таблицаx_2[[#This Row],[Месяц]],Таблицаx_2[[#This Row],[Значения числа]],0)</f>
        <v>0</v>
      </c>
      <c r="J1983" s="8">
        <f>IF(AND(Таблицаx_2[[#This Row],[Месяц окончания]]=Таблицаx_2[[#This Row],[Месяц]],Таблицаx_2[[#This Row],[id]]=A1984,EDATE(Таблицаx_2[[#This Row],[Месяц]],1)=D1984),F1984,0)</f>
        <v>0</v>
      </c>
      <c r="K1983" s="8">
        <f>IF(AND(Таблицаx_2[[#This Row],[Месяц окончания]]=Таблицаx_2[[#This Row],[Месяц]],Таблицаx_2[[#This Row],[id]]=A1984,EDATE(Таблицаx_2[[#This Row],[Месяц]],2)=D1984),F1984,0)</f>
        <v>0</v>
      </c>
    </row>
    <row r="1984" spans="1:11" ht="12.75" hidden="1" customHeight="1" x14ac:dyDescent="0.2">
      <c r="A1984" s="8">
        <v>801</v>
      </c>
      <c r="B1984" s="8" t="s">
        <v>50</v>
      </c>
      <c r="C1984" s="8" t="s">
        <v>8</v>
      </c>
      <c r="D1984" s="12">
        <v>45170</v>
      </c>
      <c r="E1984" s="8">
        <v>41079.32</v>
      </c>
      <c r="F1984" s="10">
        <f>IF(ISTEXT(Таблицаx_2[[#This Row],[Значение]]), 0, Таблицаx_2[[#This Row],[Значение]])</f>
        <v>41079.32</v>
      </c>
      <c r="G1984" s="12">
        <v>45170</v>
      </c>
      <c r="H1984" s="10" t="str">
        <f>IFERROR(VLOOKUP(Таблицаx_2[[#This Row],[id]],prolongations!A:C,2,)," ")</f>
        <v>сентябрь 2023</v>
      </c>
      <c r="I1984" s="10">
        <f>IF(Таблицаx_2[[#This Row],[Месяц окончания]]=Таблицаx_2[[#This Row],[Месяц]],Таблицаx_2[[#This Row],[Значения числа]],0)</f>
        <v>41079.32</v>
      </c>
      <c r="J1984" s="8">
        <f>IF(AND(Таблицаx_2[[#This Row],[Месяц окончания]]=Таблицаx_2[[#This Row],[Месяц]],Таблицаx_2[[#This Row],[id]]=A1985,EDATE(Таблицаx_2[[#This Row],[Месяц]],1)=D1985),F1985,0)</f>
        <v>14549.1</v>
      </c>
      <c r="K1984" s="8">
        <f>IF(AND(Таблицаx_2[[#This Row],[Месяц окончания]]=Таблицаx_2[[#This Row],[Месяц]],Таблицаx_2[[#This Row],[id]]=A1985,EDATE(Таблицаx_2[[#This Row],[Месяц]],2)=D1985),F1985,0)</f>
        <v>0</v>
      </c>
    </row>
    <row r="1985" spans="1:11" ht="12.75" hidden="1" customHeight="1" x14ac:dyDescent="0.2">
      <c r="A1985" s="8">
        <v>801</v>
      </c>
      <c r="B1985" s="8" t="s">
        <v>50</v>
      </c>
      <c r="C1985" s="8" t="s">
        <v>8</v>
      </c>
      <c r="D1985" s="12">
        <v>45200</v>
      </c>
      <c r="E1985" s="8">
        <v>14549.1</v>
      </c>
      <c r="F1985" s="10">
        <f>IF(ISTEXT(Таблицаx_2[[#This Row],[Значение]]), 0, Таблицаx_2[[#This Row],[Значение]])</f>
        <v>14549.1</v>
      </c>
      <c r="G1985" s="12">
        <v>45170</v>
      </c>
      <c r="H1985" s="10" t="str">
        <f>IFERROR(VLOOKUP(Таблицаx_2[[#This Row],[id]],prolongations!A:C,2,)," ")</f>
        <v>сентябрь 2023</v>
      </c>
      <c r="I1985" s="10">
        <f>IF(Таблицаx_2[[#This Row],[Месяц окончания]]=Таблицаx_2[[#This Row],[Месяц]],Таблицаx_2[[#This Row],[Значения числа]],0)</f>
        <v>0</v>
      </c>
      <c r="J1985" s="8">
        <f>IF(AND(Таблицаx_2[[#This Row],[Месяц окончания]]=Таблицаx_2[[#This Row],[Месяц]],Таблицаx_2[[#This Row],[id]]=A1986,EDATE(Таблицаx_2[[#This Row],[Месяц]],1)=D1986),F1986,0)</f>
        <v>0</v>
      </c>
      <c r="K1985" s="8">
        <f>IF(AND(Таблицаx_2[[#This Row],[Месяц окончания]]=Таблицаx_2[[#This Row],[Месяц]],Таблицаx_2[[#This Row],[id]]=A1986,EDATE(Таблицаx_2[[#This Row],[Месяц]],2)=D1986),F1986,0)</f>
        <v>0</v>
      </c>
    </row>
    <row r="1986" spans="1:11" ht="12.75" hidden="1" customHeight="1" x14ac:dyDescent="0.2">
      <c r="A1986" s="8">
        <v>801</v>
      </c>
      <c r="B1986" s="8" t="s">
        <v>50</v>
      </c>
      <c r="C1986" s="8" t="s">
        <v>8</v>
      </c>
      <c r="D1986" s="12">
        <v>45231</v>
      </c>
      <c r="E1986" s="8">
        <v>12232.07</v>
      </c>
      <c r="F1986" s="10">
        <f>IF(ISTEXT(Таблицаx_2[[#This Row],[Значение]]), 0, Таблицаx_2[[#This Row],[Значение]])</f>
        <v>12232.07</v>
      </c>
      <c r="G1986" s="12">
        <v>45170</v>
      </c>
      <c r="H1986" s="10" t="str">
        <f>IFERROR(VLOOKUP(Таблицаx_2[[#This Row],[id]],prolongations!A:C,2,)," ")</f>
        <v>сентябрь 2023</v>
      </c>
      <c r="I1986" s="10">
        <f>IF(Таблицаx_2[[#This Row],[Месяц окончания]]=Таблицаx_2[[#This Row],[Месяц]],Таблицаx_2[[#This Row],[Значения числа]],0)</f>
        <v>0</v>
      </c>
      <c r="J1986" s="8">
        <f>IF(AND(Таблицаx_2[[#This Row],[Месяц окончания]]=Таблицаx_2[[#This Row],[Месяц]],Таблицаx_2[[#This Row],[id]]=A1987,EDATE(Таблицаx_2[[#This Row],[Месяц]],1)=D1987),F1987,0)</f>
        <v>0</v>
      </c>
      <c r="K1986" s="8">
        <f>IF(AND(Таблицаx_2[[#This Row],[Месяц окончания]]=Таблицаx_2[[#This Row],[Месяц]],Таблицаx_2[[#This Row],[id]]=A1987,EDATE(Таблицаx_2[[#This Row],[Месяц]],2)=D1987),F1987,0)</f>
        <v>0</v>
      </c>
    </row>
    <row r="1987" spans="1:11" ht="12.75" hidden="1" customHeight="1" x14ac:dyDescent="0.2">
      <c r="A1987" s="8">
        <v>801</v>
      </c>
      <c r="B1987" s="8" t="s">
        <v>50</v>
      </c>
      <c r="C1987" s="8" t="s">
        <v>8</v>
      </c>
      <c r="D1987" s="12">
        <v>45261</v>
      </c>
      <c r="E1987" s="8">
        <v>10801.22</v>
      </c>
      <c r="F1987" s="10">
        <f>IF(ISTEXT(Таблицаx_2[[#This Row],[Значение]]), 0, Таблицаx_2[[#This Row],[Значение]])</f>
        <v>10801.22</v>
      </c>
      <c r="G1987" s="12">
        <v>45170</v>
      </c>
      <c r="H1987" s="10" t="str">
        <f>IFERROR(VLOOKUP(Таблицаx_2[[#This Row],[id]],prolongations!A:C,2,)," ")</f>
        <v>сентябрь 2023</v>
      </c>
      <c r="I1987" s="10">
        <f>IF(Таблицаx_2[[#This Row],[Месяц окончания]]=Таблицаx_2[[#This Row],[Месяц]],Таблицаx_2[[#This Row],[Значения числа]],0)</f>
        <v>0</v>
      </c>
      <c r="J1987" s="8">
        <f>IF(AND(Таблицаx_2[[#This Row],[Месяц окончания]]=Таблицаx_2[[#This Row],[Месяц]],Таблицаx_2[[#This Row],[id]]=A1988,EDATE(Таблицаx_2[[#This Row],[Месяц]],1)=D1988),F1988,0)</f>
        <v>0</v>
      </c>
      <c r="K1987" s="8">
        <f>IF(AND(Таблицаx_2[[#This Row],[Месяц окончания]]=Таблицаx_2[[#This Row],[Месяц]],Таблицаx_2[[#This Row],[id]]=A1988,EDATE(Таблицаx_2[[#This Row],[Месяц]],2)=D1988),F1988,0)</f>
        <v>0</v>
      </c>
    </row>
    <row r="1988" spans="1:11" ht="12.75" hidden="1" customHeight="1" x14ac:dyDescent="0.2">
      <c r="A1988" s="8">
        <v>944</v>
      </c>
      <c r="B1988" s="8" t="s">
        <v>45</v>
      </c>
      <c r="C1988" s="8" t="s">
        <v>10</v>
      </c>
      <c r="D1988" s="12">
        <v>45170</v>
      </c>
      <c r="E1988" s="8">
        <v>122200</v>
      </c>
      <c r="F1988" s="10">
        <f>IF(ISTEXT(Таблицаx_2[[#This Row],[Значение]]), 0, Таблицаx_2[[#This Row],[Значение]])</f>
        <v>122200</v>
      </c>
      <c r="G1988" s="12">
        <v>45261</v>
      </c>
      <c r="H1988" s="10" t="str">
        <f>IFERROR(VLOOKUP(Таблицаx_2[[#This Row],[id]],prolongations!A:C,2,)," ")</f>
        <v>декабрь 2023</v>
      </c>
      <c r="I1988" s="10">
        <f>IF(Таблицаx_2[[#This Row],[Месяц окончания]]=Таблицаx_2[[#This Row],[Месяц]],Таблицаx_2[[#This Row],[Значения числа]],0)</f>
        <v>0</v>
      </c>
      <c r="J1988" s="8">
        <f>IF(AND(Таблицаx_2[[#This Row],[Месяц окончания]]=Таблицаx_2[[#This Row],[Месяц]],Таблицаx_2[[#This Row],[id]]=A1989,EDATE(Таблицаx_2[[#This Row],[Месяц]],1)=D1989),F1989,0)</f>
        <v>0</v>
      </c>
      <c r="K1988" s="8">
        <f>IF(AND(Таблицаx_2[[#This Row],[Месяц окончания]]=Таблицаx_2[[#This Row],[Месяц]],Таблицаx_2[[#This Row],[id]]=A1989,EDATE(Таблицаx_2[[#This Row],[Месяц]],2)=D1989),F1989,0)</f>
        <v>0</v>
      </c>
    </row>
    <row r="1989" spans="1:11" ht="12.75" hidden="1" customHeight="1" x14ac:dyDescent="0.2">
      <c r="A1989" s="8">
        <v>944</v>
      </c>
      <c r="B1989" s="8" t="s">
        <v>45</v>
      </c>
      <c r="C1989" s="8" t="s">
        <v>10</v>
      </c>
      <c r="D1989" s="12">
        <v>45200</v>
      </c>
      <c r="E1989" s="8" t="s">
        <v>46</v>
      </c>
      <c r="F1989" s="10">
        <f>IF(ISTEXT(Таблицаx_2[[#This Row],[Значение]]), 0, Таблицаx_2[[#This Row],[Значение]])</f>
        <v>0</v>
      </c>
      <c r="G1989" s="12">
        <v>45261</v>
      </c>
      <c r="H1989" s="10" t="str">
        <f>IFERROR(VLOOKUP(Таблицаx_2[[#This Row],[id]],prolongations!A:C,2,)," ")</f>
        <v>декабрь 2023</v>
      </c>
      <c r="I1989" s="10">
        <f>IF(Таблицаx_2[[#This Row],[Месяц окончания]]=Таблицаx_2[[#This Row],[Месяц]],Таблицаx_2[[#This Row],[Значения числа]],0)</f>
        <v>0</v>
      </c>
      <c r="J1989" s="8">
        <f>IF(AND(Таблицаx_2[[#This Row],[Месяц окончания]]=Таблицаx_2[[#This Row],[Месяц]],Таблицаx_2[[#This Row],[id]]=A1990,EDATE(Таблицаx_2[[#This Row],[Месяц]],1)=D1990),F1990,0)</f>
        <v>0</v>
      </c>
      <c r="K1989" s="8">
        <f>IF(AND(Таблицаx_2[[#This Row],[Месяц окончания]]=Таблицаx_2[[#This Row],[Месяц]],Таблицаx_2[[#This Row],[id]]=A1990,EDATE(Таблицаx_2[[#This Row],[Месяц]],2)=D1990),F1990,0)</f>
        <v>0</v>
      </c>
    </row>
    <row r="1990" spans="1:11" ht="12.75" hidden="1" customHeight="1" x14ac:dyDescent="0.2">
      <c r="A1990" s="8">
        <v>944</v>
      </c>
      <c r="B1990" s="8" t="s">
        <v>47</v>
      </c>
      <c r="C1990" s="8" t="s">
        <v>10</v>
      </c>
      <c r="D1990" s="12">
        <v>45170</v>
      </c>
      <c r="E1990" s="8" t="s">
        <v>48</v>
      </c>
      <c r="F1990" s="10">
        <f>IF(ISTEXT(Таблицаx_2[[#This Row],[Значение]]), 0, Таблицаx_2[[#This Row],[Значение]])</f>
        <v>0</v>
      </c>
      <c r="G1990" s="12">
        <v>45261</v>
      </c>
      <c r="H1990" s="10" t="str">
        <f>IFERROR(VLOOKUP(Таблицаx_2[[#This Row],[id]],prolongations!A:C,2,)," ")</f>
        <v>декабрь 2023</v>
      </c>
      <c r="I1990" s="10">
        <f>IF(Таблицаx_2[[#This Row],[Месяц окончания]]=Таблицаx_2[[#This Row],[Месяц]],Таблицаx_2[[#This Row],[Значения числа]],0)</f>
        <v>0</v>
      </c>
      <c r="J1990" s="8">
        <f>IF(AND(Таблицаx_2[[#This Row],[Месяц окончания]]=Таблицаx_2[[#This Row],[Месяц]],Таблицаx_2[[#This Row],[id]]=A1991,EDATE(Таблицаx_2[[#This Row],[Месяц]],1)=D1991),F1991,0)</f>
        <v>0</v>
      </c>
      <c r="K1990" s="8">
        <f>IF(AND(Таблицаx_2[[#This Row],[Месяц окончания]]=Таблицаx_2[[#This Row],[Месяц]],Таблицаx_2[[#This Row],[id]]=A1991,EDATE(Таблицаx_2[[#This Row],[Месяц]],2)=D1991),F1991,0)</f>
        <v>0</v>
      </c>
    </row>
    <row r="1991" spans="1:11" ht="12.75" hidden="1" customHeight="1" x14ac:dyDescent="0.2">
      <c r="A1991" s="8">
        <v>944</v>
      </c>
      <c r="B1991" s="8" t="s">
        <v>47</v>
      </c>
      <c r="C1991" s="8" t="s">
        <v>10</v>
      </c>
      <c r="D1991" s="12">
        <v>45200</v>
      </c>
      <c r="E1991" s="8" t="s">
        <v>46</v>
      </c>
      <c r="F1991" s="10">
        <f>IF(ISTEXT(Таблицаx_2[[#This Row],[Значение]]), 0, Таблицаx_2[[#This Row],[Значение]])</f>
        <v>0</v>
      </c>
      <c r="G1991" s="12">
        <v>45261</v>
      </c>
      <c r="H1991" s="10" t="str">
        <f>IFERROR(VLOOKUP(Таблицаx_2[[#This Row],[id]],prolongations!A:C,2,)," ")</f>
        <v>декабрь 2023</v>
      </c>
      <c r="I1991" s="10">
        <f>IF(Таблицаx_2[[#This Row],[Месяц окончания]]=Таблицаx_2[[#This Row],[Месяц]],Таблицаx_2[[#This Row],[Значения числа]],0)</f>
        <v>0</v>
      </c>
      <c r="J1991" s="8">
        <f>IF(AND(Таблицаx_2[[#This Row],[Месяц окончания]]=Таблицаx_2[[#This Row],[Месяц]],Таблицаx_2[[#This Row],[id]]=A1992,EDATE(Таблицаx_2[[#This Row],[Месяц]],1)=D1992),F1992,0)</f>
        <v>0</v>
      </c>
      <c r="K1991" s="8">
        <f>IF(AND(Таблицаx_2[[#This Row],[Месяц окончания]]=Таблицаx_2[[#This Row],[Месяц]],Таблицаx_2[[#This Row],[id]]=A1992,EDATE(Таблицаx_2[[#This Row],[Месяц]],2)=D1992),F1992,0)</f>
        <v>0</v>
      </c>
    </row>
    <row r="1992" spans="1:11" ht="12.75" hidden="1" customHeight="1" x14ac:dyDescent="0.2">
      <c r="A1992" s="8">
        <v>887</v>
      </c>
      <c r="B1992" s="8" t="s">
        <v>45</v>
      </c>
      <c r="C1992" s="8" t="s">
        <v>8</v>
      </c>
      <c r="D1992" s="12">
        <v>45108</v>
      </c>
      <c r="E1992" s="8">
        <v>94500</v>
      </c>
      <c r="F1992" s="10">
        <f>IF(ISTEXT(Таблицаx_2[[#This Row],[Значение]]), 0, Таблицаx_2[[#This Row],[Значение]])</f>
        <v>94500</v>
      </c>
      <c r="G1992" s="12">
        <v>45261</v>
      </c>
      <c r="H1992" s="10" t="str">
        <f>IFERROR(VLOOKUP(Таблицаx_2[[#This Row],[id]],prolongations!A:C,2,)," ")</f>
        <v>декабрь 2023</v>
      </c>
      <c r="I1992" s="10">
        <f>IF(Таблицаx_2[[#This Row],[Месяц окончания]]=Таблицаx_2[[#This Row],[Месяц]],Таблицаx_2[[#This Row],[Значения числа]],0)</f>
        <v>0</v>
      </c>
      <c r="J1992" s="8">
        <f>IF(AND(Таблицаx_2[[#This Row],[Месяц окончания]]=Таблицаx_2[[#This Row],[Месяц]],Таблицаx_2[[#This Row],[id]]=A1993,EDATE(Таблицаx_2[[#This Row],[Месяц]],1)=D1993),F1993,0)</f>
        <v>0</v>
      </c>
      <c r="K1992" s="8">
        <f>IF(AND(Таблицаx_2[[#This Row],[Месяц окончания]]=Таблицаx_2[[#This Row],[Месяц]],Таблицаx_2[[#This Row],[id]]=A1993,EDATE(Таблицаx_2[[#This Row],[Месяц]],2)=D1993),F1993,0)</f>
        <v>0</v>
      </c>
    </row>
    <row r="1993" spans="1:11" ht="12.75" hidden="1" customHeight="1" x14ac:dyDescent="0.2">
      <c r="A1993" s="8">
        <v>887</v>
      </c>
      <c r="B1993" s="8" t="s">
        <v>45</v>
      </c>
      <c r="C1993" s="8" t="s">
        <v>8</v>
      </c>
      <c r="D1993" s="12">
        <v>45139</v>
      </c>
      <c r="E1993" s="8">
        <v>94500</v>
      </c>
      <c r="F1993" s="10">
        <f>IF(ISTEXT(Таблицаx_2[[#This Row],[Значение]]), 0, Таблицаx_2[[#This Row],[Значение]])</f>
        <v>94500</v>
      </c>
      <c r="G1993" s="12">
        <v>45261</v>
      </c>
      <c r="H1993" s="10" t="str">
        <f>IFERROR(VLOOKUP(Таблицаx_2[[#This Row],[id]],prolongations!A:C,2,)," ")</f>
        <v>декабрь 2023</v>
      </c>
      <c r="I1993" s="10">
        <f>IF(Таблицаx_2[[#This Row],[Месяц окончания]]=Таблицаx_2[[#This Row],[Месяц]],Таблицаx_2[[#This Row],[Значения числа]],0)</f>
        <v>0</v>
      </c>
      <c r="J1993" s="8">
        <f>IF(AND(Таблицаx_2[[#This Row],[Месяц окончания]]=Таблицаx_2[[#This Row],[Месяц]],Таблицаx_2[[#This Row],[id]]=A1994,EDATE(Таблицаx_2[[#This Row],[Месяц]],1)=D1994),F1994,0)</f>
        <v>0</v>
      </c>
      <c r="K1993" s="8">
        <f>IF(AND(Таблицаx_2[[#This Row],[Месяц окончания]]=Таблицаx_2[[#This Row],[Месяц]],Таблицаx_2[[#This Row],[id]]=A1994,EDATE(Таблицаx_2[[#This Row],[Месяц]],2)=D1994),F1994,0)</f>
        <v>0</v>
      </c>
    </row>
    <row r="1994" spans="1:11" ht="12.75" hidden="1" customHeight="1" x14ac:dyDescent="0.2">
      <c r="A1994" s="8">
        <v>887</v>
      </c>
      <c r="B1994" s="8" t="s">
        <v>45</v>
      </c>
      <c r="C1994" s="8" t="s">
        <v>8</v>
      </c>
      <c r="D1994" s="12">
        <v>45170</v>
      </c>
      <c r="E1994" s="8">
        <v>94500</v>
      </c>
      <c r="F1994" s="10">
        <f>IF(ISTEXT(Таблицаx_2[[#This Row],[Значение]]), 0, Таблицаx_2[[#This Row],[Значение]])</f>
        <v>94500</v>
      </c>
      <c r="G1994" s="12">
        <v>45261</v>
      </c>
      <c r="H1994" s="10" t="str">
        <f>IFERROR(VLOOKUP(Таблицаx_2[[#This Row],[id]],prolongations!A:C,2,)," ")</f>
        <v>декабрь 2023</v>
      </c>
      <c r="I1994" s="10">
        <f>IF(Таблицаx_2[[#This Row],[Месяц окончания]]=Таблицаx_2[[#This Row],[Месяц]],Таблицаx_2[[#This Row],[Значения числа]],0)</f>
        <v>0</v>
      </c>
      <c r="J1994" s="8">
        <f>IF(AND(Таблицаx_2[[#This Row],[Месяц окончания]]=Таблицаx_2[[#This Row],[Месяц]],Таблицаx_2[[#This Row],[id]]=A1995,EDATE(Таблицаx_2[[#This Row],[Месяц]],1)=D1995),F1995,0)</f>
        <v>0</v>
      </c>
      <c r="K1994" s="8">
        <f>IF(AND(Таблицаx_2[[#This Row],[Месяц окончания]]=Таблицаx_2[[#This Row],[Месяц]],Таблицаx_2[[#This Row],[id]]=A1995,EDATE(Таблицаx_2[[#This Row],[Месяц]],2)=D1995),F1995,0)</f>
        <v>0</v>
      </c>
    </row>
    <row r="1995" spans="1:11" ht="12.75" hidden="1" customHeight="1" x14ac:dyDescent="0.2">
      <c r="A1995" s="8">
        <v>887</v>
      </c>
      <c r="B1995" s="8" t="s">
        <v>45</v>
      </c>
      <c r="C1995" s="8" t="s">
        <v>8</v>
      </c>
      <c r="D1995" s="12">
        <v>45200</v>
      </c>
      <c r="E1995" s="8">
        <v>94500</v>
      </c>
      <c r="F1995" s="10">
        <f>IF(ISTEXT(Таблицаx_2[[#This Row],[Значение]]), 0, Таблицаx_2[[#This Row],[Значение]])</f>
        <v>94500</v>
      </c>
      <c r="G1995" s="12">
        <v>45261</v>
      </c>
      <c r="H1995" s="10" t="str">
        <f>IFERROR(VLOOKUP(Таблицаx_2[[#This Row],[id]],prolongations!A:C,2,)," ")</f>
        <v>декабрь 2023</v>
      </c>
      <c r="I1995" s="10">
        <f>IF(Таблицаx_2[[#This Row],[Месяц окончания]]=Таблицаx_2[[#This Row],[Месяц]],Таблицаx_2[[#This Row],[Значения числа]],0)</f>
        <v>0</v>
      </c>
      <c r="J1995" s="8">
        <f>IF(AND(Таблицаx_2[[#This Row],[Месяц окончания]]=Таблицаx_2[[#This Row],[Месяц]],Таблицаx_2[[#This Row],[id]]=A1996,EDATE(Таблицаx_2[[#This Row],[Месяц]],1)=D1996),F1996,0)</f>
        <v>0</v>
      </c>
      <c r="K1995" s="8">
        <f>IF(AND(Таблицаx_2[[#This Row],[Месяц окончания]]=Таблицаx_2[[#This Row],[Месяц]],Таблицаx_2[[#This Row],[id]]=A1996,EDATE(Таблицаx_2[[#This Row],[Месяц]],2)=D1996),F1996,0)</f>
        <v>0</v>
      </c>
    </row>
    <row r="1996" spans="1:11" ht="12.75" hidden="1" customHeight="1" x14ac:dyDescent="0.2">
      <c r="A1996" s="8">
        <v>887</v>
      </c>
      <c r="B1996" s="8" t="s">
        <v>45</v>
      </c>
      <c r="C1996" s="8" t="s">
        <v>8</v>
      </c>
      <c r="D1996" s="12">
        <v>45231</v>
      </c>
      <c r="E1996" s="8">
        <v>94500</v>
      </c>
      <c r="F1996" s="10">
        <f>IF(ISTEXT(Таблицаx_2[[#This Row],[Значение]]), 0, Таблицаx_2[[#This Row],[Значение]])</f>
        <v>94500</v>
      </c>
      <c r="G1996" s="12">
        <v>45261</v>
      </c>
      <c r="H1996" s="10" t="str">
        <f>IFERROR(VLOOKUP(Таблицаx_2[[#This Row],[id]],prolongations!A:C,2,)," ")</f>
        <v>декабрь 2023</v>
      </c>
      <c r="I1996" s="10">
        <f>IF(Таблицаx_2[[#This Row],[Месяц окончания]]=Таблицаx_2[[#This Row],[Месяц]],Таблицаx_2[[#This Row],[Значения числа]],0)</f>
        <v>0</v>
      </c>
      <c r="J1996" s="8">
        <f>IF(AND(Таблицаx_2[[#This Row],[Месяц окончания]]=Таблицаx_2[[#This Row],[Месяц]],Таблицаx_2[[#This Row],[id]]=A1997,EDATE(Таблицаx_2[[#This Row],[Месяц]],1)=D1997),F1997,0)</f>
        <v>0</v>
      </c>
      <c r="K1996" s="8">
        <f>IF(AND(Таблицаx_2[[#This Row],[Месяц окончания]]=Таблицаx_2[[#This Row],[Месяц]],Таблицаx_2[[#This Row],[id]]=A1997,EDATE(Таблицаx_2[[#This Row],[Месяц]],2)=D1997),F1997,0)</f>
        <v>0</v>
      </c>
    </row>
    <row r="1997" spans="1:11" ht="12.75" hidden="1" customHeight="1" x14ac:dyDescent="0.2">
      <c r="A1997" s="8">
        <v>887</v>
      </c>
      <c r="B1997" s="8" t="s">
        <v>45</v>
      </c>
      <c r="C1997" s="8" t="s">
        <v>8</v>
      </c>
      <c r="D1997" s="12">
        <v>45261</v>
      </c>
      <c r="E1997" s="8">
        <v>94500</v>
      </c>
      <c r="F1997" s="10">
        <f>IF(ISTEXT(Таблицаx_2[[#This Row],[Значение]]), 0, Таблицаx_2[[#This Row],[Значение]])</f>
        <v>94500</v>
      </c>
      <c r="G1997" s="12">
        <v>45261</v>
      </c>
      <c r="H1997" s="10" t="str">
        <f>IFERROR(VLOOKUP(Таблицаx_2[[#This Row],[id]],prolongations!A:C,2,)," ")</f>
        <v>декабрь 2023</v>
      </c>
      <c r="I1997" s="10">
        <f>IF(Таблицаx_2[[#This Row],[Месяц окончания]]=Таблицаx_2[[#This Row],[Месяц]],Таблицаx_2[[#This Row],[Значения числа]],0)</f>
        <v>94500</v>
      </c>
      <c r="J1997" s="8">
        <f>IF(AND(Таблицаx_2[[#This Row],[Месяц окончания]]=Таблицаx_2[[#This Row],[Месяц]],Таблицаx_2[[#This Row],[id]]=A1998,EDATE(Таблицаx_2[[#This Row],[Месяц]],1)=D1998),F1998,0)</f>
        <v>0</v>
      </c>
      <c r="K1997" s="8">
        <f>IF(AND(Таблицаx_2[[#This Row],[Месяц окончания]]=Таблицаx_2[[#This Row],[Месяц]],Таблицаx_2[[#This Row],[id]]=A1998,EDATE(Таблицаx_2[[#This Row],[Месяц]],2)=D1998),F1998,0)</f>
        <v>0</v>
      </c>
    </row>
    <row r="1998" spans="1:11" ht="12.75" hidden="1" customHeight="1" x14ac:dyDescent="0.2">
      <c r="A1998" s="8">
        <v>887</v>
      </c>
      <c r="B1998" s="8" t="s">
        <v>47</v>
      </c>
      <c r="C1998" s="8" t="s">
        <v>8</v>
      </c>
      <c r="D1998" s="12">
        <v>45108</v>
      </c>
      <c r="E1998" s="8" t="s">
        <v>48</v>
      </c>
      <c r="F1998" s="10">
        <f>IF(ISTEXT(Таблицаx_2[[#This Row],[Значение]]), 0, Таблицаx_2[[#This Row],[Значение]])</f>
        <v>0</v>
      </c>
      <c r="G1998" s="12">
        <v>45261</v>
      </c>
      <c r="H1998" s="10" t="str">
        <f>IFERROR(VLOOKUP(Таблицаx_2[[#This Row],[id]],prolongations!A:C,2,)," ")</f>
        <v>декабрь 2023</v>
      </c>
      <c r="I1998" s="10">
        <f>IF(Таблицаx_2[[#This Row],[Месяц окончания]]=Таблицаx_2[[#This Row],[Месяц]],Таблицаx_2[[#This Row],[Значения числа]],0)</f>
        <v>0</v>
      </c>
      <c r="J1998" s="8">
        <f>IF(AND(Таблицаx_2[[#This Row],[Месяц окончания]]=Таблицаx_2[[#This Row],[Месяц]],Таблицаx_2[[#This Row],[id]]=A1999,EDATE(Таблицаx_2[[#This Row],[Месяц]],1)=D1999),F1999,0)</f>
        <v>0</v>
      </c>
      <c r="K1998" s="8">
        <f>IF(AND(Таблицаx_2[[#This Row],[Месяц окончания]]=Таблицаx_2[[#This Row],[Месяц]],Таблицаx_2[[#This Row],[id]]=A1999,EDATE(Таблицаx_2[[#This Row],[Месяц]],2)=D1999),F1999,0)</f>
        <v>0</v>
      </c>
    </row>
    <row r="1999" spans="1:11" ht="12.75" hidden="1" customHeight="1" x14ac:dyDescent="0.2">
      <c r="A1999" s="8">
        <v>887</v>
      </c>
      <c r="B1999" s="8" t="s">
        <v>47</v>
      </c>
      <c r="C1999" s="8" t="s">
        <v>8</v>
      </c>
      <c r="D1999" s="12">
        <v>45139</v>
      </c>
      <c r="E1999" s="8" t="s">
        <v>48</v>
      </c>
      <c r="F1999" s="10">
        <f>IF(ISTEXT(Таблицаx_2[[#This Row],[Значение]]), 0, Таблицаx_2[[#This Row],[Значение]])</f>
        <v>0</v>
      </c>
      <c r="G1999" s="12">
        <v>45261</v>
      </c>
      <c r="H1999" s="10" t="str">
        <f>IFERROR(VLOOKUP(Таблицаx_2[[#This Row],[id]],prolongations!A:C,2,)," ")</f>
        <v>декабрь 2023</v>
      </c>
      <c r="I1999" s="10">
        <f>IF(Таблицаx_2[[#This Row],[Месяц окончания]]=Таблицаx_2[[#This Row],[Месяц]],Таблицаx_2[[#This Row],[Значения числа]],0)</f>
        <v>0</v>
      </c>
      <c r="J1999" s="8">
        <f>IF(AND(Таблицаx_2[[#This Row],[Месяц окончания]]=Таблицаx_2[[#This Row],[Месяц]],Таблицаx_2[[#This Row],[id]]=A2000,EDATE(Таблицаx_2[[#This Row],[Месяц]],1)=D2000),F2000,0)</f>
        <v>0</v>
      </c>
      <c r="K1999" s="8">
        <f>IF(AND(Таблицаx_2[[#This Row],[Месяц окончания]]=Таблицаx_2[[#This Row],[Месяц]],Таблицаx_2[[#This Row],[id]]=A2000,EDATE(Таблицаx_2[[#This Row],[Месяц]],2)=D2000),F2000,0)</f>
        <v>0</v>
      </c>
    </row>
    <row r="2000" spans="1:11" ht="12.75" hidden="1" customHeight="1" x14ac:dyDescent="0.2">
      <c r="A2000" s="8">
        <v>887</v>
      </c>
      <c r="B2000" s="8" t="s">
        <v>47</v>
      </c>
      <c r="C2000" s="8" t="s">
        <v>8</v>
      </c>
      <c r="D2000" s="12">
        <v>45170</v>
      </c>
      <c r="E2000" s="8" t="s">
        <v>48</v>
      </c>
      <c r="F2000" s="10">
        <f>IF(ISTEXT(Таблицаx_2[[#This Row],[Значение]]), 0, Таблицаx_2[[#This Row],[Значение]])</f>
        <v>0</v>
      </c>
      <c r="G2000" s="12">
        <v>45261</v>
      </c>
      <c r="H2000" s="10" t="str">
        <f>IFERROR(VLOOKUP(Таблицаx_2[[#This Row],[id]],prolongations!A:C,2,)," ")</f>
        <v>декабрь 2023</v>
      </c>
      <c r="I2000" s="10">
        <f>IF(Таблицаx_2[[#This Row],[Месяц окончания]]=Таблицаx_2[[#This Row],[Месяц]],Таблицаx_2[[#This Row],[Значения числа]],0)</f>
        <v>0</v>
      </c>
      <c r="J2000" s="8">
        <f>IF(AND(Таблицаx_2[[#This Row],[Месяц окончания]]=Таблицаx_2[[#This Row],[Месяц]],Таблицаx_2[[#This Row],[id]]=A2001,EDATE(Таблицаx_2[[#This Row],[Месяц]],1)=D2001),F2001,0)</f>
        <v>0</v>
      </c>
      <c r="K2000" s="8">
        <f>IF(AND(Таблицаx_2[[#This Row],[Месяц окончания]]=Таблицаx_2[[#This Row],[Месяц]],Таблицаx_2[[#This Row],[id]]=A2001,EDATE(Таблицаx_2[[#This Row],[Месяц]],2)=D2001),F2001,0)</f>
        <v>0</v>
      </c>
    </row>
    <row r="2001" spans="1:11" ht="12.75" hidden="1" customHeight="1" x14ac:dyDescent="0.2">
      <c r="A2001" s="8">
        <v>887</v>
      </c>
      <c r="B2001" s="8" t="s">
        <v>47</v>
      </c>
      <c r="C2001" s="8" t="s">
        <v>8</v>
      </c>
      <c r="D2001" s="12">
        <v>45200</v>
      </c>
      <c r="E2001" s="8">
        <v>101400</v>
      </c>
      <c r="F2001" s="10">
        <f>IF(ISTEXT(Таблицаx_2[[#This Row],[Значение]]), 0, Таблицаx_2[[#This Row],[Значение]])</f>
        <v>101400</v>
      </c>
      <c r="G2001" s="12">
        <v>45261</v>
      </c>
      <c r="H2001" s="10" t="str">
        <f>IFERROR(VLOOKUP(Таблицаx_2[[#This Row],[id]],prolongations!A:C,2,)," ")</f>
        <v>декабрь 2023</v>
      </c>
      <c r="I2001" s="10">
        <f>IF(Таблицаx_2[[#This Row],[Месяц окончания]]=Таблицаx_2[[#This Row],[Месяц]],Таблицаx_2[[#This Row],[Значения числа]],0)</f>
        <v>0</v>
      </c>
      <c r="J2001" s="8">
        <f>IF(AND(Таблицаx_2[[#This Row],[Месяц окончания]]=Таблицаx_2[[#This Row],[Месяц]],Таблицаx_2[[#This Row],[id]]=A2002,EDATE(Таблицаx_2[[#This Row],[Месяц]],1)=D2002),F2002,0)</f>
        <v>0</v>
      </c>
      <c r="K2001" s="8">
        <f>IF(AND(Таблицаx_2[[#This Row],[Месяц окончания]]=Таблицаx_2[[#This Row],[Месяц]],Таблицаx_2[[#This Row],[id]]=A2002,EDATE(Таблицаx_2[[#This Row],[Месяц]],2)=D2002),F2002,0)</f>
        <v>0</v>
      </c>
    </row>
    <row r="2002" spans="1:11" ht="12.75" hidden="1" customHeight="1" x14ac:dyDescent="0.2">
      <c r="A2002" s="8">
        <v>887</v>
      </c>
      <c r="B2002" s="8" t="s">
        <v>47</v>
      </c>
      <c r="C2002" s="8" t="s">
        <v>8</v>
      </c>
      <c r="D2002" s="12">
        <v>45231</v>
      </c>
      <c r="E2002" s="8" t="s">
        <v>48</v>
      </c>
      <c r="F2002" s="10">
        <f>IF(ISTEXT(Таблицаx_2[[#This Row],[Значение]]), 0, Таблицаx_2[[#This Row],[Значение]])</f>
        <v>0</v>
      </c>
      <c r="G2002" s="12">
        <v>45261</v>
      </c>
      <c r="H2002" s="10" t="str">
        <f>IFERROR(VLOOKUP(Таблицаx_2[[#This Row],[id]],prolongations!A:C,2,)," ")</f>
        <v>декабрь 2023</v>
      </c>
      <c r="I2002" s="10">
        <f>IF(Таблицаx_2[[#This Row],[Месяц окончания]]=Таблицаx_2[[#This Row],[Месяц]],Таблицаx_2[[#This Row],[Значения числа]],0)</f>
        <v>0</v>
      </c>
      <c r="J2002" s="8">
        <f>IF(AND(Таблицаx_2[[#This Row],[Месяц окончания]]=Таблицаx_2[[#This Row],[Месяц]],Таблицаx_2[[#This Row],[id]]=A2003,EDATE(Таблицаx_2[[#This Row],[Месяц]],1)=D2003),F2003,0)</f>
        <v>0</v>
      </c>
      <c r="K2002" s="8">
        <f>IF(AND(Таблицаx_2[[#This Row],[Месяц окончания]]=Таблицаx_2[[#This Row],[Месяц]],Таблицаx_2[[#This Row],[id]]=A2003,EDATE(Таблицаx_2[[#This Row],[Месяц]],2)=D2003),F2003,0)</f>
        <v>0</v>
      </c>
    </row>
    <row r="2003" spans="1:11" ht="12.75" hidden="1" customHeight="1" x14ac:dyDescent="0.2">
      <c r="A2003" s="8">
        <v>887</v>
      </c>
      <c r="B2003" s="8" t="s">
        <v>47</v>
      </c>
      <c r="C2003" s="8" t="s">
        <v>8</v>
      </c>
      <c r="D2003" s="12">
        <v>45261</v>
      </c>
      <c r="E2003" s="8" t="s">
        <v>48</v>
      </c>
      <c r="F2003" s="10">
        <f>IF(ISTEXT(Таблицаx_2[[#This Row],[Значение]]), 0, Таблицаx_2[[#This Row],[Значение]])</f>
        <v>0</v>
      </c>
      <c r="G2003" s="12">
        <v>45261</v>
      </c>
      <c r="H2003" s="10" t="str">
        <f>IFERROR(VLOOKUP(Таблицаx_2[[#This Row],[id]],prolongations!A:C,2,)," ")</f>
        <v>декабрь 2023</v>
      </c>
      <c r="I2003" s="10">
        <f>IF(Таблицаx_2[[#This Row],[Месяц окончания]]=Таблицаx_2[[#This Row],[Месяц]],Таблицаx_2[[#This Row],[Значения числа]],0)</f>
        <v>0</v>
      </c>
      <c r="J2003" s="8">
        <f>IF(AND(Таблицаx_2[[#This Row],[Месяц окончания]]=Таблицаx_2[[#This Row],[Месяц]],Таблицаx_2[[#This Row],[id]]=A2004,EDATE(Таблицаx_2[[#This Row],[Месяц]],1)=D2004),F2004,0)</f>
        <v>0</v>
      </c>
      <c r="K2003" s="8">
        <f>IF(AND(Таблицаx_2[[#This Row],[Месяц окончания]]=Таблицаx_2[[#This Row],[Месяц]],Таблицаx_2[[#This Row],[id]]=A2004,EDATE(Таблицаx_2[[#This Row],[Месяц]],2)=D2004),F2004,0)</f>
        <v>0</v>
      </c>
    </row>
    <row r="2004" spans="1:11" ht="12.75" hidden="1" customHeight="1" x14ac:dyDescent="0.2">
      <c r="A2004" s="8">
        <v>879</v>
      </c>
      <c r="B2004" s="8" t="s">
        <v>45</v>
      </c>
      <c r="C2004" s="8" t="s">
        <v>10</v>
      </c>
      <c r="D2004" s="12">
        <v>45108</v>
      </c>
      <c r="E2004" s="8">
        <v>66375</v>
      </c>
      <c r="F2004" s="10">
        <f>IF(ISTEXT(Таблицаx_2[[#This Row],[Значение]]), 0, Таблицаx_2[[#This Row],[Значение]])</f>
        <v>66375</v>
      </c>
      <c r="G2004" s="12">
        <v>45261</v>
      </c>
      <c r="H2004" s="10" t="str">
        <f>IFERROR(VLOOKUP(Таблицаx_2[[#This Row],[id]],prolongations!A:C,2,)," ")</f>
        <v>декабрь 2023</v>
      </c>
      <c r="I2004" s="10">
        <f>IF(Таблицаx_2[[#This Row],[Месяц окончания]]=Таблицаx_2[[#This Row],[Месяц]],Таблицаx_2[[#This Row],[Значения числа]],0)</f>
        <v>0</v>
      </c>
      <c r="J2004" s="8">
        <f>IF(AND(Таблицаx_2[[#This Row],[Месяц окончания]]=Таблицаx_2[[#This Row],[Месяц]],Таблицаx_2[[#This Row],[id]]=A2005,EDATE(Таблицаx_2[[#This Row],[Месяц]],1)=D2005),F2005,0)</f>
        <v>0</v>
      </c>
      <c r="K2004" s="8">
        <f>IF(AND(Таблицаx_2[[#This Row],[Месяц окончания]]=Таблицаx_2[[#This Row],[Месяц]],Таблицаx_2[[#This Row],[id]]=A2005,EDATE(Таблицаx_2[[#This Row],[Месяц]],2)=D2005),F2005,0)</f>
        <v>0</v>
      </c>
    </row>
    <row r="2005" spans="1:11" ht="12.75" hidden="1" customHeight="1" x14ac:dyDescent="0.2">
      <c r="A2005" s="8">
        <v>879</v>
      </c>
      <c r="B2005" s="8" t="s">
        <v>45</v>
      </c>
      <c r="C2005" s="8" t="s">
        <v>10</v>
      </c>
      <c r="D2005" s="12">
        <v>45139</v>
      </c>
      <c r="E2005" s="8">
        <v>66950</v>
      </c>
      <c r="F2005" s="10">
        <f>IF(ISTEXT(Таблицаx_2[[#This Row],[Значение]]), 0, Таблицаx_2[[#This Row],[Значение]])</f>
        <v>66950</v>
      </c>
      <c r="G2005" s="12">
        <v>45261</v>
      </c>
      <c r="H2005" s="10" t="str">
        <f>IFERROR(VLOOKUP(Таблицаx_2[[#This Row],[id]],prolongations!A:C,2,)," ")</f>
        <v>декабрь 2023</v>
      </c>
      <c r="I2005" s="10">
        <f>IF(Таблицаx_2[[#This Row],[Месяц окончания]]=Таблицаx_2[[#This Row],[Месяц]],Таблицаx_2[[#This Row],[Значения числа]],0)</f>
        <v>0</v>
      </c>
      <c r="J2005" s="8">
        <f>IF(AND(Таблицаx_2[[#This Row],[Месяц окончания]]=Таблицаx_2[[#This Row],[Месяц]],Таблицаx_2[[#This Row],[id]]=A2006,EDATE(Таблицаx_2[[#This Row],[Месяц]],1)=D2006),F2006,0)</f>
        <v>0</v>
      </c>
      <c r="K2005" s="8">
        <f>IF(AND(Таблицаx_2[[#This Row],[Месяц окончания]]=Таблицаx_2[[#This Row],[Месяц]],Таблицаx_2[[#This Row],[id]]=A2006,EDATE(Таблицаx_2[[#This Row],[Месяц]],2)=D2006),F2006,0)</f>
        <v>0</v>
      </c>
    </row>
    <row r="2006" spans="1:11" ht="12.75" hidden="1" customHeight="1" x14ac:dyDescent="0.2">
      <c r="A2006" s="8">
        <v>879</v>
      </c>
      <c r="B2006" s="8" t="s">
        <v>45</v>
      </c>
      <c r="C2006" s="8" t="s">
        <v>10</v>
      </c>
      <c r="D2006" s="12">
        <v>45170</v>
      </c>
      <c r="E2006" s="8">
        <v>66475</v>
      </c>
      <c r="F2006" s="10">
        <f>IF(ISTEXT(Таблицаx_2[[#This Row],[Значение]]), 0, Таблицаx_2[[#This Row],[Значение]])</f>
        <v>66475</v>
      </c>
      <c r="G2006" s="12">
        <v>45261</v>
      </c>
      <c r="H2006" s="10" t="str">
        <f>IFERROR(VLOOKUP(Таблицаx_2[[#This Row],[id]],prolongations!A:C,2,)," ")</f>
        <v>декабрь 2023</v>
      </c>
      <c r="I2006" s="10">
        <f>IF(Таблицаx_2[[#This Row],[Месяц окончания]]=Таблицаx_2[[#This Row],[Месяц]],Таблицаx_2[[#This Row],[Значения числа]],0)</f>
        <v>0</v>
      </c>
      <c r="J2006" s="8">
        <f>IF(AND(Таблицаx_2[[#This Row],[Месяц окончания]]=Таблицаx_2[[#This Row],[Месяц]],Таблицаx_2[[#This Row],[id]]=A2007,EDATE(Таблицаx_2[[#This Row],[Месяц]],1)=D2007),F2007,0)</f>
        <v>0</v>
      </c>
      <c r="K2006" s="8">
        <f>IF(AND(Таблицаx_2[[#This Row],[Месяц окончания]]=Таблицаx_2[[#This Row],[Месяц]],Таблицаx_2[[#This Row],[id]]=A2007,EDATE(Таблицаx_2[[#This Row],[Месяц]],2)=D2007),F2007,0)</f>
        <v>0</v>
      </c>
    </row>
    <row r="2007" spans="1:11" ht="12.75" hidden="1" customHeight="1" x14ac:dyDescent="0.2">
      <c r="A2007" s="8">
        <v>879</v>
      </c>
      <c r="B2007" s="8" t="s">
        <v>45</v>
      </c>
      <c r="C2007" s="8" t="s">
        <v>10</v>
      </c>
      <c r="D2007" s="12">
        <v>45200</v>
      </c>
      <c r="E2007" s="8">
        <v>66950</v>
      </c>
      <c r="F2007" s="10">
        <f>IF(ISTEXT(Таблицаx_2[[#This Row],[Значение]]), 0, Таблицаx_2[[#This Row],[Значение]])</f>
        <v>66950</v>
      </c>
      <c r="G2007" s="12">
        <v>45261</v>
      </c>
      <c r="H2007" s="10" t="str">
        <f>IFERROR(VLOOKUP(Таблицаx_2[[#This Row],[id]],prolongations!A:C,2,)," ")</f>
        <v>декабрь 2023</v>
      </c>
      <c r="I2007" s="10">
        <f>IF(Таблицаx_2[[#This Row],[Месяц окончания]]=Таблицаx_2[[#This Row],[Месяц]],Таблицаx_2[[#This Row],[Значения числа]],0)</f>
        <v>0</v>
      </c>
      <c r="J2007" s="8">
        <f>IF(AND(Таблицаx_2[[#This Row],[Месяц окончания]]=Таблицаx_2[[#This Row],[Месяц]],Таблицаx_2[[#This Row],[id]]=A2008,EDATE(Таблицаx_2[[#This Row],[Месяц]],1)=D2008),F2008,0)</f>
        <v>0</v>
      </c>
      <c r="K2007" s="8">
        <f>IF(AND(Таблицаx_2[[#This Row],[Месяц окончания]]=Таблицаx_2[[#This Row],[Месяц]],Таблицаx_2[[#This Row],[id]]=A2008,EDATE(Таблицаx_2[[#This Row],[Месяц]],2)=D2008),F2008,0)</f>
        <v>0</v>
      </c>
    </row>
    <row r="2008" spans="1:11" ht="12.75" hidden="1" customHeight="1" x14ac:dyDescent="0.2">
      <c r="A2008" s="8">
        <v>879</v>
      </c>
      <c r="B2008" s="8" t="s">
        <v>45</v>
      </c>
      <c r="C2008" s="8" t="s">
        <v>10</v>
      </c>
      <c r="D2008" s="12">
        <v>45231</v>
      </c>
      <c r="E2008" s="8">
        <v>66475</v>
      </c>
      <c r="F2008" s="10">
        <f>IF(ISTEXT(Таблицаx_2[[#This Row],[Значение]]), 0, Таблицаx_2[[#This Row],[Значение]])</f>
        <v>66475</v>
      </c>
      <c r="G2008" s="12">
        <v>45261</v>
      </c>
      <c r="H2008" s="10" t="str">
        <f>IFERROR(VLOOKUP(Таблицаx_2[[#This Row],[id]],prolongations!A:C,2,)," ")</f>
        <v>декабрь 2023</v>
      </c>
      <c r="I2008" s="10">
        <f>IF(Таблицаx_2[[#This Row],[Месяц окончания]]=Таблицаx_2[[#This Row],[Месяц]],Таблицаx_2[[#This Row],[Значения числа]],0)</f>
        <v>0</v>
      </c>
      <c r="J2008" s="8">
        <f>IF(AND(Таблицаx_2[[#This Row],[Месяц окончания]]=Таблицаx_2[[#This Row],[Месяц]],Таблицаx_2[[#This Row],[id]]=A2009,EDATE(Таблицаx_2[[#This Row],[Месяц]],1)=D2009),F2009,0)</f>
        <v>0</v>
      </c>
      <c r="K2008" s="8">
        <f>IF(AND(Таблицаx_2[[#This Row],[Месяц окончания]]=Таблицаx_2[[#This Row],[Месяц]],Таблицаx_2[[#This Row],[id]]=A2009,EDATE(Таблицаx_2[[#This Row],[Месяц]],2)=D2009),F2009,0)</f>
        <v>0</v>
      </c>
    </row>
    <row r="2009" spans="1:11" ht="12.75" hidden="1" customHeight="1" x14ac:dyDescent="0.2">
      <c r="A2009" s="8">
        <v>879</v>
      </c>
      <c r="B2009" s="8" t="s">
        <v>45</v>
      </c>
      <c r="C2009" s="8" t="s">
        <v>10</v>
      </c>
      <c r="D2009" s="12">
        <v>45261</v>
      </c>
      <c r="E2009" s="8">
        <v>66950</v>
      </c>
      <c r="F2009" s="10">
        <f>IF(ISTEXT(Таблицаx_2[[#This Row],[Значение]]), 0, Таблицаx_2[[#This Row],[Значение]])</f>
        <v>66950</v>
      </c>
      <c r="G2009" s="12">
        <v>45261</v>
      </c>
      <c r="H2009" s="10" t="str">
        <f>IFERROR(VLOOKUP(Таблицаx_2[[#This Row],[id]],prolongations!A:C,2,)," ")</f>
        <v>декабрь 2023</v>
      </c>
      <c r="I2009" s="10">
        <f>IF(Таблицаx_2[[#This Row],[Месяц окончания]]=Таблицаx_2[[#This Row],[Месяц]],Таблицаx_2[[#This Row],[Значения числа]],0)</f>
        <v>66950</v>
      </c>
      <c r="J2009" s="8">
        <f>IF(AND(Таблицаx_2[[#This Row],[Месяц окончания]]=Таблицаx_2[[#This Row],[Месяц]],Таблицаx_2[[#This Row],[id]]=A2010,EDATE(Таблицаx_2[[#This Row],[Месяц]],1)=D2010),F2010,0)</f>
        <v>0</v>
      </c>
      <c r="K2009" s="8">
        <f>IF(AND(Таблицаx_2[[#This Row],[Месяц окончания]]=Таблицаx_2[[#This Row],[Месяц]],Таблицаx_2[[#This Row],[id]]=A2010,EDATE(Таблицаx_2[[#This Row],[Месяц]],2)=D2010),F2010,0)</f>
        <v>136450</v>
      </c>
    </row>
    <row r="2010" spans="1:11" ht="12.75" hidden="1" customHeight="1" x14ac:dyDescent="0.2">
      <c r="A2010" s="8">
        <v>879</v>
      </c>
      <c r="B2010" s="8" t="s">
        <v>45</v>
      </c>
      <c r="C2010" s="8" t="s">
        <v>10</v>
      </c>
      <c r="D2010" s="12">
        <v>45323</v>
      </c>
      <c r="E2010" s="8">
        <v>136450</v>
      </c>
      <c r="F2010" s="10">
        <f>IF(ISTEXT(Таблицаx_2[[#This Row],[Значение]]), 0, Таблицаx_2[[#This Row],[Значение]])</f>
        <v>136450</v>
      </c>
      <c r="G2010" s="12">
        <v>45261</v>
      </c>
      <c r="H2010" s="10" t="str">
        <f>IFERROR(VLOOKUP(Таблицаx_2[[#This Row],[id]],prolongations!A:C,2,)," ")</f>
        <v>декабрь 2023</v>
      </c>
      <c r="I2010" s="10">
        <f>IF(Таблицаx_2[[#This Row],[Месяц окончания]]=Таблицаx_2[[#This Row],[Месяц]],Таблицаx_2[[#This Row],[Значения числа]],0)</f>
        <v>0</v>
      </c>
      <c r="J2010" s="8">
        <f>IF(AND(Таблицаx_2[[#This Row],[Месяц окончания]]=Таблицаx_2[[#This Row],[Месяц]],Таблицаx_2[[#This Row],[id]]=A2011,EDATE(Таблицаx_2[[#This Row],[Месяц]],1)=D2011),F2011,0)</f>
        <v>0</v>
      </c>
      <c r="K2010" s="8">
        <f>IF(AND(Таблицаx_2[[#This Row],[Месяц окончания]]=Таблицаx_2[[#This Row],[Месяц]],Таблицаx_2[[#This Row],[id]]=A2011,EDATE(Таблицаx_2[[#This Row],[Месяц]],2)=D2011),F2011,0)</f>
        <v>0</v>
      </c>
    </row>
    <row r="2011" spans="1:11" ht="12.75" hidden="1" customHeight="1" x14ac:dyDescent="0.2">
      <c r="A2011" s="8">
        <v>879</v>
      </c>
      <c r="B2011" s="8" t="s">
        <v>50</v>
      </c>
      <c r="C2011" s="8" t="s">
        <v>10</v>
      </c>
      <c r="D2011" s="12">
        <v>45170</v>
      </c>
      <c r="E2011" s="8">
        <v>50950</v>
      </c>
      <c r="F2011" s="10">
        <f>IF(ISTEXT(Таблицаx_2[[#This Row],[Значение]]), 0, Таблицаx_2[[#This Row],[Значение]])</f>
        <v>50950</v>
      </c>
      <c r="G2011" s="12">
        <v>45261</v>
      </c>
      <c r="H2011" s="10" t="str">
        <f>IFERROR(VLOOKUP(Таблицаx_2[[#This Row],[id]],prolongations!A:C,2,)," ")</f>
        <v>декабрь 2023</v>
      </c>
      <c r="I2011" s="10">
        <f>IF(Таблицаx_2[[#This Row],[Месяц окончания]]=Таблицаx_2[[#This Row],[Месяц]],Таблицаx_2[[#This Row],[Значения числа]],0)</f>
        <v>0</v>
      </c>
      <c r="J2011" s="8">
        <f>IF(AND(Таблицаx_2[[#This Row],[Месяц окончания]]=Таблицаx_2[[#This Row],[Месяц]],Таблицаx_2[[#This Row],[id]]=A2012,EDATE(Таблицаx_2[[#This Row],[Месяц]],1)=D2012),F2012,0)</f>
        <v>0</v>
      </c>
      <c r="K2011" s="8">
        <f>IF(AND(Таблицаx_2[[#This Row],[Месяц окончания]]=Таблицаx_2[[#This Row],[Месяц]],Таблицаx_2[[#This Row],[id]]=A2012,EDATE(Таблицаx_2[[#This Row],[Месяц]],2)=D2012),F2012,0)</f>
        <v>0</v>
      </c>
    </row>
    <row r="2012" spans="1:11" ht="12.75" hidden="1" customHeight="1" x14ac:dyDescent="0.2">
      <c r="A2012" s="8">
        <v>879</v>
      </c>
      <c r="B2012" s="8" t="s">
        <v>50</v>
      </c>
      <c r="C2012" s="8" t="s">
        <v>10</v>
      </c>
      <c r="D2012" s="12">
        <v>45200</v>
      </c>
      <c r="E2012" s="8">
        <v>50950</v>
      </c>
      <c r="F2012" s="10">
        <f>IF(ISTEXT(Таблицаx_2[[#This Row],[Значение]]), 0, Таблицаx_2[[#This Row],[Значение]])</f>
        <v>50950</v>
      </c>
      <c r="G2012" s="12">
        <v>45261</v>
      </c>
      <c r="H2012" s="10" t="str">
        <f>IFERROR(VLOOKUP(Таблицаx_2[[#This Row],[id]],prolongations!A:C,2,)," ")</f>
        <v>декабрь 2023</v>
      </c>
      <c r="I2012" s="10">
        <f>IF(Таблицаx_2[[#This Row],[Месяц окончания]]=Таблицаx_2[[#This Row],[Месяц]],Таблицаx_2[[#This Row],[Значения числа]],0)</f>
        <v>0</v>
      </c>
      <c r="J2012" s="8">
        <f>IF(AND(Таблицаx_2[[#This Row],[Месяц окончания]]=Таблицаx_2[[#This Row],[Месяц]],Таблицаx_2[[#This Row],[id]]=A2013,EDATE(Таблицаx_2[[#This Row],[Месяц]],1)=D2013),F2013,0)</f>
        <v>0</v>
      </c>
      <c r="K2012" s="8">
        <f>IF(AND(Таблицаx_2[[#This Row],[Месяц окончания]]=Таблицаx_2[[#This Row],[Месяц]],Таблицаx_2[[#This Row],[id]]=A2013,EDATE(Таблицаx_2[[#This Row],[Месяц]],2)=D2013),F2013,0)</f>
        <v>0</v>
      </c>
    </row>
    <row r="2013" spans="1:11" ht="12.75" hidden="1" customHeight="1" x14ac:dyDescent="0.2">
      <c r="A2013" s="8">
        <v>879</v>
      </c>
      <c r="B2013" s="8" t="s">
        <v>50</v>
      </c>
      <c r="C2013" s="8" t="s">
        <v>10</v>
      </c>
      <c r="D2013" s="12">
        <v>45231</v>
      </c>
      <c r="E2013" s="8">
        <v>50950</v>
      </c>
      <c r="F2013" s="10">
        <f>IF(ISTEXT(Таблицаx_2[[#This Row],[Значение]]), 0, Таблицаx_2[[#This Row],[Значение]])</f>
        <v>50950</v>
      </c>
      <c r="G2013" s="12">
        <v>45261</v>
      </c>
      <c r="H2013" s="10" t="str">
        <f>IFERROR(VLOOKUP(Таблицаx_2[[#This Row],[id]],prolongations!A:C,2,)," ")</f>
        <v>декабрь 2023</v>
      </c>
      <c r="I2013" s="10">
        <f>IF(Таблицаx_2[[#This Row],[Месяц окончания]]=Таблицаx_2[[#This Row],[Месяц]],Таблицаx_2[[#This Row],[Значения числа]],0)</f>
        <v>0</v>
      </c>
      <c r="J2013" s="8">
        <f>IF(AND(Таблицаx_2[[#This Row],[Месяц окончания]]=Таблицаx_2[[#This Row],[Месяц]],Таблицаx_2[[#This Row],[id]]=A2014,EDATE(Таблицаx_2[[#This Row],[Месяц]],1)=D2014),F2014,0)</f>
        <v>0</v>
      </c>
      <c r="K2013" s="8">
        <f>IF(AND(Таблицаx_2[[#This Row],[Месяц окончания]]=Таблицаx_2[[#This Row],[Месяц]],Таблицаx_2[[#This Row],[id]]=A2014,EDATE(Таблицаx_2[[#This Row],[Месяц]],2)=D2014),F2014,0)</f>
        <v>0</v>
      </c>
    </row>
    <row r="2014" spans="1:11" ht="12.75" hidden="1" customHeight="1" x14ac:dyDescent="0.2">
      <c r="A2014" s="8">
        <v>879</v>
      </c>
      <c r="B2014" s="8" t="s">
        <v>50</v>
      </c>
      <c r="C2014" s="8" t="s">
        <v>10</v>
      </c>
      <c r="D2014" s="12">
        <v>45261</v>
      </c>
      <c r="E2014" s="8">
        <v>57950</v>
      </c>
      <c r="F2014" s="10">
        <f>IF(ISTEXT(Таблицаx_2[[#This Row],[Значение]]), 0, Таблицаx_2[[#This Row],[Значение]])</f>
        <v>57950</v>
      </c>
      <c r="G2014" s="12">
        <v>45261</v>
      </c>
      <c r="H2014" s="10" t="str">
        <f>IFERROR(VLOOKUP(Таблицаx_2[[#This Row],[id]],prolongations!A:C,2,)," ")</f>
        <v>декабрь 2023</v>
      </c>
      <c r="I2014" s="10">
        <f>IF(Таблицаx_2[[#This Row],[Месяц окончания]]=Таблицаx_2[[#This Row],[Месяц]],Таблицаx_2[[#This Row],[Значения числа]],0)</f>
        <v>57950</v>
      </c>
      <c r="J2014" s="8">
        <f>IF(AND(Таблицаx_2[[#This Row],[Месяц окончания]]=Таблицаx_2[[#This Row],[Месяц]],Таблицаx_2[[#This Row],[id]]=A2015,EDATE(Таблицаx_2[[#This Row],[Месяц]],1)=D2015),F2015,0)</f>
        <v>0</v>
      </c>
      <c r="K2014" s="8">
        <f>IF(AND(Таблицаx_2[[#This Row],[Месяц окончания]]=Таблицаx_2[[#This Row],[Месяц]],Таблицаx_2[[#This Row],[id]]=A2015,EDATE(Таблицаx_2[[#This Row],[Месяц]],2)=D2015),F2015,0)</f>
        <v>0</v>
      </c>
    </row>
    <row r="2015" spans="1:11" ht="12.75" hidden="1" customHeight="1" x14ac:dyDescent="0.2">
      <c r="A2015" s="8">
        <v>818</v>
      </c>
      <c r="B2015" s="8" t="s">
        <v>52</v>
      </c>
      <c r="C2015" s="8" t="s">
        <v>8</v>
      </c>
      <c r="D2015" s="12">
        <v>45200</v>
      </c>
      <c r="E2015" s="8">
        <v>285830</v>
      </c>
      <c r="F2015" s="10">
        <f>IF(ISTEXT(Таблицаx_2[[#This Row],[Значение]]), 0, Таблицаx_2[[#This Row],[Значение]])</f>
        <v>285830</v>
      </c>
      <c r="G2015" s="12">
        <v>45261</v>
      </c>
      <c r="H2015" s="10" t="str">
        <f>IFERROR(VLOOKUP(Таблицаx_2[[#This Row],[id]],prolongations!A:C,2,)," ")</f>
        <v>декабрь 2023</v>
      </c>
      <c r="I2015" s="10">
        <f>IF(Таблицаx_2[[#This Row],[Месяц окончания]]=Таблицаx_2[[#This Row],[Месяц]],Таблицаx_2[[#This Row],[Значения числа]],0)</f>
        <v>0</v>
      </c>
      <c r="J2015" s="8">
        <f>IF(AND(Таблицаx_2[[#This Row],[Месяц окончания]]=Таблицаx_2[[#This Row],[Месяц]],Таблицаx_2[[#This Row],[id]]=A2016,EDATE(Таблицаx_2[[#This Row],[Месяц]],1)=D2016),F2016,0)</f>
        <v>0</v>
      </c>
      <c r="K2015" s="8">
        <f>IF(AND(Таблицаx_2[[#This Row],[Месяц окончания]]=Таблицаx_2[[#This Row],[Месяц]],Таблицаx_2[[#This Row],[id]]=A2016,EDATE(Таблицаx_2[[#This Row],[Месяц]],2)=D2016),F2016,0)</f>
        <v>0</v>
      </c>
    </row>
    <row r="2016" spans="1:11" ht="12.75" hidden="1" customHeight="1" x14ac:dyDescent="0.2">
      <c r="A2016" s="8">
        <v>818</v>
      </c>
      <c r="B2016" s="8" t="s">
        <v>52</v>
      </c>
      <c r="C2016" s="8" t="s">
        <v>8</v>
      </c>
      <c r="D2016" s="12">
        <v>45231</v>
      </c>
      <c r="E2016" s="8">
        <v>281395</v>
      </c>
      <c r="F2016" s="10">
        <f>IF(ISTEXT(Таблицаx_2[[#This Row],[Значение]]), 0, Таблицаx_2[[#This Row],[Значение]])</f>
        <v>281395</v>
      </c>
      <c r="G2016" s="12">
        <v>45261</v>
      </c>
      <c r="H2016" s="10" t="str">
        <f>IFERROR(VLOOKUP(Таблицаx_2[[#This Row],[id]],prolongations!A:C,2,)," ")</f>
        <v>декабрь 2023</v>
      </c>
      <c r="I2016" s="10">
        <f>IF(Таблицаx_2[[#This Row],[Месяц окончания]]=Таблицаx_2[[#This Row],[Месяц]],Таблицаx_2[[#This Row],[Значения числа]],0)</f>
        <v>0</v>
      </c>
      <c r="J2016" s="8">
        <f>IF(AND(Таблицаx_2[[#This Row],[Месяц окончания]]=Таблицаx_2[[#This Row],[Месяц]],Таблицаx_2[[#This Row],[id]]=A2017,EDATE(Таблицаx_2[[#This Row],[Месяц]],1)=D2017),F2017,0)</f>
        <v>0</v>
      </c>
      <c r="K2016" s="8">
        <f>IF(AND(Таблицаx_2[[#This Row],[Месяц окончания]]=Таблицаx_2[[#This Row],[Месяц]],Таблицаx_2[[#This Row],[id]]=A2017,EDATE(Таблицаx_2[[#This Row],[Месяц]],2)=D2017),F2017,0)</f>
        <v>0</v>
      </c>
    </row>
    <row r="2017" spans="1:11" ht="12.75" hidden="1" customHeight="1" x14ac:dyDescent="0.2">
      <c r="A2017" s="8">
        <v>818</v>
      </c>
      <c r="B2017" s="8" t="s">
        <v>52</v>
      </c>
      <c r="C2017" s="8" t="s">
        <v>8</v>
      </c>
      <c r="D2017" s="12">
        <v>45261</v>
      </c>
      <c r="E2017" s="8">
        <v>282170</v>
      </c>
      <c r="F2017" s="10">
        <f>IF(ISTEXT(Таблицаx_2[[#This Row],[Значение]]), 0, Таблицаx_2[[#This Row],[Значение]])</f>
        <v>282170</v>
      </c>
      <c r="G2017" s="12">
        <v>45261</v>
      </c>
      <c r="H2017" s="10" t="str">
        <f>IFERROR(VLOOKUP(Таблицаx_2[[#This Row],[id]],prolongations!A:C,2,)," ")</f>
        <v>декабрь 2023</v>
      </c>
      <c r="I2017" s="10">
        <f>IF(Таблицаx_2[[#This Row],[Месяц окончания]]=Таблицаx_2[[#This Row],[Месяц]],Таблицаx_2[[#This Row],[Значения числа]],0)</f>
        <v>282170</v>
      </c>
      <c r="J2017" s="8">
        <f>IF(AND(Таблицаx_2[[#This Row],[Месяц окончания]]=Таблицаx_2[[#This Row],[Месяц]],Таблицаx_2[[#This Row],[id]]=A2018,EDATE(Таблицаx_2[[#This Row],[Месяц]],1)=D2018),F2018,0)</f>
        <v>97525</v>
      </c>
      <c r="K2017" s="8">
        <f>IF(AND(Таблицаx_2[[#This Row],[Месяц окончания]]=Таблицаx_2[[#This Row],[Месяц]],Таблицаx_2[[#This Row],[id]]=A2018,EDATE(Таблицаx_2[[#This Row],[Месяц]],2)=D2018),F2018,0)</f>
        <v>0</v>
      </c>
    </row>
    <row r="2018" spans="1:11" ht="12.75" hidden="1" customHeight="1" x14ac:dyDescent="0.2">
      <c r="A2018" s="8">
        <v>818</v>
      </c>
      <c r="B2018" s="8" t="s">
        <v>52</v>
      </c>
      <c r="C2018" s="8" t="s">
        <v>8</v>
      </c>
      <c r="D2018" s="12">
        <v>45292</v>
      </c>
      <c r="E2018" s="8">
        <v>97525</v>
      </c>
      <c r="F2018" s="10">
        <f>IF(ISTEXT(Таблицаx_2[[#This Row],[Значение]]), 0, Таблицаx_2[[#This Row],[Значение]])</f>
        <v>97525</v>
      </c>
      <c r="G2018" s="12">
        <v>45261</v>
      </c>
      <c r="H2018" s="10" t="str">
        <f>IFERROR(VLOOKUP(Таблицаx_2[[#This Row],[id]],prolongations!A:C,2,)," ")</f>
        <v>декабрь 2023</v>
      </c>
      <c r="I2018" s="10">
        <f>IF(Таблицаx_2[[#This Row],[Месяц окончания]]=Таблицаx_2[[#This Row],[Месяц]],Таблицаx_2[[#This Row],[Значения числа]],0)</f>
        <v>0</v>
      </c>
      <c r="J2018" s="8">
        <f>IF(AND(Таблицаx_2[[#This Row],[Месяц окончания]]=Таблицаx_2[[#This Row],[Месяц]],Таблицаx_2[[#This Row],[id]]=A2019,EDATE(Таблицаx_2[[#This Row],[Месяц]],1)=D2019),F2019,0)</f>
        <v>0</v>
      </c>
      <c r="K2018" s="8">
        <f>IF(AND(Таблицаx_2[[#This Row],[Месяц окончания]]=Таблицаx_2[[#This Row],[Месяц]],Таблицаx_2[[#This Row],[id]]=A2019,EDATE(Таблицаx_2[[#This Row],[Месяц]],2)=D2019),F2019,0)</f>
        <v>0</v>
      </c>
    </row>
    <row r="2019" spans="1:11" ht="12.75" hidden="1" customHeight="1" x14ac:dyDescent="0.2">
      <c r="A2019" s="8">
        <v>818</v>
      </c>
      <c r="B2019" s="8" t="s">
        <v>52</v>
      </c>
      <c r="C2019" s="8" t="s">
        <v>8</v>
      </c>
      <c r="D2019" s="12">
        <v>45323</v>
      </c>
      <c r="E2019" s="8">
        <v>103945</v>
      </c>
      <c r="F2019" s="10">
        <f>IF(ISTEXT(Таблицаx_2[[#This Row],[Значение]]), 0, Таблицаx_2[[#This Row],[Значение]])</f>
        <v>103945</v>
      </c>
      <c r="G2019" s="12">
        <v>45261</v>
      </c>
      <c r="H2019" s="10" t="str">
        <f>IFERROR(VLOOKUP(Таблицаx_2[[#This Row],[id]],prolongations!A:C,2,)," ")</f>
        <v>декабрь 2023</v>
      </c>
      <c r="I2019" s="10">
        <f>IF(Таблицаx_2[[#This Row],[Месяц окончания]]=Таблицаx_2[[#This Row],[Месяц]],Таблицаx_2[[#This Row],[Значения числа]],0)</f>
        <v>0</v>
      </c>
      <c r="J2019" s="8">
        <f>IF(AND(Таблицаx_2[[#This Row],[Месяц окончания]]=Таблицаx_2[[#This Row],[Месяц]],Таблицаx_2[[#This Row],[id]]=A2020,EDATE(Таблицаx_2[[#This Row],[Месяц]],1)=D2020),F2020,0)</f>
        <v>0</v>
      </c>
      <c r="K2019" s="8">
        <f>IF(AND(Таблицаx_2[[#This Row],[Месяц окончания]]=Таблицаx_2[[#This Row],[Месяц]],Таблицаx_2[[#This Row],[id]]=A2020,EDATE(Таблицаx_2[[#This Row],[Месяц]],2)=D2020),F2020,0)</f>
        <v>0</v>
      </c>
    </row>
    <row r="2020" spans="1:11" ht="12.75" hidden="1" customHeight="1" x14ac:dyDescent="0.2">
      <c r="A2020" s="8">
        <v>818</v>
      </c>
      <c r="B2020" s="8" t="s">
        <v>50</v>
      </c>
      <c r="C2020" s="8" t="s">
        <v>8</v>
      </c>
      <c r="D2020" s="12">
        <v>45200</v>
      </c>
      <c r="E2020" s="8" t="s">
        <v>48</v>
      </c>
      <c r="F2020" s="10">
        <f>IF(ISTEXT(Таблицаx_2[[#This Row],[Значение]]), 0, Таблицаx_2[[#This Row],[Значение]])</f>
        <v>0</v>
      </c>
      <c r="G2020" s="12">
        <v>45261</v>
      </c>
      <c r="H2020" s="10" t="str">
        <f>IFERROR(VLOOKUP(Таблицаx_2[[#This Row],[id]],prolongations!A:C,2,)," ")</f>
        <v>декабрь 2023</v>
      </c>
      <c r="I2020" s="10">
        <f>IF(Таблицаx_2[[#This Row],[Месяц окончания]]=Таблицаx_2[[#This Row],[Месяц]],Таблицаx_2[[#This Row],[Значения числа]],0)</f>
        <v>0</v>
      </c>
      <c r="J2020" s="8">
        <f>IF(AND(Таблицаx_2[[#This Row],[Месяц окончания]]=Таблицаx_2[[#This Row],[Месяц]],Таблицаx_2[[#This Row],[id]]=A2021,EDATE(Таблицаx_2[[#This Row],[Месяц]],1)=D2021),F2021,0)</f>
        <v>0</v>
      </c>
      <c r="K2020" s="8">
        <f>IF(AND(Таблицаx_2[[#This Row],[Месяц окончания]]=Таблицаx_2[[#This Row],[Месяц]],Таблицаx_2[[#This Row],[id]]=A2021,EDATE(Таблицаx_2[[#This Row],[Месяц]],2)=D2021),F2021,0)</f>
        <v>0</v>
      </c>
    </row>
    <row r="2021" spans="1:11" ht="12.75" hidden="1" customHeight="1" x14ac:dyDescent="0.2">
      <c r="A2021" s="8">
        <v>818</v>
      </c>
      <c r="B2021" s="8" t="s">
        <v>50</v>
      </c>
      <c r="C2021" s="8" t="s">
        <v>8</v>
      </c>
      <c r="D2021" s="12">
        <v>45231</v>
      </c>
      <c r="E2021" s="8">
        <v>36851.67</v>
      </c>
      <c r="F2021" s="10">
        <f>IF(ISTEXT(Таблицаx_2[[#This Row],[Значение]]), 0, Таблицаx_2[[#This Row],[Значение]])</f>
        <v>36851.67</v>
      </c>
      <c r="G2021" s="12">
        <v>45261</v>
      </c>
      <c r="H2021" s="10" t="str">
        <f>IFERROR(VLOOKUP(Таблицаx_2[[#This Row],[id]],prolongations!A:C,2,)," ")</f>
        <v>декабрь 2023</v>
      </c>
      <c r="I2021" s="10">
        <f>IF(Таблицаx_2[[#This Row],[Месяц окончания]]=Таблицаx_2[[#This Row],[Месяц]],Таблицаx_2[[#This Row],[Значения числа]],0)</f>
        <v>0</v>
      </c>
      <c r="J2021" s="8">
        <f>IF(AND(Таблицаx_2[[#This Row],[Месяц окончания]]=Таблицаx_2[[#This Row],[Месяц]],Таблицаx_2[[#This Row],[id]]=A2022,EDATE(Таблицаx_2[[#This Row],[Месяц]],1)=D2022),F2022,0)</f>
        <v>0</v>
      </c>
      <c r="K2021" s="8">
        <f>IF(AND(Таблицаx_2[[#This Row],[Месяц окончания]]=Таблицаx_2[[#This Row],[Месяц]],Таблицаx_2[[#This Row],[id]]=A2022,EDATE(Таблицаx_2[[#This Row],[Месяц]],2)=D2022),F2022,0)</f>
        <v>0</v>
      </c>
    </row>
    <row r="2022" spans="1:11" ht="12.75" hidden="1" customHeight="1" x14ac:dyDescent="0.2">
      <c r="A2022" s="8">
        <v>818</v>
      </c>
      <c r="B2022" s="8" t="s">
        <v>50</v>
      </c>
      <c r="C2022" s="8" t="s">
        <v>8</v>
      </c>
      <c r="D2022" s="12">
        <v>45261</v>
      </c>
      <c r="E2022" s="8">
        <v>12537.6</v>
      </c>
      <c r="F2022" s="10">
        <f>IF(ISTEXT(Таблицаx_2[[#This Row],[Значение]]), 0, Таблицаx_2[[#This Row],[Значение]])</f>
        <v>12537.6</v>
      </c>
      <c r="G2022" s="12">
        <v>45261</v>
      </c>
      <c r="H2022" s="10" t="str">
        <f>IFERROR(VLOOKUP(Таблицаx_2[[#This Row],[id]],prolongations!A:C,2,)," ")</f>
        <v>декабрь 2023</v>
      </c>
      <c r="I2022" s="10">
        <f>IF(Таблицаx_2[[#This Row],[Месяц окончания]]=Таблицаx_2[[#This Row],[Месяц]],Таблицаx_2[[#This Row],[Значения числа]],0)</f>
        <v>12537.6</v>
      </c>
      <c r="J2022" s="8">
        <f>IF(AND(Таблицаx_2[[#This Row],[Месяц окончания]]=Таблицаx_2[[#This Row],[Месяц]],Таблицаx_2[[#This Row],[id]]=A2023,EDATE(Таблицаx_2[[#This Row],[Месяц]],1)=D2023),F2023,0)</f>
        <v>0</v>
      </c>
      <c r="K2022" s="8">
        <f>IF(AND(Таблицаx_2[[#This Row],[Месяц окончания]]=Таблицаx_2[[#This Row],[Месяц]],Таблицаx_2[[#This Row],[id]]=A2023,EDATE(Таблицаx_2[[#This Row],[Месяц]],2)=D2023),F2023,0)</f>
        <v>0</v>
      </c>
    </row>
    <row r="2023" spans="1:11" ht="12.75" hidden="1" customHeight="1" x14ac:dyDescent="0.2">
      <c r="A2023" s="8">
        <v>818</v>
      </c>
      <c r="B2023" s="8" t="s">
        <v>50</v>
      </c>
      <c r="C2023" s="8" t="s">
        <v>8</v>
      </c>
      <c r="D2023" s="12">
        <v>45292</v>
      </c>
      <c r="E2023" s="8" t="s">
        <v>48</v>
      </c>
      <c r="F2023" s="10">
        <f>IF(ISTEXT(Таблицаx_2[[#This Row],[Значение]]), 0, Таблицаx_2[[#This Row],[Значение]])</f>
        <v>0</v>
      </c>
      <c r="G2023" s="12">
        <v>45261</v>
      </c>
      <c r="H2023" s="10" t="str">
        <f>IFERROR(VLOOKUP(Таблицаx_2[[#This Row],[id]],prolongations!A:C,2,)," ")</f>
        <v>декабрь 2023</v>
      </c>
      <c r="I2023" s="10">
        <f>IF(Таблицаx_2[[#This Row],[Месяц окончания]]=Таблицаx_2[[#This Row],[Месяц]],Таблицаx_2[[#This Row],[Значения числа]],0)</f>
        <v>0</v>
      </c>
      <c r="J2023" s="8">
        <f>IF(AND(Таблицаx_2[[#This Row],[Месяц окончания]]=Таблицаx_2[[#This Row],[Месяц]],Таблицаx_2[[#This Row],[id]]=A2024,EDATE(Таблицаx_2[[#This Row],[Месяц]],1)=D2024),F2024,0)</f>
        <v>0</v>
      </c>
      <c r="K2023" s="8">
        <f>IF(AND(Таблицаx_2[[#This Row],[Месяц окончания]]=Таблицаx_2[[#This Row],[Месяц]],Таблицаx_2[[#This Row],[id]]=A2024,EDATE(Таблицаx_2[[#This Row],[Месяц]],2)=D2024),F2024,0)</f>
        <v>0</v>
      </c>
    </row>
    <row r="2024" spans="1:11" ht="12.75" hidden="1" customHeight="1" x14ac:dyDescent="0.2">
      <c r="A2024" s="8">
        <v>818</v>
      </c>
      <c r="B2024" s="8" t="s">
        <v>50</v>
      </c>
      <c r="C2024" s="8" t="s">
        <v>8</v>
      </c>
      <c r="D2024" s="12">
        <v>45323</v>
      </c>
      <c r="E2024" s="8">
        <v>5511.7</v>
      </c>
      <c r="F2024" s="10">
        <f>IF(ISTEXT(Таблицаx_2[[#This Row],[Значение]]), 0, Таблицаx_2[[#This Row],[Значение]])</f>
        <v>5511.7</v>
      </c>
      <c r="G2024" s="12">
        <v>45261</v>
      </c>
      <c r="H2024" s="10" t="str">
        <f>IFERROR(VLOOKUP(Таблицаx_2[[#This Row],[id]],prolongations!A:C,2,)," ")</f>
        <v>декабрь 2023</v>
      </c>
      <c r="I2024" s="10">
        <f>IF(Таблицаx_2[[#This Row],[Месяц окончания]]=Таблицаx_2[[#This Row],[Месяц]],Таблицаx_2[[#This Row],[Значения числа]],0)</f>
        <v>0</v>
      </c>
      <c r="J2024" s="8">
        <f>IF(AND(Таблицаx_2[[#This Row],[Месяц окончания]]=Таблицаx_2[[#This Row],[Месяц]],Таблицаx_2[[#This Row],[id]]=A2025,EDATE(Таблицаx_2[[#This Row],[Месяц]],1)=D2025),F2025,0)</f>
        <v>0</v>
      </c>
      <c r="K2024" s="8">
        <f>IF(AND(Таблицаx_2[[#This Row],[Месяц окончания]]=Таблицаx_2[[#This Row],[Месяц]],Таблицаx_2[[#This Row],[id]]=A2025,EDATE(Таблицаx_2[[#This Row],[Месяц]],2)=D2025),F2025,0)</f>
        <v>0</v>
      </c>
    </row>
    <row r="2025" spans="1:11" ht="12.75" hidden="1" customHeight="1" x14ac:dyDescent="0.2">
      <c r="A2025" s="8">
        <v>154</v>
      </c>
      <c r="B2025" s="8" t="s">
        <v>52</v>
      </c>
      <c r="C2025" s="8" t="s">
        <v>6</v>
      </c>
      <c r="D2025" s="12">
        <v>44866</v>
      </c>
      <c r="E2025" s="8">
        <v>57545</v>
      </c>
      <c r="F2025" s="10">
        <f>IF(ISTEXT(Таблицаx_2[[#This Row],[Значение]]), 0, Таблицаx_2[[#This Row],[Значение]])</f>
        <v>57545</v>
      </c>
      <c r="G2025" s="12">
        <v>44896</v>
      </c>
      <c r="H2025" s="10" t="str">
        <f>IFERROR(VLOOKUP(Таблицаx_2[[#This Row],[id]],prolongations!A:C,2,)," ")</f>
        <v>декабрь 2022</v>
      </c>
      <c r="I2025" s="10">
        <f>IF(Таблицаx_2[[#This Row],[Месяц окончания]]=Таблицаx_2[[#This Row],[Месяц]],Таблицаx_2[[#This Row],[Значения числа]],0)</f>
        <v>0</v>
      </c>
      <c r="J2025" s="8">
        <f>IF(AND(Таблицаx_2[[#This Row],[Месяц окончания]]=Таблицаx_2[[#This Row],[Месяц]],Таблицаx_2[[#This Row],[id]]=A2026,EDATE(Таблицаx_2[[#This Row],[Месяц]],1)=D2026),F2026,0)</f>
        <v>0</v>
      </c>
      <c r="K2025" s="8">
        <f>IF(AND(Таблицаx_2[[#This Row],[Месяц окончания]]=Таблицаx_2[[#This Row],[Месяц]],Таблицаx_2[[#This Row],[id]]=A2026,EDATE(Таблицаx_2[[#This Row],[Месяц]],2)=D2026),F2026,0)</f>
        <v>0</v>
      </c>
    </row>
    <row r="2026" spans="1:11" hidden="1" x14ac:dyDescent="0.2">
      <c r="A2026" s="8">
        <v>154</v>
      </c>
      <c r="B2026" s="8" t="s">
        <v>52</v>
      </c>
      <c r="C2026" s="8" t="s">
        <v>6</v>
      </c>
      <c r="D2026" s="12">
        <v>44896</v>
      </c>
      <c r="E2026" s="8">
        <v>57545</v>
      </c>
      <c r="F2026" s="10">
        <f>IF(ISTEXT(Таблицаx_2[[#This Row],[Значение]]), 0, Таблицаx_2[[#This Row],[Значение]])</f>
        <v>57545</v>
      </c>
      <c r="G2026" s="12">
        <v>44896</v>
      </c>
      <c r="H2026" s="10" t="str">
        <f>IFERROR(VLOOKUP(Таблицаx_2[[#This Row],[id]],prolongations!A:C,2,)," ")</f>
        <v>декабрь 2022</v>
      </c>
      <c r="I2026" s="10">
        <f>IF(Таблицаx_2[[#This Row],[Месяц окончания]]=Таблицаx_2[[#This Row],[Месяц]],Таблицаx_2[[#This Row],[Значения числа]],0)</f>
        <v>57545</v>
      </c>
      <c r="J2026" s="8">
        <f>IF(AND(Таблицаx_2[[#This Row],[Месяц окончания]]=Таблицаx_2[[#This Row],[Месяц]],Таблицаx_2[[#This Row],[id]]=A2027,EDATE(Таблицаx_2[[#This Row],[Месяц]],1)=D2027),F2027,0)</f>
        <v>57545</v>
      </c>
      <c r="K2026" s="8">
        <f>IF(AND(Таблицаx_2[[#This Row],[Месяц окончания]]=Таблицаx_2[[#This Row],[Месяц]],Таблицаx_2[[#This Row],[id]]=A2027,EDATE(Таблицаx_2[[#This Row],[Месяц]],2)=D2027),F2027,0)</f>
        <v>0</v>
      </c>
    </row>
    <row r="2027" spans="1:11" ht="12.75" hidden="1" customHeight="1" x14ac:dyDescent="0.2">
      <c r="A2027" s="8">
        <v>154</v>
      </c>
      <c r="B2027" s="8" t="s">
        <v>52</v>
      </c>
      <c r="C2027" s="8" t="s">
        <v>6</v>
      </c>
      <c r="D2027" s="12">
        <v>44927</v>
      </c>
      <c r="E2027" s="8">
        <v>57545</v>
      </c>
      <c r="F2027" s="10">
        <f>IF(ISTEXT(Таблицаx_2[[#This Row],[Значение]]), 0, Таблицаx_2[[#This Row],[Значение]])</f>
        <v>57545</v>
      </c>
      <c r="G2027" s="12">
        <v>44896</v>
      </c>
      <c r="H2027" s="10" t="str">
        <f>IFERROR(VLOOKUP(Таблицаx_2[[#This Row],[id]],prolongations!A:C,2,)," ")</f>
        <v>декабрь 2022</v>
      </c>
      <c r="I2027" s="10">
        <f>IF(Таблицаx_2[[#This Row],[Месяц окончания]]=Таблицаx_2[[#This Row],[Месяц]],Таблицаx_2[[#This Row],[Значения числа]],0)</f>
        <v>0</v>
      </c>
      <c r="J2027" s="8">
        <f>IF(AND(Таблицаx_2[[#This Row],[Месяц окончания]]=Таблицаx_2[[#This Row],[Месяц]],Таблицаx_2[[#This Row],[id]]=A2028,EDATE(Таблицаx_2[[#This Row],[Месяц]],1)=D2028),F2028,0)</f>
        <v>0</v>
      </c>
      <c r="K2027" s="8">
        <f>IF(AND(Таблицаx_2[[#This Row],[Месяц окончания]]=Таблицаx_2[[#This Row],[Месяц]],Таблицаx_2[[#This Row],[id]]=A2028,EDATE(Таблицаx_2[[#This Row],[Месяц]],2)=D2028),F2028,0)</f>
        <v>0</v>
      </c>
    </row>
    <row r="2028" spans="1:11" ht="12.75" hidden="1" customHeight="1" x14ac:dyDescent="0.2">
      <c r="A2028" s="8">
        <v>154</v>
      </c>
      <c r="B2028" s="8" t="s">
        <v>52</v>
      </c>
      <c r="C2028" s="8" t="s">
        <v>6</v>
      </c>
      <c r="D2028" s="12">
        <v>44958</v>
      </c>
      <c r="E2028" s="8">
        <v>57545</v>
      </c>
      <c r="F2028" s="10">
        <f>IF(ISTEXT(Таблицаx_2[[#This Row],[Значение]]), 0, Таблицаx_2[[#This Row],[Значение]])</f>
        <v>57545</v>
      </c>
      <c r="G2028" s="12">
        <v>44896</v>
      </c>
      <c r="H2028" s="10" t="str">
        <f>IFERROR(VLOOKUP(Таблицаx_2[[#This Row],[id]],prolongations!A:C,2,)," ")</f>
        <v>декабрь 2022</v>
      </c>
      <c r="I2028" s="10">
        <f>IF(Таблицаx_2[[#This Row],[Месяц окончания]]=Таблицаx_2[[#This Row],[Месяц]],Таблицаx_2[[#This Row],[Значения числа]],0)</f>
        <v>0</v>
      </c>
      <c r="J2028" s="8">
        <f>IF(AND(Таблицаx_2[[#This Row],[Месяц окончания]]=Таблицаx_2[[#This Row],[Месяц]],Таблицаx_2[[#This Row],[id]]=A2029,EDATE(Таблицаx_2[[#This Row],[Месяц]],1)=D2029),F2029,0)</f>
        <v>0</v>
      </c>
      <c r="K2028" s="8">
        <f>IF(AND(Таблицаx_2[[#This Row],[Месяц окончания]]=Таблицаx_2[[#This Row],[Месяц]],Таблицаx_2[[#This Row],[id]]=A2029,EDATE(Таблицаx_2[[#This Row],[Месяц]],2)=D2029),F2029,0)</f>
        <v>0</v>
      </c>
    </row>
    <row r="2029" spans="1:11" ht="12.75" hidden="1" customHeight="1" x14ac:dyDescent="0.2">
      <c r="A2029" s="8">
        <v>154</v>
      </c>
      <c r="B2029" s="8" t="s">
        <v>52</v>
      </c>
      <c r="C2029" s="8" t="s">
        <v>6</v>
      </c>
      <c r="D2029" s="12">
        <v>44986</v>
      </c>
      <c r="E2029" s="8">
        <v>57545</v>
      </c>
      <c r="F2029" s="10">
        <f>IF(ISTEXT(Таблицаx_2[[#This Row],[Значение]]), 0, Таблицаx_2[[#This Row],[Значение]])</f>
        <v>57545</v>
      </c>
      <c r="G2029" s="12">
        <v>44896</v>
      </c>
      <c r="H2029" s="10" t="str">
        <f>IFERROR(VLOOKUP(Таблицаx_2[[#This Row],[id]],prolongations!A:C,2,)," ")</f>
        <v>декабрь 2022</v>
      </c>
      <c r="I2029" s="10">
        <f>IF(Таблицаx_2[[#This Row],[Месяц окончания]]=Таблицаx_2[[#This Row],[Месяц]],Таблицаx_2[[#This Row],[Значения числа]],0)</f>
        <v>0</v>
      </c>
      <c r="J2029" s="8">
        <f>IF(AND(Таблицаx_2[[#This Row],[Месяц окончания]]=Таблицаx_2[[#This Row],[Месяц]],Таблицаx_2[[#This Row],[id]]=A2030,EDATE(Таблицаx_2[[#This Row],[Месяц]],1)=D2030),F2030,0)</f>
        <v>0</v>
      </c>
      <c r="K2029" s="8">
        <f>IF(AND(Таблицаx_2[[#This Row],[Месяц окончания]]=Таблицаx_2[[#This Row],[Месяц]],Таблицаx_2[[#This Row],[id]]=A2030,EDATE(Таблицаx_2[[#This Row],[Месяц]],2)=D2030),F2030,0)</f>
        <v>0</v>
      </c>
    </row>
    <row r="2030" spans="1:11" ht="12.75" hidden="1" customHeight="1" x14ac:dyDescent="0.2">
      <c r="A2030" s="8">
        <v>154</v>
      </c>
      <c r="B2030" s="8" t="s">
        <v>52</v>
      </c>
      <c r="C2030" s="8" t="s">
        <v>6</v>
      </c>
      <c r="D2030" s="12">
        <v>45017</v>
      </c>
      <c r="E2030" s="8">
        <v>57545</v>
      </c>
      <c r="F2030" s="10">
        <f>IF(ISTEXT(Таблицаx_2[[#This Row],[Значение]]), 0, Таблицаx_2[[#This Row],[Значение]])</f>
        <v>57545</v>
      </c>
      <c r="G2030" s="12">
        <v>44896</v>
      </c>
      <c r="H2030" s="10" t="str">
        <f>IFERROR(VLOOKUP(Таблицаx_2[[#This Row],[id]],prolongations!A:C,2,)," ")</f>
        <v>декабрь 2022</v>
      </c>
      <c r="I2030" s="10">
        <f>IF(Таблицаx_2[[#This Row],[Месяц окончания]]=Таблицаx_2[[#This Row],[Месяц]],Таблицаx_2[[#This Row],[Значения числа]],0)</f>
        <v>0</v>
      </c>
      <c r="J2030" s="8">
        <f>IF(AND(Таблицаx_2[[#This Row],[Месяц окончания]]=Таблицаx_2[[#This Row],[Месяц]],Таблицаx_2[[#This Row],[id]]=A2031,EDATE(Таблицаx_2[[#This Row],[Месяц]],1)=D2031),F2031,0)</f>
        <v>0</v>
      </c>
      <c r="K2030" s="8">
        <f>IF(AND(Таблицаx_2[[#This Row],[Месяц окончания]]=Таблицаx_2[[#This Row],[Месяц]],Таблицаx_2[[#This Row],[id]]=A2031,EDATE(Таблицаx_2[[#This Row],[Месяц]],2)=D2031),F2031,0)</f>
        <v>0</v>
      </c>
    </row>
    <row r="2031" spans="1:11" ht="12.75" hidden="1" customHeight="1" x14ac:dyDescent="0.2">
      <c r="A2031" s="8">
        <v>154</v>
      </c>
      <c r="B2031" s="8" t="s">
        <v>52</v>
      </c>
      <c r="C2031" s="8" t="s">
        <v>6</v>
      </c>
      <c r="D2031" s="12">
        <v>45047</v>
      </c>
      <c r="E2031" s="8">
        <v>57545</v>
      </c>
      <c r="F2031" s="10">
        <f>IF(ISTEXT(Таблицаx_2[[#This Row],[Значение]]), 0, Таблицаx_2[[#This Row],[Значение]])</f>
        <v>57545</v>
      </c>
      <c r="G2031" s="12">
        <v>44896</v>
      </c>
      <c r="H2031" s="10" t="str">
        <f>IFERROR(VLOOKUP(Таблицаx_2[[#This Row],[id]],prolongations!A:C,2,)," ")</f>
        <v>декабрь 2022</v>
      </c>
      <c r="I2031" s="10">
        <f>IF(Таблицаx_2[[#This Row],[Месяц окончания]]=Таблицаx_2[[#This Row],[Месяц]],Таблицаx_2[[#This Row],[Значения числа]],0)</f>
        <v>0</v>
      </c>
      <c r="J2031" s="8">
        <f>IF(AND(Таблицаx_2[[#This Row],[Месяц окончания]]=Таблицаx_2[[#This Row],[Месяц]],Таблицаx_2[[#This Row],[id]]=A2032,EDATE(Таблицаx_2[[#This Row],[Месяц]],1)=D2032),F2032,0)</f>
        <v>0</v>
      </c>
      <c r="K2031" s="8">
        <f>IF(AND(Таблицаx_2[[#This Row],[Месяц окончания]]=Таблицаx_2[[#This Row],[Месяц]],Таблицаx_2[[#This Row],[id]]=A2032,EDATE(Таблицаx_2[[#This Row],[Месяц]],2)=D2032),F2032,0)</f>
        <v>0</v>
      </c>
    </row>
    <row r="2032" spans="1:11" ht="12.75" hidden="1" customHeight="1" x14ac:dyDescent="0.2">
      <c r="A2032" s="8">
        <v>154</v>
      </c>
      <c r="B2032" s="8" t="s">
        <v>52</v>
      </c>
      <c r="C2032" s="8" t="s">
        <v>6</v>
      </c>
      <c r="D2032" s="12">
        <v>45078</v>
      </c>
      <c r="E2032" s="8">
        <v>57545</v>
      </c>
      <c r="F2032" s="10">
        <f>IF(ISTEXT(Таблицаx_2[[#This Row],[Значение]]), 0, Таблицаx_2[[#This Row],[Значение]])</f>
        <v>57545</v>
      </c>
      <c r="G2032" s="12">
        <v>44896</v>
      </c>
      <c r="H2032" s="10" t="str">
        <f>IFERROR(VLOOKUP(Таблицаx_2[[#This Row],[id]],prolongations!A:C,2,)," ")</f>
        <v>декабрь 2022</v>
      </c>
      <c r="I2032" s="10">
        <f>IF(Таблицаx_2[[#This Row],[Месяц окончания]]=Таблицаx_2[[#This Row],[Месяц]],Таблицаx_2[[#This Row],[Значения числа]],0)</f>
        <v>0</v>
      </c>
      <c r="J2032" s="8">
        <f>IF(AND(Таблицаx_2[[#This Row],[Месяц окончания]]=Таблицаx_2[[#This Row],[Месяц]],Таблицаx_2[[#This Row],[id]]=A2033,EDATE(Таблицаx_2[[#This Row],[Месяц]],1)=D2033),F2033,0)</f>
        <v>0</v>
      </c>
      <c r="K2032" s="8">
        <f>IF(AND(Таблицаx_2[[#This Row],[Месяц окончания]]=Таблицаx_2[[#This Row],[Месяц]],Таблицаx_2[[#This Row],[id]]=A2033,EDATE(Таблицаx_2[[#This Row],[Месяц]],2)=D2033),F2033,0)</f>
        <v>0</v>
      </c>
    </row>
    <row r="2033" spans="1:11" ht="12.75" hidden="1" customHeight="1" x14ac:dyDescent="0.2">
      <c r="A2033" s="8">
        <v>154</v>
      </c>
      <c r="B2033" s="8" t="s">
        <v>52</v>
      </c>
      <c r="C2033" s="8" t="s">
        <v>6</v>
      </c>
      <c r="D2033" s="12">
        <v>45108</v>
      </c>
      <c r="E2033" s="8">
        <v>57545</v>
      </c>
      <c r="F2033" s="10">
        <f>IF(ISTEXT(Таблицаx_2[[#This Row],[Значение]]), 0, Таблицаx_2[[#This Row],[Значение]])</f>
        <v>57545</v>
      </c>
      <c r="G2033" s="12">
        <v>44896</v>
      </c>
      <c r="H2033" s="10" t="str">
        <f>IFERROR(VLOOKUP(Таблицаx_2[[#This Row],[id]],prolongations!A:C,2,)," ")</f>
        <v>декабрь 2022</v>
      </c>
      <c r="I2033" s="10">
        <f>IF(Таблицаx_2[[#This Row],[Месяц окончания]]=Таблицаx_2[[#This Row],[Месяц]],Таблицаx_2[[#This Row],[Значения числа]],0)</f>
        <v>0</v>
      </c>
      <c r="J2033" s="8">
        <f>IF(AND(Таблицаx_2[[#This Row],[Месяц окончания]]=Таблицаx_2[[#This Row],[Месяц]],Таблицаx_2[[#This Row],[id]]=A2034,EDATE(Таблицаx_2[[#This Row],[Месяц]],1)=D2034),F2034,0)</f>
        <v>0</v>
      </c>
      <c r="K2033" s="8">
        <f>IF(AND(Таблицаx_2[[#This Row],[Месяц окончания]]=Таблицаx_2[[#This Row],[Месяц]],Таблицаx_2[[#This Row],[id]]=A2034,EDATE(Таблицаx_2[[#This Row],[Месяц]],2)=D2034),F2034,0)</f>
        <v>0</v>
      </c>
    </row>
    <row r="2034" spans="1:11" ht="12.75" hidden="1" customHeight="1" x14ac:dyDescent="0.2">
      <c r="A2034" s="8">
        <v>154</v>
      </c>
      <c r="B2034" s="8" t="s">
        <v>52</v>
      </c>
      <c r="C2034" s="8" t="s">
        <v>6</v>
      </c>
      <c r="D2034" s="12">
        <v>45139</v>
      </c>
      <c r="E2034" s="8">
        <v>57545</v>
      </c>
      <c r="F2034" s="10">
        <f>IF(ISTEXT(Таблицаx_2[[#This Row],[Значение]]), 0, Таблицаx_2[[#This Row],[Значение]])</f>
        <v>57545</v>
      </c>
      <c r="G2034" s="12">
        <v>44896</v>
      </c>
      <c r="H2034" s="10" t="str">
        <f>IFERROR(VLOOKUP(Таблицаx_2[[#This Row],[id]],prolongations!A:C,2,)," ")</f>
        <v>декабрь 2022</v>
      </c>
      <c r="I2034" s="10">
        <f>IF(Таблицаx_2[[#This Row],[Месяц окончания]]=Таблицаx_2[[#This Row],[Месяц]],Таблицаx_2[[#This Row],[Значения числа]],0)</f>
        <v>0</v>
      </c>
      <c r="J2034" s="8">
        <f>IF(AND(Таблицаx_2[[#This Row],[Месяц окончания]]=Таблицаx_2[[#This Row],[Месяц]],Таблицаx_2[[#This Row],[id]]=A2035,EDATE(Таблицаx_2[[#This Row],[Месяц]],1)=D2035),F2035,0)</f>
        <v>0</v>
      </c>
      <c r="K2034" s="8">
        <f>IF(AND(Таблицаx_2[[#This Row],[Месяц окончания]]=Таблицаx_2[[#This Row],[Месяц]],Таблицаx_2[[#This Row],[id]]=A2035,EDATE(Таблицаx_2[[#This Row],[Месяц]],2)=D2035),F2035,0)</f>
        <v>0</v>
      </c>
    </row>
    <row r="2035" spans="1:11" ht="12.75" hidden="1" customHeight="1" x14ac:dyDescent="0.2">
      <c r="A2035" s="8">
        <v>154</v>
      </c>
      <c r="B2035" s="8" t="s">
        <v>52</v>
      </c>
      <c r="C2035" s="8" t="s">
        <v>6</v>
      </c>
      <c r="D2035" s="12">
        <v>45170</v>
      </c>
      <c r="E2035" s="8">
        <v>57545</v>
      </c>
      <c r="F2035" s="10">
        <f>IF(ISTEXT(Таблицаx_2[[#This Row],[Значение]]), 0, Таблицаx_2[[#This Row],[Значение]])</f>
        <v>57545</v>
      </c>
      <c r="G2035" s="12">
        <v>44896</v>
      </c>
      <c r="H2035" s="10" t="str">
        <f>IFERROR(VLOOKUP(Таблицаx_2[[#This Row],[id]],prolongations!A:C,2,)," ")</f>
        <v>декабрь 2022</v>
      </c>
      <c r="I2035" s="10">
        <f>IF(Таблицаx_2[[#This Row],[Месяц окончания]]=Таблицаx_2[[#This Row],[Месяц]],Таблицаx_2[[#This Row],[Значения числа]],0)</f>
        <v>0</v>
      </c>
      <c r="J2035" s="8">
        <f>IF(AND(Таблицаx_2[[#This Row],[Месяц окончания]]=Таблицаx_2[[#This Row],[Месяц]],Таблицаx_2[[#This Row],[id]]=A2036,EDATE(Таблицаx_2[[#This Row],[Месяц]],1)=D2036),F2036,0)</f>
        <v>0</v>
      </c>
      <c r="K2035" s="8">
        <f>IF(AND(Таблицаx_2[[#This Row],[Месяц окончания]]=Таблицаx_2[[#This Row],[Месяц]],Таблицаx_2[[#This Row],[id]]=A2036,EDATE(Таблицаx_2[[#This Row],[Месяц]],2)=D2036),F2036,0)</f>
        <v>0</v>
      </c>
    </row>
    <row r="2036" spans="1:11" ht="12.75" hidden="1" customHeight="1" x14ac:dyDescent="0.2">
      <c r="A2036" s="8">
        <v>154</v>
      </c>
      <c r="B2036" s="8" t="s">
        <v>52</v>
      </c>
      <c r="C2036" s="8" t="s">
        <v>6</v>
      </c>
      <c r="D2036" s="12">
        <v>45200</v>
      </c>
      <c r="E2036" s="8">
        <v>75100</v>
      </c>
      <c r="F2036" s="10">
        <f>IF(ISTEXT(Таблицаx_2[[#This Row],[Значение]]), 0, Таблицаx_2[[#This Row],[Значение]])</f>
        <v>75100</v>
      </c>
      <c r="G2036" s="12">
        <v>44896</v>
      </c>
      <c r="H2036" s="10" t="str">
        <f>IFERROR(VLOOKUP(Таблицаx_2[[#This Row],[id]],prolongations!A:C,2,)," ")</f>
        <v>декабрь 2022</v>
      </c>
      <c r="I2036" s="10">
        <f>IF(Таблицаx_2[[#This Row],[Месяц окончания]]=Таблицаx_2[[#This Row],[Месяц]],Таблицаx_2[[#This Row],[Значения числа]],0)</f>
        <v>0</v>
      </c>
      <c r="J2036" s="8">
        <f>IF(AND(Таблицаx_2[[#This Row],[Месяц окончания]]=Таблицаx_2[[#This Row],[Месяц]],Таблицаx_2[[#This Row],[id]]=A2037,EDATE(Таблицаx_2[[#This Row],[Месяц]],1)=D2037),F2037,0)</f>
        <v>0</v>
      </c>
      <c r="K2036" s="8">
        <f>IF(AND(Таблицаx_2[[#This Row],[Месяц окончания]]=Таблицаx_2[[#This Row],[Месяц]],Таблицаx_2[[#This Row],[id]]=A2037,EDATE(Таблицаx_2[[#This Row],[Месяц]],2)=D2037),F2037,0)</f>
        <v>0</v>
      </c>
    </row>
    <row r="2037" spans="1:11" ht="12.75" hidden="1" customHeight="1" x14ac:dyDescent="0.2">
      <c r="A2037" s="8">
        <v>154</v>
      </c>
      <c r="B2037" s="8" t="s">
        <v>52</v>
      </c>
      <c r="C2037" s="8" t="s">
        <v>6</v>
      </c>
      <c r="D2037" s="12">
        <v>45231</v>
      </c>
      <c r="E2037" s="8">
        <v>75100</v>
      </c>
      <c r="F2037" s="10">
        <f>IF(ISTEXT(Таблицаx_2[[#This Row],[Значение]]), 0, Таблицаx_2[[#This Row],[Значение]])</f>
        <v>75100</v>
      </c>
      <c r="G2037" s="12">
        <v>44896</v>
      </c>
      <c r="H2037" s="10" t="str">
        <f>IFERROR(VLOOKUP(Таблицаx_2[[#This Row],[id]],prolongations!A:C,2,)," ")</f>
        <v>декабрь 2022</v>
      </c>
      <c r="I2037" s="10">
        <f>IF(Таблицаx_2[[#This Row],[Месяц окончания]]=Таблицаx_2[[#This Row],[Месяц]],Таблицаx_2[[#This Row],[Значения числа]],0)</f>
        <v>0</v>
      </c>
      <c r="J2037" s="8">
        <f>IF(AND(Таблицаx_2[[#This Row],[Месяц окончания]]=Таблицаx_2[[#This Row],[Месяц]],Таблицаx_2[[#This Row],[id]]=A2038,EDATE(Таблицаx_2[[#This Row],[Месяц]],1)=D2038),F2038,0)</f>
        <v>0</v>
      </c>
      <c r="K2037" s="8">
        <f>IF(AND(Таблицаx_2[[#This Row],[Месяц окончания]]=Таблицаx_2[[#This Row],[Месяц]],Таблицаx_2[[#This Row],[id]]=A2038,EDATE(Таблицаx_2[[#This Row],[Месяц]],2)=D2038),F2038,0)</f>
        <v>0</v>
      </c>
    </row>
    <row r="2038" spans="1:11" ht="12.75" hidden="1" customHeight="1" x14ac:dyDescent="0.2">
      <c r="A2038" s="8">
        <v>154</v>
      </c>
      <c r="B2038" s="8" t="s">
        <v>52</v>
      </c>
      <c r="C2038" s="8" t="s">
        <v>6</v>
      </c>
      <c r="D2038" s="12">
        <v>45261</v>
      </c>
      <c r="E2038" s="8">
        <v>75100</v>
      </c>
      <c r="F2038" s="10">
        <f>IF(ISTEXT(Таблицаx_2[[#This Row],[Значение]]), 0, Таблицаx_2[[#This Row],[Значение]])</f>
        <v>75100</v>
      </c>
      <c r="G2038" s="12">
        <v>44896</v>
      </c>
      <c r="H2038" s="10" t="str">
        <f>IFERROR(VLOOKUP(Таблицаx_2[[#This Row],[id]],prolongations!A:C,2,)," ")</f>
        <v>декабрь 2022</v>
      </c>
      <c r="I2038" s="10">
        <f>IF(Таблицаx_2[[#This Row],[Месяц окончания]]=Таблицаx_2[[#This Row],[Месяц]],Таблицаx_2[[#This Row],[Значения числа]],0)</f>
        <v>0</v>
      </c>
      <c r="J2038" s="8">
        <f>IF(AND(Таблицаx_2[[#This Row],[Месяц окончания]]=Таблицаx_2[[#This Row],[Месяц]],Таблицаx_2[[#This Row],[id]]=A2039,EDATE(Таблицаx_2[[#This Row],[Месяц]],1)=D2039),F2039,0)</f>
        <v>0</v>
      </c>
      <c r="K2038" s="8">
        <f>IF(AND(Таблицаx_2[[#This Row],[Месяц окончания]]=Таблицаx_2[[#This Row],[Месяц]],Таблицаx_2[[#This Row],[id]]=A2039,EDATE(Таблицаx_2[[#This Row],[Месяц]],2)=D2039),F2039,0)</f>
        <v>0</v>
      </c>
    </row>
    <row r="2039" spans="1:11" ht="12.75" hidden="1" customHeight="1" x14ac:dyDescent="0.2">
      <c r="A2039" s="8">
        <v>154</v>
      </c>
      <c r="B2039" s="8" t="s">
        <v>52</v>
      </c>
      <c r="C2039" s="8" t="s">
        <v>6</v>
      </c>
      <c r="D2039" s="12">
        <v>45292</v>
      </c>
      <c r="E2039" s="8">
        <v>75200</v>
      </c>
      <c r="F2039" s="10">
        <f>IF(ISTEXT(Таблицаx_2[[#This Row],[Значение]]), 0, Таблицаx_2[[#This Row],[Значение]])</f>
        <v>75200</v>
      </c>
      <c r="G2039" s="12">
        <v>44896</v>
      </c>
      <c r="H2039" s="10" t="str">
        <f>IFERROR(VLOOKUP(Таблицаx_2[[#This Row],[id]],prolongations!A:C,2,)," ")</f>
        <v>декабрь 2022</v>
      </c>
      <c r="I2039" s="10">
        <f>IF(Таблицаx_2[[#This Row],[Месяц окончания]]=Таблицаx_2[[#This Row],[Месяц]],Таблицаx_2[[#This Row],[Значения числа]],0)</f>
        <v>0</v>
      </c>
      <c r="J2039" s="8">
        <f>IF(AND(Таблицаx_2[[#This Row],[Месяц окончания]]=Таблицаx_2[[#This Row],[Месяц]],Таблицаx_2[[#This Row],[id]]=A2040,EDATE(Таблицаx_2[[#This Row],[Месяц]],1)=D2040),F2040,0)</f>
        <v>0</v>
      </c>
      <c r="K2039" s="8">
        <f>IF(AND(Таблицаx_2[[#This Row],[Месяц окончания]]=Таблицаx_2[[#This Row],[Месяц]],Таблицаx_2[[#This Row],[id]]=A2040,EDATE(Таблицаx_2[[#This Row],[Месяц]],2)=D2040),F2040,0)</f>
        <v>0</v>
      </c>
    </row>
    <row r="2040" spans="1:11" ht="12.75" hidden="1" customHeight="1" x14ac:dyDescent="0.2">
      <c r="A2040" s="8">
        <v>154</v>
      </c>
      <c r="B2040" s="8" t="s">
        <v>52</v>
      </c>
      <c r="C2040" s="8" t="s">
        <v>6</v>
      </c>
      <c r="D2040" s="12">
        <v>45323</v>
      </c>
      <c r="E2040" s="8">
        <v>75200</v>
      </c>
      <c r="F2040" s="10">
        <f>IF(ISTEXT(Таблицаx_2[[#This Row],[Значение]]), 0, Таблицаx_2[[#This Row],[Значение]])</f>
        <v>75200</v>
      </c>
      <c r="G2040" s="12">
        <v>44896</v>
      </c>
      <c r="H2040" s="10" t="str">
        <f>IFERROR(VLOOKUP(Таблицаx_2[[#This Row],[id]],prolongations!A:C,2,)," ")</f>
        <v>декабрь 2022</v>
      </c>
      <c r="I2040" s="10">
        <f>IF(Таблицаx_2[[#This Row],[Месяц окончания]]=Таблицаx_2[[#This Row],[Месяц]],Таблицаx_2[[#This Row],[Значения числа]],0)</f>
        <v>0</v>
      </c>
      <c r="J2040" s="8">
        <f>IF(AND(Таблицаx_2[[#This Row],[Месяц окончания]]=Таблицаx_2[[#This Row],[Месяц]],Таблицаx_2[[#This Row],[id]]=A2041,EDATE(Таблицаx_2[[#This Row],[Месяц]],1)=D2041),F2041,0)</f>
        <v>0</v>
      </c>
      <c r="K2040" s="8">
        <f>IF(AND(Таблицаx_2[[#This Row],[Месяц окончания]]=Таблицаx_2[[#This Row],[Месяц]],Таблицаx_2[[#This Row],[id]]=A2041,EDATE(Таблицаx_2[[#This Row],[Месяц]],2)=D2041),F2041,0)</f>
        <v>0</v>
      </c>
    </row>
    <row r="2041" spans="1:11" ht="12.75" hidden="1" customHeight="1" x14ac:dyDescent="0.2">
      <c r="A2041" s="8">
        <v>154</v>
      </c>
      <c r="B2041" s="8" t="s">
        <v>50</v>
      </c>
      <c r="C2041" s="8" t="s">
        <v>6</v>
      </c>
      <c r="D2041" s="12">
        <v>44986</v>
      </c>
      <c r="E2041" s="8">
        <v>10000</v>
      </c>
      <c r="F2041" s="10">
        <f>IF(ISTEXT(Таблицаx_2[[#This Row],[Значение]]), 0, Таблицаx_2[[#This Row],[Значение]])</f>
        <v>10000</v>
      </c>
      <c r="G2041" s="12">
        <v>44896</v>
      </c>
      <c r="H2041" s="10" t="str">
        <f>IFERROR(VLOOKUP(Таблицаx_2[[#This Row],[id]],prolongations!A:C,2,)," ")</f>
        <v>декабрь 2022</v>
      </c>
      <c r="I2041" s="10">
        <f>IF(Таблицаx_2[[#This Row],[Месяц окончания]]=Таблицаx_2[[#This Row],[Месяц]],Таблицаx_2[[#This Row],[Значения числа]],0)</f>
        <v>0</v>
      </c>
      <c r="J2041" s="8">
        <f>IF(AND(Таблицаx_2[[#This Row],[Месяц окончания]]=Таблицаx_2[[#This Row],[Месяц]],Таблицаx_2[[#This Row],[id]]=A2042,EDATE(Таблицаx_2[[#This Row],[Месяц]],1)=D2042),F2042,0)</f>
        <v>0</v>
      </c>
      <c r="K2041" s="8">
        <f>IF(AND(Таблицаx_2[[#This Row],[Месяц окончания]]=Таблицаx_2[[#This Row],[Месяц]],Таблицаx_2[[#This Row],[id]]=A2042,EDATE(Таблицаx_2[[#This Row],[Месяц]],2)=D2042),F2042,0)</f>
        <v>0</v>
      </c>
    </row>
    <row r="2042" spans="1:11" ht="12.75" hidden="1" customHeight="1" x14ac:dyDescent="0.2">
      <c r="A2042" s="8">
        <v>154</v>
      </c>
      <c r="B2042" s="8" t="s">
        <v>50</v>
      </c>
      <c r="C2042" s="8" t="s">
        <v>6</v>
      </c>
      <c r="D2042" s="12">
        <v>45017</v>
      </c>
      <c r="E2042" s="8" t="s">
        <v>48</v>
      </c>
      <c r="F2042" s="10">
        <f>IF(ISTEXT(Таблицаx_2[[#This Row],[Значение]]), 0, Таблицаx_2[[#This Row],[Значение]])</f>
        <v>0</v>
      </c>
      <c r="G2042" s="12">
        <v>44896</v>
      </c>
      <c r="H2042" s="10" t="str">
        <f>IFERROR(VLOOKUP(Таблицаx_2[[#This Row],[id]],prolongations!A:C,2,)," ")</f>
        <v>декабрь 2022</v>
      </c>
      <c r="I2042" s="10">
        <f>IF(Таблицаx_2[[#This Row],[Месяц окончания]]=Таблицаx_2[[#This Row],[Месяц]],Таблицаx_2[[#This Row],[Значения числа]],0)</f>
        <v>0</v>
      </c>
      <c r="J2042" s="8">
        <f>IF(AND(Таблицаx_2[[#This Row],[Месяц окончания]]=Таблицаx_2[[#This Row],[Месяц]],Таблицаx_2[[#This Row],[id]]=A2043,EDATE(Таблицаx_2[[#This Row],[Месяц]],1)=D2043),F2043,0)</f>
        <v>0</v>
      </c>
      <c r="K2042" s="8">
        <f>IF(AND(Таблицаx_2[[#This Row],[Месяц окончания]]=Таблицаx_2[[#This Row],[Месяц]],Таблицаx_2[[#This Row],[id]]=A2043,EDATE(Таблицаx_2[[#This Row],[Месяц]],2)=D2043),F2043,0)</f>
        <v>0</v>
      </c>
    </row>
    <row r="2043" spans="1:11" ht="12.75" hidden="1" customHeight="1" x14ac:dyDescent="0.2">
      <c r="A2043" s="8">
        <v>154</v>
      </c>
      <c r="B2043" s="8" t="s">
        <v>50</v>
      </c>
      <c r="C2043" s="8" t="s">
        <v>6</v>
      </c>
      <c r="D2043" s="12">
        <v>45047</v>
      </c>
      <c r="E2043" s="8" t="s">
        <v>48</v>
      </c>
      <c r="F2043" s="10">
        <f>IF(ISTEXT(Таблицаx_2[[#This Row],[Значение]]), 0, Таблицаx_2[[#This Row],[Значение]])</f>
        <v>0</v>
      </c>
      <c r="G2043" s="12">
        <v>44896</v>
      </c>
      <c r="H2043" s="10" t="str">
        <f>IFERROR(VLOOKUP(Таблицаx_2[[#This Row],[id]],prolongations!A:C,2,)," ")</f>
        <v>декабрь 2022</v>
      </c>
      <c r="I2043" s="10">
        <f>IF(Таблицаx_2[[#This Row],[Месяц окончания]]=Таблицаx_2[[#This Row],[Месяц]],Таблицаx_2[[#This Row],[Значения числа]],0)</f>
        <v>0</v>
      </c>
      <c r="J2043" s="8">
        <f>IF(AND(Таблицаx_2[[#This Row],[Месяц окончания]]=Таблицаx_2[[#This Row],[Месяц]],Таблицаx_2[[#This Row],[id]]=A2044,EDATE(Таблицаx_2[[#This Row],[Месяц]],1)=D2044),F2044,0)</f>
        <v>0</v>
      </c>
      <c r="K2043" s="8">
        <f>IF(AND(Таблицаx_2[[#This Row],[Месяц окончания]]=Таблицаx_2[[#This Row],[Месяц]],Таблицаx_2[[#This Row],[id]]=A2044,EDATE(Таблицаx_2[[#This Row],[Месяц]],2)=D2044),F2044,0)</f>
        <v>0</v>
      </c>
    </row>
    <row r="2044" spans="1:11" ht="12.75" hidden="1" customHeight="1" x14ac:dyDescent="0.2">
      <c r="A2044" s="8">
        <v>154</v>
      </c>
      <c r="B2044" s="8" t="s">
        <v>50</v>
      </c>
      <c r="C2044" s="8" t="s">
        <v>6</v>
      </c>
      <c r="D2044" s="12">
        <v>45078</v>
      </c>
      <c r="E2044" s="8">
        <v>22000</v>
      </c>
      <c r="F2044" s="10">
        <f>IF(ISTEXT(Таблицаx_2[[#This Row],[Значение]]), 0, Таблицаx_2[[#This Row],[Значение]])</f>
        <v>22000</v>
      </c>
      <c r="G2044" s="12">
        <v>44896</v>
      </c>
      <c r="H2044" s="10" t="str">
        <f>IFERROR(VLOOKUP(Таблицаx_2[[#This Row],[id]],prolongations!A:C,2,)," ")</f>
        <v>декабрь 2022</v>
      </c>
      <c r="I2044" s="10">
        <f>IF(Таблицаx_2[[#This Row],[Месяц окончания]]=Таблицаx_2[[#This Row],[Месяц]],Таблицаx_2[[#This Row],[Значения числа]],0)</f>
        <v>0</v>
      </c>
      <c r="J2044" s="8">
        <f>IF(AND(Таблицаx_2[[#This Row],[Месяц окончания]]=Таблицаx_2[[#This Row],[Месяц]],Таблицаx_2[[#This Row],[id]]=A2045,EDATE(Таблицаx_2[[#This Row],[Месяц]],1)=D2045),F2045,0)</f>
        <v>0</v>
      </c>
      <c r="K2044" s="8">
        <f>IF(AND(Таблицаx_2[[#This Row],[Месяц окончания]]=Таблицаx_2[[#This Row],[Месяц]],Таблицаx_2[[#This Row],[id]]=A2045,EDATE(Таблицаx_2[[#This Row],[Месяц]],2)=D2045),F2045,0)</f>
        <v>0</v>
      </c>
    </row>
    <row r="2045" spans="1:11" ht="12.75" hidden="1" customHeight="1" x14ac:dyDescent="0.2">
      <c r="A2045" s="8">
        <v>154</v>
      </c>
      <c r="B2045" s="8" t="s">
        <v>50</v>
      </c>
      <c r="C2045" s="8" t="s">
        <v>6</v>
      </c>
      <c r="D2045" s="12">
        <v>45108</v>
      </c>
      <c r="E2045" s="8" t="s">
        <v>48</v>
      </c>
      <c r="F2045" s="10">
        <f>IF(ISTEXT(Таблицаx_2[[#This Row],[Значение]]), 0, Таблицаx_2[[#This Row],[Значение]])</f>
        <v>0</v>
      </c>
      <c r="G2045" s="12">
        <v>44896</v>
      </c>
      <c r="H2045" s="10" t="str">
        <f>IFERROR(VLOOKUP(Таблицаx_2[[#This Row],[id]],prolongations!A:C,2,)," ")</f>
        <v>декабрь 2022</v>
      </c>
      <c r="I2045" s="10">
        <f>IF(Таблицаx_2[[#This Row],[Месяц окончания]]=Таблицаx_2[[#This Row],[Месяц]],Таблицаx_2[[#This Row],[Значения числа]],0)</f>
        <v>0</v>
      </c>
      <c r="J2045" s="8">
        <f>IF(AND(Таблицаx_2[[#This Row],[Месяц окончания]]=Таблицаx_2[[#This Row],[Месяц]],Таблицаx_2[[#This Row],[id]]=A2046,EDATE(Таблицаx_2[[#This Row],[Месяц]],1)=D2046),F2046,0)</f>
        <v>0</v>
      </c>
      <c r="K2045" s="8">
        <f>IF(AND(Таблицаx_2[[#This Row],[Месяц окончания]]=Таблицаx_2[[#This Row],[Месяц]],Таблицаx_2[[#This Row],[id]]=A2046,EDATE(Таблицаx_2[[#This Row],[Месяц]],2)=D2046),F2046,0)</f>
        <v>0</v>
      </c>
    </row>
    <row r="2046" spans="1:11" ht="12.75" hidden="1" customHeight="1" x14ac:dyDescent="0.2">
      <c r="A2046" s="8">
        <v>154</v>
      </c>
      <c r="B2046" s="8" t="s">
        <v>50</v>
      </c>
      <c r="C2046" s="8" t="s">
        <v>6</v>
      </c>
      <c r="D2046" s="12">
        <v>45139</v>
      </c>
      <c r="E2046" s="8">
        <v>3000</v>
      </c>
      <c r="F2046" s="10">
        <f>IF(ISTEXT(Таблицаx_2[[#This Row],[Значение]]), 0, Таблицаx_2[[#This Row],[Значение]])</f>
        <v>3000</v>
      </c>
      <c r="G2046" s="12">
        <v>44896</v>
      </c>
      <c r="H2046" s="10" t="str">
        <f>IFERROR(VLOOKUP(Таблицаx_2[[#This Row],[id]],prolongations!A:C,2,)," ")</f>
        <v>декабрь 2022</v>
      </c>
      <c r="I2046" s="10">
        <f>IF(Таблицаx_2[[#This Row],[Месяц окончания]]=Таблицаx_2[[#This Row],[Месяц]],Таблицаx_2[[#This Row],[Значения числа]],0)</f>
        <v>0</v>
      </c>
      <c r="J2046" s="8">
        <f>IF(AND(Таблицаx_2[[#This Row],[Месяц окончания]]=Таблицаx_2[[#This Row],[Месяц]],Таблицаx_2[[#This Row],[id]]=A2047,EDATE(Таблицаx_2[[#This Row],[Месяц]],1)=D2047),F2047,0)</f>
        <v>0</v>
      </c>
      <c r="K2046" s="8">
        <f>IF(AND(Таблицаx_2[[#This Row],[Месяц окончания]]=Таблицаx_2[[#This Row],[Месяц]],Таблицаx_2[[#This Row],[id]]=A2047,EDATE(Таблицаx_2[[#This Row],[Месяц]],2)=D2047),F2047,0)</f>
        <v>0</v>
      </c>
    </row>
    <row r="2047" spans="1:11" ht="12.75" hidden="1" customHeight="1" x14ac:dyDescent="0.2">
      <c r="A2047" s="8">
        <v>154</v>
      </c>
      <c r="B2047" s="8" t="s">
        <v>50</v>
      </c>
      <c r="C2047" s="8" t="s">
        <v>6</v>
      </c>
      <c r="D2047" s="12">
        <v>45170</v>
      </c>
      <c r="E2047" s="8" t="s">
        <v>48</v>
      </c>
      <c r="F2047" s="10">
        <f>IF(ISTEXT(Таблицаx_2[[#This Row],[Значение]]), 0, Таблицаx_2[[#This Row],[Значение]])</f>
        <v>0</v>
      </c>
      <c r="G2047" s="12">
        <v>44896</v>
      </c>
      <c r="H2047" s="10" t="str">
        <f>IFERROR(VLOOKUP(Таблицаx_2[[#This Row],[id]],prolongations!A:C,2,)," ")</f>
        <v>декабрь 2022</v>
      </c>
      <c r="I2047" s="10">
        <f>IF(Таблицаx_2[[#This Row],[Месяц окончания]]=Таблицаx_2[[#This Row],[Месяц]],Таблицаx_2[[#This Row],[Значения числа]],0)</f>
        <v>0</v>
      </c>
      <c r="J2047" s="8">
        <f>IF(AND(Таблицаx_2[[#This Row],[Месяц окончания]]=Таблицаx_2[[#This Row],[Месяц]],Таблицаx_2[[#This Row],[id]]=A2048,EDATE(Таблицаx_2[[#This Row],[Месяц]],1)=D2048),F2048,0)</f>
        <v>0</v>
      </c>
      <c r="K2047" s="8">
        <f>IF(AND(Таблицаx_2[[#This Row],[Месяц окончания]]=Таблицаx_2[[#This Row],[Месяц]],Таблицаx_2[[#This Row],[id]]=A2048,EDATE(Таблицаx_2[[#This Row],[Месяц]],2)=D2048),F2048,0)</f>
        <v>0</v>
      </c>
    </row>
    <row r="2048" spans="1:11" ht="12.75" hidden="1" customHeight="1" x14ac:dyDescent="0.2">
      <c r="A2048" s="8">
        <v>154</v>
      </c>
      <c r="B2048" s="8" t="s">
        <v>50</v>
      </c>
      <c r="C2048" s="8" t="s">
        <v>6</v>
      </c>
      <c r="D2048" s="12">
        <v>45200</v>
      </c>
      <c r="E2048" s="8">
        <v>5000</v>
      </c>
      <c r="F2048" s="10">
        <f>IF(ISTEXT(Таблицаx_2[[#This Row],[Значение]]), 0, Таблицаx_2[[#This Row],[Значение]])</f>
        <v>5000</v>
      </c>
      <c r="G2048" s="12">
        <v>44896</v>
      </c>
      <c r="H2048" s="10" t="str">
        <f>IFERROR(VLOOKUP(Таблицаx_2[[#This Row],[id]],prolongations!A:C,2,)," ")</f>
        <v>декабрь 2022</v>
      </c>
      <c r="I2048" s="10">
        <f>IF(Таблицаx_2[[#This Row],[Месяц окончания]]=Таблицаx_2[[#This Row],[Месяц]],Таблицаx_2[[#This Row],[Значения числа]],0)</f>
        <v>0</v>
      </c>
      <c r="J2048" s="8">
        <f>IF(AND(Таблицаx_2[[#This Row],[Месяц окончания]]=Таблицаx_2[[#This Row],[Месяц]],Таблицаx_2[[#This Row],[id]]=A2049,EDATE(Таблицаx_2[[#This Row],[Месяц]],1)=D2049),F2049,0)</f>
        <v>0</v>
      </c>
      <c r="K2048" s="8">
        <f>IF(AND(Таблицаx_2[[#This Row],[Месяц окончания]]=Таблицаx_2[[#This Row],[Месяц]],Таблицаx_2[[#This Row],[id]]=A2049,EDATE(Таблицаx_2[[#This Row],[Месяц]],2)=D2049),F2049,0)</f>
        <v>0</v>
      </c>
    </row>
    <row r="2049" spans="1:11" ht="12.75" hidden="1" customHeight="1" x14ac:dyDescent="0.2">
      <c r="A2049" s="8">
        <v>154</v>
      </c>
      <c r="B2049" s="8" t="s">
        <v>50</v>
      </c>
      <c r="C2049" s="8" t="s">
        <v>6</v>
      </c>
      <c r="D2049" s="12">
        <v>45231</v>
      </c>
      <c r="E2049" s="8" t="s">
        <v>48</v>
      </c>
      <c r="F2049" s="10">
        <f>IF(ISTEXT(Таблицаx_2[[#This Row],[Значение]]), 0, Таблицаx_2[[#This Row],[Значение]])</f>
        <v>0</v>
      </c>
      <c r="G2049" s="12">
        <v>44896</v>
      </c>
      <c r="H2049" s="10" t="str">
        <f>IFERROR(VLOOKUP(Таблицаx_2[[#This Row],[id]],prolongations!A:C,2,)," ")</f>
        <v>декабрь 2022</v>
      </c>
      <c r="I2049" s="10">
        <f>IF(Таблицаx_2[[#This Row],[Месяц окончания]]=Таблицаx_2[[#This Row],[Месяц]],Таблицаx_2[[#This Row],[Значения числа]],0)</f>
        <v>0</v>
      </c>
      <c r="J2049" s="8">
        <f>IF(AND(Таблицаx_2[[#This Row],[Месяц окончания]]=Таблицаx_2[[#This Row],[Месяц]],Таблицаx_2[[#This Row],[id]]=A2050,EDATE(Таблицаx_2[[#This Row],[Месяц]],1)=D2050),F2050,0)</f>
        <v>0</v>
      </c>
      <c r="K2049" s="8">
        <f>IF(AND(Таблицаx_2[[#This Row],[Месяц окончания]]=Таблицаx_2[[#This Row],[Месяц]],Таблицаx_2[[#This Row],[id]]=A2050,EDATE(Таблицаx_2[[#This Row],[Месяц]],2)=D2050),F2050,0)</f>
        <v>0</v>
      </c>
    </row>
    <row r="2050" spans="1:11" ht="12.75" hidden="1" customHeight="1" x14ac:dyDescent="0.2">
      <c r="A2050" s="8">
        <v>154</v>
      </c>
      <c r="B2050" s="8" t="s">
        <v>50</v>
      </c>
      <c r="C2050" s="8" t="s">
        <v>6</v>
      </c>
      <c r="D2050" s="12">
        <v>45261</v>
      </c>
      <c r="E2050" s="8">
        <v>15200</v>
      </c>
      <c r="F2050" s="10">
        <f>IF(ISTEXT(Таблицаx_2[[#This Row],[Значение]]), 0, Таблицаx_2[[#This Row],[Значение]])</f>
        <v>15200</v>
      </c>
      <c r="G2050" s="12">
        <v>44896</v>
      </c>
      <c r="H2050" s="10" t="str">
        <f>IFERROR(VLOOKUP(Таблицаx_2[[#This Row],[id]],prolongations!A:C,2,)," ")</f>
        <v>декабрь 2022</v>
      </c>
      <c r="I2050" s="10">
        <f>IF(Таблицаx_2[[#This Row],[Месяц окончания]]=Таблицаx_2[[#This Row],[Месяц]],Таблицаx_2[[#This Row],[Значения числа]],0)</f>
        <v>0</v>
      </c>
      <c r="J2050" s="8">
        <f>IF(AND(Таблицаx_2[[#This Row],[Месяц окончания]]=Таблицаx_2[[#This Row],[Месяц]],Таблицаx_2[[#This Row],[id]]=A2051,EDATE(Таблицаx_2[[#This Row],[Месяц]],1)=D2051),F2051,0)</f>
        <v>0</v>
      </c>
      <c r="K2050" s="8">
        <f>IF(AND(Таблицаx_2[[#This Row],[Месяц окончания]]=Таблицаx_2[[#This Row],[Месяц]],Таблицаx_2[[#This Row],[id]]=A2051,EDATE(Таблицаx_2[[#This Row],[Месяц]],2)=D2051),F2051,0)</f>
        <v>0</v>
      </c>
    </row>
    <row r="2051" spans="1:11" ht="12.75" hidden="1" customHeight="1" x14ac:dyDescent="0.2">
      <c r="A2051" s="8">
        <v>154</v>
      </c>
      <c r="B2051" s="8" t="s">
        <v>50</v>
      </c>
      <c r="C2051" s="8" t="s">
        <v>6</v>
      </c>
      <c r="D2051" s="12">
        <v>45292</v>
      </c>
      <c r="E2051" s="8" t="s">
        <v>48</v>
      </c>
      <c r="F2051" s="10">
        <f>IF(ISTEXT(Таблицаx_2[[#This Row],[Значение]]), 0, Таблицаx_2[[#This Row],[Значение]])</f>
        <v>0</v>
      </c>
      <c r="G2051" s="12">
        <v>44896</v>
      </c>
      <c r="H2051" s="10" t="str">
        <f>IFERROR(VLOOKUP(Таблицаx_2[[#This Row],[id]],prolongations!A:C,2,)," ")</f>
        <v>декабрь 2022</v>
      </c>
      <c r="I2051" s="10">
        <f>IF(Таблицаx_2[[#This Row],[Месяц окончания]]=Таблицаx_2[[#This Row],[Месяц]],Таблицаx_2[[#This Row],[Значения числа]],0)</f>
        <v>0</v>
      </c>
      <c r="J2051" s="8">
        <f>IF(AND(Таблицаx_2[[#This Row],[Месяц окончания]]=Таблицаx_2[[#This Row],[Месяц]],Таблицаx_2[[#This Row],[id]]=A2052,EDATE(Таблицаx_2[[#This Row],[Месяц]],1)=D2052),F2052,0)</f>
        <v>0</v>
      </c>
      <c r="K2051" s="8">
        <f>IF(AND(Таблицаx_2[[#This Row],[Месяц окончания]]=Таблицаx_2[[#This Row],[Месяц]],Таблицаx_2[[#This Row],[id]]=A2052,EDATE(Таблицаx_2[[#This Row],[Месяц]],2)=D2052),F2052,0)</f>
        <v>0</v>
      </c>
    </row>
    <row r="2052" spans="1:11" ht="12.75" hidden="1" customHeight="1" x14ac:dyDescent="0.2">
      <c r="A2052" s="8">
        <v>154</v>
      </c>
      <c r="B2052" s="8" t="s">
        <v>50</v>
      </c>
      <c r="C2052" s="8" t="s">
        <v>6</v>
      </c>
      <c r="D2052" s="12">
        <v>45323</v>
      </c>
      <c r="E2052" s="8">
        <v>7500</v>
      </c>
      <c r="F2052" s="10">
        <f>IF(ISTEXT(Таблицаx_2[[#This Row],[Значение]]), 0, Таблицаx_2[[#This Row],[Значение]])</f>
        <v>7500</v>
      </c>
      <c r="G2052" s="12">
        <v>44896</v>
      </c>
      <c r="H2052" s="10" t="str">
        <f>IFERROR(VLOOKUP(Таблицаx_2[[#This Row],[id]],prolongations!A:C,2,)," ")</f>
        <v>декабрь 2022</v>
      </c>
      <c r="I2052" s="10">
        <f>IF(Таблицаx_2[[#This Row],[Месяц окончания]]=Таблицаx_2[[#This Row],[Месяц]],Таблицаx_2[[#This Row],[Значения числа]],0)</f>
        <v>0</v>
      </c>
      <c r="J2052" s="8">
        <f>IF(AND(Таблицаx_2[[#This Row],[Месяц окончания]]=Таблицаx_2[[#This Row],[Месяц]],Таблицаx_2[[#This Row],[id]]=A2053,EDATE(Таблицаx_2[[#This Row],[Месяц]],1)=D2053),F2053,0)</f>
        <v>0</v>
      </c>
      <c r="K2052" s="8">
        <f>IF(AND(Таблицаx_2[[#This Row],[Месяц окончания]]=Таблицаx_2[[#This Row],[Месяц]],Таблицаx_2[[#This Row],[id]]=A2053,EDATE(Таблицаx_2[[#This Row],[Месяц]],2)=D2053),F2053,0)</f>
        <v>0</v>
      </c>
    </row>
    <row r="2053" spans="1:11" ht="12.75" hidden="1" customHeight="1" x14ac:dyDescent="0.2">
      <c r="A2053" s="8">
        <v>154</v>
      </c>
      <c r="B2053" s="8" t="s">
        <v>50</v>
      </c>
      <c r="C2053" s="8" t="s">
        <v>6</v>
      </c>
      <c r="D2053" s="12">
        <v>45139</v>
      </c>
      <c r="E2053" s="8">
        <v>10000</v>
      </c>
      <c r="F2053" s="10">
        <f>IF(ISTEXT(Таблицаx_2[[#This Row],[Значение]]), 0, Таблицаx_2[[#This Row],[Значение]])</f>
        <v>10000</v>
      </c>
      <c r="G2053" s="12">
        <v>44896</v>
      </c>
      <c r="H2053" s="10" t="str">
        <f>IFERROR(VLOOKUP(Таблицаx_2[[#This Row],[id]],prolongations!A:C,2,)," ")</f>
        <v>декабрь 2022</v>
      </c>
      <c r="I2053" s="10">
        <f>IF(Таблицаx_2[[#This Row],[Месяц окончания]]=Таблицаx_2[[#This Row],[Месяц]],Таблицаx_2[[#This Row],[Значения числа]],0)</f>
        <v>0</v>
      </c>
      <c r="J2053" s="8">
        <f>IF(AND(Таблицаx_2[[#This Row],[Месяц окончания]]=Таблицаx_2[[#This Row],[Месяц]],Таблицаx_2[[#This Row],[id]]=A2054,EDATE(Таблицаx_2[[#This Row],[Месяц]],1)=D2054),F2054,0)</f>
        <v>0</v>
      </c>
      <c r="K2053" s="8">
        <f>IF(AND(Таблицаx_2[[#This Row],[Месяц окончания]]=Таблицаx_2[[#This Row],[Месяц]],Таблицаx_2[[#This Row],[id]]=A2054,EDATE(Таблицаx_2[[#This Row],[Месяц]],2)=D2054),F2054,0)</f>
        <v>0</v>
      </c>
    </row>
    <row r="2054" spans="1:11" ht="12.75" hidden="1" customHeight="1" x14ac:dyDescent="0.2">
      <c r="A2054" s="8">
        <v>751</v>
      </c>
      <c r="B2054" s="8" t="s">
        <v>52</v>
      </c>
      <c r="C2054" s="8" t="s">
        <v>4</v>
      </c>
      <c r="D2054" s="12">
        <v>44927</v>
      </c>
      <c r="E2054" s="8">
        <v>132100</v>
      </c>
      <c r="F2054" s="10">
        <f>IF(ISTEXT(Таблицаx_2[[#This Row],[Значение]]), 0, Таблицаx_2[[#This Row],[Значение]])</f>
        <v>132100</v>
      </c>
      <c r="G2054" s="12">
        <v>45261</v>
      </c>
      <c r="H2054" s="10" t="str">
        <f>IFERROR(VLOOKUP(Таблицаx_2[[#This Row],[id]],prolongations!A:C,2,)," ")</f>
        <v>декабрь 2023</v>
      </c>
      <c r="I2054" s="10">
        <f>IF(Таблицаx_2[[#This Row],[Месяц окончания]]=Таблицаx_2[[#This Row],[Месяц]],Таблицаx_2[[#This Row],[Значения числа]],0)</f>
        <v>0</v>
      </c>
      <c r="J2054" s="8">
        <f>IF(AND(Таблицаx_2[[#This Row],[Месяц окончания]]=Таблицаx_2[[#This Row],[Месяц]],Таблицаx_2[[#This Row],[id]]=A2055,EDATE(Таблицаx_2[[#This Row],[Месяц]],1)=D2055),F2055,0)</f>
        <v>0</v>
      </c>
      <c r="K2054" s="8">
        <f>IF(AND(Таблицаx_2[[#This Row],[Месяц окончания]]=Таблицаx_2[[#This Row],[Месяц]],Таблицаx_2[[#This Row],[id]]=A2055,EDATE(Таблицаx_2[[#This Row],[Месяц]],2)=D2055),F2055,0)</f>
        <v>0</v>
      </c>
    </row>
    <row r="2055" spans="1:11" ht="12.75" hidden="1" customHeight="1" x14ac:dyDescent="0.2">
      <c r="A2055" s="8">
        <v>751</v>
      </c>
      <c r="B2055" s="8" t="s">
        <v>52</v>
      </c>
      <c r="C2055" s="8" t="s">
        <v>4</v>
      </c>
      <c r="D2055" s="12">
        <v>44958</v>
      </c>
      <c r="E2055" s="8">
        <v>135900</v>
      </c>
      <c r="F2055" s="10">
        <f>IF(ISTEXT(Таблицаx_2[[#This Row],[Значение]]), 0, Таблицаx_2[[#This Row],[Значение]])</f>
        <v>135900</v>
      </c>
      <c r="G2055" s="12">
        <v>45261</v>
      </c>
      <c r="H2055" s="10" t="str">
        <f>IFERROR(VLOOKUP(Таблицаx_2[[#This Row],[id]],prolongations!A:C,2,)," ")</f>
        <v>декабрь 2023</v>
      </c>
      <c r="I2055" s="10">
        <f>IF(Таблицаx_2[[#This Row],[Месяц окончания]]=Таблицаx_2[[#This Row],[Месяц]],Таблицаx_2[[#This Row],[Значения числа]],0)</f>
        <v>0</v>
      </c>
      <c r="J2055" s="8">
        <f>IF(AND(Таблицаx_2[[#This Row],[Месяц окончания]]=Таблицаx_2[[#This Row],[Месяц]],Таблицаx_2[[#This Row],[id]]=A2056,EDATE(Таблицаx_2[[#This Row],[Месяц]],1)=D2056),F2056,0)</f>
        <v>0</v>
      </c>
      <c r="K2055" s="8">
        <f>IF(AND(Таблицаx_2[[#This Row],[Месяц окончания]]=Таблицаx_2[[#This Row],[Месяц]],Таблицаx_2[[#This Row],[id]]=A2056,EDATE(Таблицаx_2[[#This Row],[Месяц]],2)=D2056),F2056,0)</f>
        <v>0</v>
      </c>
    </row>
    <row r="2056" spans="1:11" ht="12.75" hidden="1" customHeight="1" x14ac:dyDescent="0.2">
      <c r="A2056" s="8">
        <v>751</v>
      </c>
      <c r="B2056" s="8" t="s">
        <v>52</v>
      </c>
      <c r="C2056" s="8" t="s">
        <v>4</v>
      </c>
      <c r="D2056" s="12">
        <v>44986</v>
      </c>
      <c r="E2056" s="8">
        <v>191050</v>
      </c>
      <c r="F2056" s="10">
        <f>IF(ISTEXT(Таблицаx_2[[#This Row],[Значение]]), 0, Таблицаx_2[[#This Row],[Значение]])</f>
        <v>191050</v>
      </c>
      <c r="G2056" s="12">
        <v>45261</v>
      </c>
      <c r="H2056" s="10" t="str">
        <f>IFERROR(VLOOKUP(Таблицаx_2[[#This Row],[id]],prolongations!A:C,2,)," ")</f>
        <v>декабрь 2023</v>
      </c>
      <c r="I2056" s="10">
        <f>IF(Таблицаx_2[[#This Row],[Месяц окончания]]=Таблицаx_2[[#This Row],[Месяц]],Таблицаx_2[[#This Row],[Значения числа]],0)</f>
        <v>0</v>
      </c>
      <c r="J2056" s="8">
        <f>IF(AND(Таблицаx_2[[#This Row],[Месяц окончания]]=Таблицаx_2[[#This Row],[Месяц]],Таблицаx_2[[#This Row],[id]]=A2057,EDATE(Таблицаx_2[[#This Row],[Месяц]],1)=D2057),F2057,0)</f>
        <v>0</v>
      </c>
      <c r="K2056" s="8">
        <f>IF(AND(Таблицаx_2[[#This Row],[Месяц окончания]]=Таблицаx_2[[#This Row],[Месяц]],Таблицаx_2[[#This Row],[id]]=A2057,EDATE(Таблицаx_2[[#This Row],[Месяц]],2)=D2057),F2057,0)</f>
        <v>0</v>
      </c>
    </row>
    <row r="2057" spans="1:11" ht="12.75" hidden="1" customHeight="1" x14ac:dyDescent="0.2">
      <c r="A2057" s="8">
        <v>751</v>
      </c>
      <c r="B2057" s="8" t="s">
        <v>52</v>
      </c>
      <c r="C2057" s="8" t="s">
        <v>4</v>
      </c>
      <c r="D2057" s="12">
        <v>45017</v>
      </c>
      <c r="E2057" s="8">
        <v>172250</v>
      </c>
      <c r="F2057" s="10">
        <f>IF(ISTEXT(Таблицаx_2[[#This Row],[Значение]]), 0, Таблицаx_2[[#This Row],[Значение]])</f>
        <v>172250</v>
      </c>
      <c r="G2057" s="12">
        <v>45261</v>
      </c>
      <c r="H2057" s="10" t="str">
        <f>IFERROR(VLOOKUP(Таблицаx_2[[#This Row],[id]],prolongations!A:C,2,)," ")</f>
        <v>декабрь 2023</v>
      </c>
      <c r="I2057" s="10">
        <f>IF(Таблицаx_2[[#This Row],[Месяц окончания]]=Таблицаx_2[[#This Row],[Месяц]],Таблицаx_2[[#This Row],[Значения числа]],0)</f>
        <v>0</v>
      </c>
      <c r="J2057" s="8">
        <f>IF(AND(Таблицаx_2[[#This Row],[Месяц окончания]]=Таблицаx_2[[#This Row],[Месяц]],Таблицаx_2[[#This Row],[id]]=A2058,EDATE(Таблицаx_2[[#This Row],[Месяц]],1)=D2058),F2058,0)</f>
        <v>0</v>
      </c>
      <c r="K2057" s="8">
        <f>IF(AND(Таблицаx_2[[#This Row],[Месяц окончания]]=Таблицаx_2[[#This Row],[Месяц]],Таблицаx_2[[#This Row],[id]]=A2058,EDATE(Таблицаx_2[[#This Row],[Месяц]],2)=D2058),F2058,0)</f>
        <v>0</v>
      </c>
    </row>
    <row r="2058" spans="1:11" ht="12.75" hidden="1" customHeight="1" x14ac:dyDescent="0.2">
      <c r="A2058" s="8">
        <v>751</v>
      </c>
      <c r="B2058" s="8" t="s">
        <v>52</v>
      </c>
      <c r="C2058" s="8" t="s">
        <v>4</v>
      </c>
      <c r="D2058" s="12">
        <v>45047</v>
      </c>
      <c r="E2058" s="8">
        <v>131655</v>
      </c>
      <c r="F2058" s="10">
        <f>IF(ISTEXT(Таблицаx_2[[#This Row],[Значение]]), 0, Таблицаx_2[[#This Row],[Значение]])</f>
        <v>131655</v>
      </c>
      <c r="G2058" s="12">
        <v>45261</v>
      </c>
      <c r="H2058" s="10" t="str">
        <f>IFERROR(VLOOKUP(Таблицаx_2[[#This Row],[id]],prolongations!A:C,2,)," ")</f>
        <v>декабрь 2023</v>
      </c>
      <c r="I2058" s="10">
        <f>IF(Таблицаx_2[[#This Row],[Месяц окончания]]=Таблицаx_2[[#This Row],[Месяц]],Таблицаx_2[[#This Row],[Значения числа]],0)</f>
        <v>0</v>
      </c>
      <c r="J2058" s="8">
        <f>IF(AND(Таблицаx_2[[#This Row],[Месяц окончания]]=Таблицаx_2[[#This Row],[Месяц]],Таблицаx_2[[#This Row],[id]]=A2059,EDATE(Таблицаx_2[[#This Row],[Месяц]],1)=D2059),F2059,0)</f>
        <v>0</v>
      </c>
      <c r="K2058" s="8">
        <f>IF(AND(Таблицаx_2[[#This Row],[Месяц окончания]]=Таблицаx_2[[#This Row],[Месяц]],Таблицаx_2[[#This Row],[id]]=A2059,EDATE(Таблицаx_2[[#This Row],[Месяц]],2)=D2059),F2059,0)</f>
        <v>0</v>
      </c>
    </row>
    <row r="2059" spans="1:11" ht="12.75" hidden="1" customHeight="1" x14ac:dyDescent="0.2">
      <c r="A2059" s="8">
        <v>751</v>
      </c>
      <c r="B2059" s="8" t="s">
        <v>52</v>
      </c>
      <c r="C2059" s="8" t="s">
        <v>4</v>
      </c>
      <c r="D2059" s="12">
        <v>45078</v>
      </c>
      <c r="E2059" s="8">
        <v>91800</v>
      </c>
      <c r="F2059" s="10">
        <f>IF(ISTEXT(Таблицаx_2[[#This Row],[Значение]]), 0, Таблицаx_2[[#This Row],[Значение]])</f>
        <v>91800</v>
      </c>
      <c r="G2059" s="12">
        <v>45261</v>
      </c>
      <c r="H2059" s="10" t="str">
        <f>IFERROR(VLOOKUP(Таблицаx_2[[#This Row],[id]],prolongations!A:C,2,)," ")</f>
        <v>декабрь 2023</v>
      </c>
      <c r="I2059" s="10">
        <f>IF(Таблицаx_2[[#This Row],[Месяц окончания]]=Таблицаx_2[[#This Row],[Месяц]],Таблицаx_2[[#This Row],[Значения числа]],0)</f>
        <v>0</v>
      </c>
      <c r="J2059" s="8">
        <f>IF(AND(Таблицаx_2[[#This Row],[Месяц окончания]]=Таблицаx_2[[#This Row],[Месяц]],Таблицаx_2[[#This Row],[id]]=A2060,EDATE(Таблицаx_2[[#This Row],[Месяц]],1)=D2060),F2060,0)</f>
        <v>0</v>
      </c>
      <c r="K2059" s="8">
        <f>IF(AND(Таблицаx_2[[#This Row],[Месяц окончания]]=Таблицаx_2[[#This Row],[Месяц]],Таблицаx_2[[#This Row],[id]]=A2060,EDATE(Таблицаx_2[[#This Row],[Месяц]],2)=D2060),F2060,0)</f>
        <v>0</v>
      </c>
    </row>
    <row r="2060" spans="1:11" ht="12.75" hidden="1" customHeight="1" x14ac:dyDescent="0.2">
      <c r="A2060" s="8">
        <v>751</v>
      </c>
      <c r="B2060" s="8" t="s">
        <v>52</v>
      </c>
      <c r="C2060" s="8" t="s">
        <v>4</v>
      </c>
      <c r="D2060" s="12">
        <v>45108</v>
      </c>
      <c r="E2060" s="8">
        <v>105100</v>
      </c>
      <c r="F2060" s="10">
        <f>IF(ISTEXT(Таблицаx_2[[#This Row],[Значение]]), 0, Таблицаx_2[[#This Row],[Значение]])</f>
        <v>105100</v>
      </c>
      <c r="G2060" s="12">
        <v>45261</v>
      </c>
      <c r="H2060" s="10" t="str">
        <f>IFERROR(VLOOKUP(Таблицаx_2[[#This Row],[id]],prolongations!A:C,2,)," ")</f>
        <v>декабрь 2023</v>
      </c>
      <c r="I2060" s="10">
        <f>IF(Таблицаx_2[[#This Row],[Месяц окончания]]=Таблицаx_2[[#This Row],[Месяц]],Таблицаx_2[[#This Row],[Значения числа]],0)</f>
        <v>0</v>
      </c>
      <c r="J2060" s="8">
        <f>IF(AND(Таблицаx_2[[#This Row],[Месяц окончания]]=Таблицаx_2[[#This Row],[Месяц]],Таблицаx_2[[#This Row],[id]]=A2061,EDATE(Таблицаx_2[[#This Row],[Месяц]],1)=D2061),F2061,0)</f>
        <v>0</v>
      </c>
      <c r="K2060" s="8">
        <f>IF(AND(Таблицаx_2[[#This Row],[Месяц окончания]]=Таблицаx_2[[#This Row],[Месяц]],Таблицаx_2[[#This Row],[id]]=A2061,EDATE(Таблицаx_2[[#This Row],[Месяц]],2)=D2061),F2061,0)</f>
        <v>0</v>
      </c>
    </row>
    <row r="2061" spans="1:11" ht="12.75" hidden="1" customHeight="1" x14ac:dyDescent="0.2">
      <c r="A2061" s="8">
        <v>751</v>
      </c>
      <c r="B2061" s="8" t="s">
        <v>52</v>
      </c>
      <c r="C2061" s="8" t="s">
        <v>4</v>
      </c>
      <c r="D2061" s="12">
        <v>45139</v>
      </c>
      <c r="E2061" s="8">
        <v>152950</v>
      </c>
      <c r="F2061" s="10">
        <f>IF(ISTEXT(Таблицаx_2[[#This Row],[Значение]]), 0, Таблицаx_2[[#This Row],[Значение]])</f>
        <v>152950</v>
      </c>
      <c r="G2061" s="12">
        <v>45261</v>
      </c>
      <c r="H2061" s="10" t="str">
        <f>IFERROR(VLOOKUP(Таблицаx_2[[#This Row],[id]],prolongations!A:C,2,)," ")</f>
        <v>декабрь 2023</v>
      </c>
      <c r="I2061" s="10">
        <f>IF(Таблицаx_2[[#This Row],[Месяц окончания]]=Таблицаx_2[[#This Row],[Месяц]],Таблицаx_2[[#This Row],[Значения числа]],0)</f>
        <v>0</v>
      </c>
      <c r="J2061" s="8">
        <f>IF(AND(Таблицаx_2[[#This Row],[Месяц окончания]]=Таблицаx_2[[#This Row],[Месяц]],Таблицаx_2[[#This Row],[id]]=A2062,EDATE(Таблицаx_2[[#This Row],[Месяц]],1)=D2062),F2062,0)</f>
        <v>0</v>
      </c>
      <c r="K2061" s="8">
        <f>IF(AND(Таблицаx_2[[#This Row],[Месяц окончания]]=Таблицаx_2[[#This Row],[Месяц]],Таблицаx_2[[#This Row],[id]]=A2062,EDATE(Таблицаx_2[[#This Row],[Месяц]],2)=D2062),F2062,0)</f>
        <v>0</v>
      </c>
    </row>
    <row r="2062" spans="1:11" ht="12.75" hidden="1" customHeight="1" x14ac:dyDescent="0.2">
      <c r="A2062" s="8">
        <v>751</v>
      </c>
      <c r="B2062" s="8" t="s">
        <v>52</v>
      </c>
      <c r="C2062" s="8" t="s">
        <v>4</v>
      </c>
      <c r="D2062" s="12">
        <v>45170</v>
      </c>
      <c r="E2062" s="8">
        <v>162950</v>
      </c>
      <c r="F2062" s="10">
        <f>IF(ISTEXT(Таблицаx_2[[#This Row],[Значение]]), 0, Таблицаx_2[[#This Row],[Значение]])</f>
        <v>162950</v>
      </c>
      <c r="G2062" s="12">
        <v>45261</v>
      </c>
      <c r="H2062" s="10" t="str">
        <f>IFERROR(VLOOKUP(Таблицаx_2[[#This Row],[id]],prolongations!A:C,2,)," ")</f>
        <v>декабрь 2023</v>
      </c>
      <c r="I2062" s="10">
        <f>IF(Таблицаx_2[[#This Row],[Месяц окончания]]=Таблицаx_2[[#This Row],[Месяц]],Таблицаx_2[[#This Row],[Значения числа]],0)</f>
        <v>0</v>
      </c>
      <c r="J2062" s="8">
        <f>IF(AND(Таблицаx_2[[#This Row],[Месяц окончания]]=Таблицаx_2[[#This Row],[Месяц]],Таблицаx_2[[#This Row],[id]]=A2063,EDATE(Таблицаx_2[[#This Row],[Месяц]],1)=D2063),F2063,0)</f>
        <v>0</v>
      </c>
      <c r="K2062" s="8">
        <f>IF(AND(Таблицаx_2[[#This Row],[Месяц окончания]]=Таблицаx_2[[#This Row],[Месяц]],Таблицаx_2[[#This Row],[id]]=A2063,EDATE(Таблицаx_2[[#This Row],[Месяц]],2)=D2063),F2063,0)</f>
        <v>0</v>
      </c>
    </row>
    <row r="2063" spans="1:11" ht="12.75" hidden="1" customHeight="1" x14ac:dyDescent="0.2">
      <c r="A2063" s="8">
        <v>751</v>
      </c>
      <c r="B2063" s="8" t="s">
        <v>52</v>
      </c>
      <c r="C2063" s="8" t="s">
        <v>4</v>
      </c>
      <c r="D2063" s="12">
        <v>45200</v>
      </c>
      <c r="E2063" s="8">
        <v>155600</v>
      </c>
      <c r="F2063" s="10">
        <f>IF(ISTEXT(Таблицаx_2[[#This Row],[Значение]]), 0, Таблицаx_2[[#This Row],[Значение]])</f>
        <v>155600</v>
      </c>
      <c r="G2063" s="12">
        <v>45261</v>
      </c>
      <c r="H2063" s="10" t="str">
        <f>IFERROR(VLOOKUP(Таблицаx_2[[#This Row],[id]],prolongations!A:C,2,)," ")</f>
        <v>декабрь 2023</v>
      </c>
      <c r="I2063" s="10">
        <f>IF(Таблицаx_2[[#This Row],[Месяц окончания]]=Таблицаx_2[[#This Row],[Месяц]],Таблицаx_2[[#This Row],[Значения числа]],0)</f>
        <v>0</v>
      </c>
      <c r="J2063" s="8">
        <f>IF(AND(Таблицаx_2[[#This Row],[Месяц окончания]]=Таблицаx_2[[#This Row],[Месяц]],Таблицаx_2[[#This Row],[id]]=A2064,EDATE(Таблицаx_2[[#This Row],[Месяц]],1)=D2064),F2064,0)</f>
        <v>0</v>
      </c>
      <c r="K2063" s="8">
        <f>IF(AND(Таблицаx_2[[#This Row],[Месяц окончания]]=Таблицаx_2[[#This Row],[Месяц]],Таблицаx_2[[#This Row],[id]]=A2064,EDATE(Таблицаx_2[[#This Row],[Месяц]],2)=D2064),F2064,0)</f>
        <v>0</v>
      </c>
    </row>
    <row r="2064" spans="1:11" ht="12.75" hidden="1" customHeight="1" x14ac:dyDescent="0.2">
      <c r="A2064" s="8">
        <v>751</v>
      </c>
      <c r="B2064" s="8" t="s">
        <v>52</v>
      </c>
      <c r="C2064" s="8" t="s">
        <v>4</v>
      </c>
      <c r="D2064" s="12">
        <v>45231</v>
      </c>
      <c r="E2064" s="8">
        <v>154800</v>
      </c>
      <c r="F2064" s="10">
        <f>IF(ISTEXT(Таблицаx_2[[#This Row],[Значение]]), 0, Таблицаx_2[[#This Row],[Значение]])</f>
        <v>154800</v>
      </c>
      <c r="G2064" s="12">
        <v>45261</v>
      </c>
      <c r="H2064" s="10" t="str">
        <f>IFERROR(VLOOKUP(Таблицаx_2[[#This Row],[id]],prolongations!A:C,2,)," ")</f>
        <v>декабрь 2023</v>
      </c>
      <c r="I2064" s="10">
        <f>IF(Таблицаx_2[[#This Row],[Месяц окончания]]=Таблицаx_2[[#This Row],[Месяц]],Таблицаx_2[[#This Row],[Значения числа]],0)</f>
        <v>0</v>
      </c>
      <c r="J2064" s="8">
        <f>IF(AND(Таблицаx_2[[#This Row],[Месяц окончания]]=Таблицаx_2[[#This Row],[Месяц]],Таблицаx_2[[#This Row],[id]]=A2065,EDATE(Таблицаx_2[[#This Row],[Месяц]],1)=D2065),F2065,0)</f>
        <v>0</v>
      </c>
      <c r="K2064" s="8">
        <f>IF(AND(Таблицаx_2[[#This Row],[Месяц окончания]]=Таблицаx_2[[#This Row],[Месяц]],Таблицаx_2[[#This Row],[id]]=A2065,EDATE(Таблицаx_2[[#This Row],[Месяц]],2)=D2065),F2065,0)</f>
        <v>0</v>
      </c>
    </row>
    <row r="2065" spans="1:11" ht="12.75" hidden="1" customHeight="1" x14ac:dyDescent="0.2">
      <c r="A2065" s="8">
        <v>751</v>
      </c>
      <c r="B2065" s="8" t="s">
        <v>52</v>
      </c>
      <c r="C2065" s="8" t="s">
        <v>4</v>
      </c>
      <c r="D2065" s="12">
        <v>45261</v>
      </c>
      <c r="E2065" s="8">
        <v>144950</v>
      </c>
      <c r="F2065" s="10">
        <f>IF(ISTEXT(Таблицаx_2[[#This Row],[Значение]]), 0, Таблицаx_2[[#This Row],[Значение]])</f>
        <v>144950</v>
      </c>
      <c r="G2065" s="12">
        <v>45261</v>
      </c>
      <c r="H2065" s="10" t="str">
        <f>IFERROR(VLOOKUP(Таблицаx_2[[#This Row],[id]],prolongations!A:C,2,)," ")</f>
        <v>декабрь 2023</v>
      </c>
      <c r="I2065" s="10">
        <f>IF(Таблицаx_2[[#This Row],[Месяц окончания]]=Таблицаx_2[[#This Row],[Месяц]],Таблицаx_2[[#This Row],[Значения числа]],0)</f>
        <v>144950</v>
      </c>
      <c r="J2065" s="8">
        <f>IF(AND(Таблицаx_2[[#This Row],[Месяц окончания]]=Таблицаx_2[[#This Row],[Месяц]],Таблицаx_2[[#This Row],[id]]=A2066,EDATE(Таблицаx_2[[#This Row],[Месяц]],1)=D2066),F2066,0)</f>
        <v>106450</v>
      </c>
      <c r="K2065" s="8">
        <f>IF(AND(Таблицаx_2[[#This Row],[Месяц окончания]]=Таблицаx_2[[#This Row],[Месяц]],Таблицаx_2[[#This Row],[id]]=A2066,EDATE(Таблицаx_2[[#This Row],[Месяц]],2)=D2066),F2066,0)</f>
        <v>0</v>
      </c>
    </row>
    <row r="2066" spans="1:11" ht="12.75" hidden="1" customHeight="1" x14ac:dyDescent="0.2">
      <c r="A2066" s="8">
        <v>751</v>
      </c>
      <c r="B2066" s="8" t="s">
        <v>52</v>
      </c>
      <c r="C2066" s="8" t="s">
        <v>4</v>
      </c>
      <c r="D2066" s="12">
        <v>45292</v>
      </c>
      <c r="E2066" s="8">
        <v>106450</v>
      </c>
      <c r="F2066" s="10">
        <f>IF(ISTEXT(Таблицаx_2[[#This Row],[Значение]]), 0, Таблицаx_2[[#This Row],[Значение]])</f>
        <v>106450</v>
      </c>
      <c r="G2066" s="12">
        <v>45261</v>
      </c>
      <c r="H2066" s="10" t="str">
        <f>IFERROR(VLOOKUP(Таблицаx_2[[#This Row],[id]],prolongations!A:C,2,)," ")</f>
        <v>декабрь 2023</v>
      </c>
      <c r="I2066" s="10">
        <f>IF(Таблицаx_2[[#This Row],[Месяц окончания]]=Таблицаx_2[[#This Row],[Месяц]],Таблицаx_2[[#This Row],[Значения числа]],0)</f>
        <v>0</v>
      </c>
      <c r="J2066" s="8">
        <f>IF(AND(Таблицаx_2[[#This Row],[Месяц окончания]]=Таблицаx_2[[#This Row],[Месяц]],Таблицаx_2[[#This Row],[id]]=A2067,EDATE(Таблицаx_2[[#This Row],[Месяц]],1)=D2067),F2067,0)</f>
        <v>0</v>
      </c>
      <c r="K2066" s="8">
        <f>IF(AND(Таблицаx_2[[#This Row],[Месяц окончания]]=Таблицаx_2[[#This Row],[Месяц]],Таблицаx_2[[#This Row],[id]]=A2067,EDATE(Таблицаx_2[[#This Row],[Месяц]],2)=D2067),F2067,0)</f>
        <v>0</v>
      </c>
    </row>
    <row r="2067" spans="1:11" ht="12.75" hidden="1" customHeight="1" x14ac:dyDescent="0.2">
      <c r="A2067" s="8">
        <v>751</v>
      </c>
      <c r="B2067" s="8" t="s">
        <v>52</v>
      </c>
      <c r="C2067" s="8" t="s">
        <v>4</v>
      </c>
      <c r="D2067" s="12">
        <v>45323</v>
      </c>
      <c r="E2067" s="8">
        <v>173550</v>
      </c>
      <c r="F2067" s="10">
        <f>IF(ISTEXT(Таблицаx_2[[#This Row],[Значение]]), 0, Таблицаx_2[[#This Row],[Значение]])</f>
        <v>173550</v>
      </c>
      <c r="G2067" s="12">
        <v>45261</v>
      </c>
      <c r="H2067" s="10" t="str">
        <f>IFERROR(VLOOKUP(Таблицаx_2[[#This Row],[id]],prolongations!A:C,2,)," ")</f>
        <v>декабрь 2023</v>
      </c>
      <c r="I2067" s="10">
        <f>IF(Таблицаx_2[[#This Row],[Месяц окончания]]=Таблицаx_2[[#This Row],[Месяц]],Таблицаx_2[[#This Row],[Значения числа]],0)</f>
        <v>0</v>
      </c>
      <c r="J2067" s="8">
        <f>IF(AND(Таблицаx_2[[#This Row],[Месяц окончания]]=Таблицаx_2[[#This Row],[Месяц]],Таблицаx_2[[#This Row],[id]]=A2068,EDATE(Таблицаx_2[[#This Row],[Месяц]],1)=D2068),F2068,0)</f>
        <v>0</v>
      </c>
      <c r="K2067" s="8">
        <f>IF(AND(Таблицаx_2[[#This Row],[Месяц окончания]]=Таблицаx_2[[#This Row],[Месяц]],Таблицаx_2[[#This Row],[id]]=A2068,EDATE(Таблицаx_2[[#This Row],[Месяц]],2)=D2068),F2068,0)</f>
        <v>0</v>
      </c>
    </row>
    <row r="2068" spans="1:11" ht="12.75" hidden="1" customHeight="1" x14ac:dyDescent="0.2">
      <c r="A2068" s="8">
        <v>751</v>
      </c>
      <c r="B2068" s="8" t="s">
        <v>50</v>
      </c>
      <c r="C2068" s="8" t="s">
        <v>4</v>
      </c>
      <c r="D2068" s="12">
        <v>45323</v>
      </c>
      <c r="E2068" s="8">
        <v>46600</v>
      </c>
      <c r="F2068" s="10">
        <f>IF(ISTEXT(Таблицаx_2[[#This Row],[Значение]]), 0, Таблицаx_2[[#This Row],[Значение]])</f>
        <v>46600</v>
      </c>
      <c r="G2068" s="12">
        <v>45261</v>
      </c>
      <c r="H2068" s="10" t="str">
        <f>IFERROR(VLOOKUP(Таблицаx_2[[#This Row],[id]],prolongations!A:C,2,)," ")</f>
        <v>декабрь 2023</v>
      </c>
      <c r="I2068" s="10">
        <f>IF(Таблицаx_2[[#This Row],[Месяц окончания]]=Таблицаx_2[[#This Row],[Месяц]],Таблицаx_2[[#This Row],[Значения числа]],0)</f>
        <v>0</v>
      </c>
      <c r="J2068" s="8">
        <f>IF(AND(Таблицаx_2[[#This Row],[Месяц окончания]]=Таблицаx_2[[#This Row],[Месяц]],Таблицаx_2[[#This Row],[id]]=A2069,EDATE(Таблицаx_2[[#This Row],[Месяц]],1)=D2069),F2069,0)</f>
        <v>0</v>
      </c>
      <c r="K2068" s="8">
        <f>IF(AND(Таблицаx_2[[#This Row],[Месяц окончания]]=Таблицаx_2[[#This Row],[Месяц]],Таблицаx_2[[#This Row],[id]]=A2069,EDATE(Таблицаx_2[[#This Row],[Месяц]],2)=D2069),F2069,0)</f>
        <v>0</v>
      </c>
    </row>
    <row r="2069" spans="1:11" ht="12.75" hidden="1" customHeight="1" x14ac:dyDescent="0.2">
      <c r="A2069" s="8">
        <v>747</v>
      </c>
      <c r="B2069" s="8" t="s">
        <v>45</v>
      </c>
      <c r="C2069" s="8" t="s">
        <v>4</v>
      </c>
      <c r="D2069" s="12">
        <v>44927</v>
      </c>
      <c r="E2069" s="8">
        <v>18000</v>
      </c>
      <c r="F2069" s="10">
        <f>IF(ISTEXT(Таблицаx_2[[#This Row],[Значение]]), 0, Таблицаx_2[[#This Row],[Значение]])</f>
        <v>18000</v>
      </c>
      <c r="G2069" s="12">
        <v>45261</v>
      </c>
      <c r="H2069" s="10" t="str">
        <f>IFERROR(VLOOKUP(Таблицаx_2[[#This Row],[id]],prolongations!A:C,2,)," ")</f>
        <v>декабрь 2023</v>
      </c>
      <c r="I2069" s="10">
        <f>IF(Таблицаx_2[[#This Row],[Месяц окончания]]=Таблицаx_2[[#This Row],[Месяц]],Таблицаx_2[[#This Row],[Значения числа]],0)</f>
        <v>0</v>
      </c>
      <c r="J2069" s="8">
        <f>IF(AND(Таблицаx_2[[#This Row],[Месяц окончания]]=Таблицаx_2[[#This Row],[Месяц]],Таблицаx_2[[#This Row],[id]]=A2070,EDATE(Таблицаx_2[[#This Row],[Месяц]],1)=D2070),F2070,0)</f>
        <v>0</v>
      </c>
      <c r="K2069" s="8">
        <f>IF(AND(Таблицаx_2[[#This Row],[Месяц окончания]]=Таблицаx_2[[#This Row],[Месяц]],Таблицаx_2[[#This Row],[id]]=A2070,EDATE(Таблицаx_2[[#This Row],[Месяц]],2)=D2070),F2070,0)</f>
        <v>0</v>
      </c>
    </row>
    <row r="2070" spans="1:11" ht="12.75" hidden="1" customHeight="1" x14ac:dyDescent="0.2">
      <c r="A2070" s="8">
        <v>747</v>
      </c>
      <c r="B2070" s="8" t="s">
        <v>45</v>
      </c>
      <c r="C2070" s="8" t="s">
        <v>4</v>
      </c>
      <c r="D2070" s="12">
        <v>44958</v>
      </c>
      <c r="E2070" s="8">
        <v>15500</v>
      </c>
      <c r="F2070" s="10">
        <f>IF(ISTEXT(Таблицаx_2[[#This Row],[Значение]]), 0, Таблицаx_2[[#This Row],[Значение]])</f>
        <v>15500</v>
      </c>
      <c r="G2070" s="12">
        <v>45261</v>
      </c>
      <c r="H2070" s="10" t="str">
        <f>IFERROR(VLOOKUP(Таблицаx_2[[#This Row],[id]],prolongations!A:C,2,)," ")</f>
        <v>декабрь 2023</v>
      </c>
      <c r="I2070" s="10">
        <f>IF(Таблицаx_2[[#This Row],[Месяц окончания]]=Таблицаx_2[[#This Row],[Месяц]],Таблицаx_2[[#This Row],[Значения числа]],0)</f>
        <v>0</v>
      </c>
      <c r="J2070" s="8">
        <f>IF(AND(Таблицаx_2[[#This Row],[Месяц окончания]]=Таблицаx_2[[#This Row],[Месяц]],Таблицаx_2[[#This Row],[id]]=A2071,EDATE(Таблицаx_2[[#This Row],[Месяц]],1)=D2071),F2071,0)</f>
        <v>0</v>
      </c>
      <c r="K2070" s="8">
        <f>IF(AND(Таблицаx_2[[#This Row],[Месяц окончания]]=Таблицаx_2[[#This Row],[Месяц]],Таблицаx_2[[#This Row],[id]]=A2071,EDATE(Таблицаx_2[[#This Row],[Месяц]],2)=D2071),F2071,0)</f>
        <v>0</v>
      </c>
    </row>
    <row r="2071" spans="1:11" ht="12.75" hidden="1" customHeight="1" x14ac:dyDescent="0.2">
      <c r="A2071" s="8">
        <v>747</v>
      </c>
      <c r="B2071" s="8" t="s">
        <v>45</v>
      </c>
      <c r="C2071" s="8" t="s">
        <v>4</v>
      </c>
      <c r="D2071" s="12">
        <v>44986</v>
      </c>
      <c r="E2071" s="8">
        <v>25350</v>
      </c>
      <c r="F2071" s="10">
        <f>IF(ISTEXT(Таблицаx_2[[#This Row],[Значение]]), 0, Таблицаx_2[[#This Row],[Значение]])</f>
        <v>25350</v>
      </c>
      <c r="G2071" s="12">
        <v>45261</v>
      </c>
      <c r="H2071" s="10" t="str">
        <f>IFERROR(VLOOKUP(Таблицаx_2[[#This Row],[id]],prolongations!A:C,2,)," ")</f>
        <v>декабрь 2023</v>
      </c>
      <c r="I2071" s="10">
        <f>IF(Таблицаx_2[[#This Row],[Месяц окончания]]=Таблицаx_2[[#This Row],[Месяц]],Таблицаx_2[[#This Row],[Значения числа]],0)</f>
        <v>0</v>
      </c>
      <c r="J2071" s="8">
        <f>IF(AND(Таблицаx_2[[#This Row],[Месяц окончания]]=Таблицаx_2[[#This Row],[Месяц]],Таблицаx_2[[#This Row],[id]]=A2072,EDATE(Таблицаx_2[[#This Row],[Месяц]],1)=D2072),F2072,0)</f>
        <v>0</v>
      </c>
      <c r="K2071" s="8">
        <f>IF(AND(Таблицаx_2[[#This Row],[Месяц окончания]]=Таблицаx_2[[#This Row],[Месяц]],Таблицаx_2[[#This Row],[id]]=A2072,EDATE(Таблицаx_2[[#This Row],[Месяц]],2)=D2072),F2072,0)</f>
        <v>0</v>
      </c>
    </row>
    <row r="2072" spans="1:11" ht="12.75" hidden="1" customHeight="1" x14ac:dyDescent="0.2">
      <c r="A2072" s="8">
        <v>747</v>
      </c>
      <c r="B2072" s="8" t="s">
        <v>45</v>
      </c>
      <c r="C2072" s="8" t="s">
        <v>4</v>
      </c>
      <c r="D2072" s="12">
        <v>45017</v>
      </c>
      <c r="E2072" s="8">
        <v>24600</v>
      </c>
      <c r="F2072" s="10">
        <f>IF(ISTEXT(Таблицаx_2[[#This Row],[Значение]]), 0, Таблицаx_2[[#This Row],[Значение]])</f>
        <v>24600</v>
      </c>
      <c r="G2072" s="12">
        <v>45261</v>
      </c>
      <c r="H2072" s="10" t="str">
        <f>IFERROR(VLOOKUP(Таблицаx_2[[#This Row],[id]],prolongations!A:C,2,)," ")</f>
        <v>декабрь 2023</v>
      </c>
      <c r="I2072" s="10">
        <f>IF(Таблицаx_2[[#This Row],[Месяц окончания]]=Таблицаx_2[[#This Row],[Месяц]],Таблицаx_2[[#This Row],[Значения числа]],0)</f>
        <v>0</v>
      </c>
      <c r="J2072" s="8">
        <f>IF(AND(Таблицаx_2[[#This Row],[Месяц окончания]]=Таблицаx_2[[#This Row],[Месяц]],Таблицаx_2[[#This Row],[id]]=A2073,EDATE(Таблицаx_2[[#This Row],[Месяц]],1)=D2073),F2073,0)</f>
        <v>0</v>
      </c>
      <c r="K2072" s="8">
        <f>IF(AND(Таблицаx_2[[#This Row],[Месяц окончания]]=Таблицаx_2[[#This Row],[Месяц]],Таблицаx_2[[#This Row],[id]]=A2073,EDATE(Таблицаx_2[[#This Row],[Месяц]],2)=D2073),F2073,0)</f>
        <v>0</v>
      </c>
    </row>
    <row r="2073" spans="1:11" ht="12.75" hidden="1" customHeight="1" x14ac:dyDescent="0.2">
      <c r="A2073" s="8">
        <v>747</v>
      </c>
      <c r="B2073" s="8" t="s">
        <v>45</v>
      </c>
      <c r="C2073" s="8" t="s">
        <v>4</v>
      </c>
      <c r="D2073" s="12">
        <v>45047</v>
      </c>
      <c r="E2073" s="8">
        <v>6200</v>
      </c>
      <c r="F2073" s="10">
        <f>IF(ISTEXT(Таблицаx_2[[#This Row],[Значение]]), 0, Таблицаx_2[[#This Row],[Значение]])</f>
        <v>6200</v>
      </c>
      <c r="G2073" s="12">
        <v>45261</v>
      </c>
      <c r="H2073" s="10" t="str">
        <f>IFERROR(VLOOKUP(Таблицаx_2[[#This Row],[id]],prolongations!A:C,2,)," ")</f>
        <v>декабрь 2023</v>
      </c>
      <c r="I2073" s="10">
        <f>IF(Таблицаx_2[[#This Row],[Месяц окончания]]=Таблицаx_2[[#This Row],[Месяц]],Таблицаx_2[[#This Row],[Значения числа]],0)</f>
        <v>0</v>
      </c>
      <c r="J2073" s="8">
        <f>IF(AND(Таблицаx_2[[#This Row],[Месяц окончания]]=Таблицаx_2[[#This Row],[Месяц]],Таблицаx_2[[#This Row],[id]]=A2074,EDATE(Таблицаx_2[[#This Row],[Месяц]],1)=D2074),F2074,0)</f>
        <v>0</v>
      </c>
      <c r="K2073" s="8">
        <f>IF(AND(Таблицаx_2[[#This Row],[Месяц окончания]]=Таблицаx_2[[#This Row],[Месяц]],Таблицаx_2[[#This Row],[id]]=A2074,EDATE(Таблицаx_2[[#This Row],[Месяц]],2)=D2074),F2074,0)</f>
        <v>0</v>
      </c>
    </row>
    <row r="2074" spans="1:11" ht="12.75" hidden="1" customHeight="1" x14ac:dyDescent="0.2">
      <c r="A2074" s="8">
        <v>747</v>
      </c>
      <c r="B2074" s="8" t="s">
        <v>45</v>
      </c>
      <c r="C2074" s="8" t="s">
        <v>4</v>
      </c>
      <c r="D2074" s="12">
        <v>45078</v>
      </c>
      <c r="E2074" s="8">
        <v>17600</v>
      </c>
      <c r="F2074" s="10">
        <f>IF(ISTEXT(Таблицаx_2[[#This Row],[Значение]]), 0, Таблицаx_2[[#This Row],[Значение]])</f>
        <v>17600</v>
      </c>
      <c r="G2074" s="12">
        <v>45261</v>
      </c>
      <c r="H2074" s="10" t="str">
        <f>IFERROR(VLOOKUP(Таблицаx_2[[#This Row],[id]],prolongations!A:C,2,)," ")</f>
        <v>декабрь 2023</v>
      </c>
      <c r="I2074" s="10">
        <f>IF(Таблицаx_2[[#This Row],[Месяц окончания]]=Таблицаx_2[[#This Row],[Месяц]],Таблицаx_2[[#This Row],[Значения числа]],0)</f>
        <v>0</v>
      </c>
      <c r="J2074" s="8">
        <f>IF(AND(Таблицаx_2[[#This Row],[Месяц окончания]]=Таблицаx_2[[#This Row],[Месяц]],Таблицаx_2[[#This Row],[id]]=A2075,EDATE(Таблицаx_2[[#This Row],[Месяц]],1)=D2075),F2075,0)</f>
        <v>0</v>
      </c>
      <c r="K2074" s="8">
        <f>IF(AND(Таблицаx_2[[#This Row],[Месяц окончания]]=Таблицаx_2[[#This Row],[Месяц]],Таблицаx_2[[#This Row],[id]]=A2075,EDATE(Таблицаx_2[[#This Row],[Месяц]],2)=D2075),F2075,0)</f>
        <v>0</v>
      </c>
    </row>
    <row r="2075" spans="1:11" ht="12.75" hidden="1" customHeight="1" x14ac:dyDescent="0.2">
      <c r="A2075" s="8">
        <v>747</v>
      </c>
      <c r="B2075" s="8" t="s">
        <v>45</v>
      </c>
      <c r="C2075" s="8" t="s">
        <v>4</v>
      </c>
      <c r="D2075" s="12">
        <v>45108</v>
      </c>
      <c r="E2075" s="8">
        <v>12200</v>
      </c>
      <c r="F2075" s="10">
        <f>IF(ISTEXT(Таблицаx_2[[#This Row],[Значение]]), 0, Таблицаx_2[[#This Row],[Значение]])</f>
        <v>12200</v>
      </c>
      <c r="G2075" s="12">
        <v>45261</v>
      </c>
      <c r="H2075" s="10" t="str">
        <f>IFERROR(VLOOKUP(Таблицаx_2[[#This Row],[id]],prolongations!A:C,2,)," ")</f>
        <v>декабрь 2023</v>
      </c>
      <c r="I2075" s="10">
        <f>IF(Таблицаx_2[[#This Row],[Месяц окончания]]=Таблицаx_2[[#This Row],[Месяц]],Таблицаx_2[[#This Row],[Значения числа]],0)</f>
        <v>0</v>
      </c>
      <c r="J2075" s="8">
        <f>IF(AND(Таблицаx_2[[#This Row],[Месяц окончания]]=Таблицаx_2[[#This Row],[Месяц]],Таблицаx_2[[#This Row],[id]]=A2076,EDATE(Таблицаx_2[[#This Row],[Месяц]],1)=D2076),F2076,0)</f>
        <v>0</v>
      </c>
      <c r="K2075" s="8">
        <f>IF(AND(Таблицаx_2[[#This Row],[Месяц окончания]]=Таблицаx_2[[#This Row],[Месяц]],Таблицаx_2[[#This Row],[id]]=A2076,EDATE(Таблицаx_2[[#This Row],[Месяц]],2)=D2076),F2076,0)</f>
        <v>0</v>
      </c>
    </row>
    <row r="2076" spans="1:11" ht="12.75" hidden="1" customHeight="1" x14ac:dyDescent="0.2">
      <c r="A2076" s="8">
        <v>747</v>
      </c>
      <c r="B2076" s="8" t="s">
        <v>45</v>
      </c>
      <c r="C2076" s="8" t="s">
        <v>4</v>
      </c>
      <c r="D2076" s="12">
        <v>45139</v>
      </c>
      <c r="E2076" s="8">
        <v>14600</v>
      </c>
      <c r="F2076" s="10">
        <f>IF(ISTEXT(Таблицаx_2[[#This Row],[Значение]]), 0, Таблицаx_2[[#This Row],[Значение]])</f>
        <v>14600</v>
      </c>
      <c r="G2076" s="12">
        <v>45261</v>
      </c>
      <c r="H2076" s="10" t="str">
        <f>IFERROR(VLOOKUP(Таблицаx_2[[#This Row],[id]],prolongations!A:C,2,)," ")</f>
        <v>декабрь 2023</v>
      </c>
      <c r="I2076" s="10">
        <f>IF(Таблицаx_2[[#This Row],[Месяц окончания]]=Таблицаx_2[[#This Row],[Месяц]],Таблицаx_2[[#This Row],[Значения числа]],0)</f>
        <v>0</v>
      </c>
      <c r="J2076" s="8">
        <f>IF(AND(Таблицаx_2[[#This Row],[Месяц окончания]]=Таблицаx_2[[#This Row],[Месяц]],Таблицаx_2[[#This Row],[id]]=A2077,EDATE(Таблицаx_2[[#This Row],[Месяц]],1)=D2077),F2077,0)</f>
        <v>0</v>
      </c>
      <c r="K2076" s="8">
        <f>IF(AND(Таблицаx_2[[#This Row],[Месяц окончания]]=Таблицаx_2[[#This Row],[Месяц]],Таблицаx_2[[#This Row],[id]]=A2077,EDATE(Таблицаx_2[[#This Row],[Месяц]],2)=D2077),F2077,0)</f>
        <v>0</v>
      </c>
    </row>
    <row r="2077" spans="1:11" ht="12.75" hidden="1" customHeight="1" x14ac:dyDescent="0.2">
      <c r="A2077" s="8">
        <v>747</v>
      </c>
      <c r="B2077" s="8" t="s">
        <v>45</v>
      </c>
      <c r="C2077" s="8" t="s">
        <v>4</v>
      </c>
      <c r="D2077" s="12">
        <v>45170</v>
      </c>
      <c r="E2077" s="8">
        <v>18200</v>
      </c>
      <c r="F2077" s="10">
        <f>IF(ISTEXT(Таблицаx_2[[#This Row],[Значение]]), 0, Таблицаx_2[[#This Row],[Значение]])</f>
        <v>18200</v>
      </c>
      <c r="G2077" s="12">
        <v>45261</v>
      </c>
      <c r="H2077" s="10" t="str">
        <f>IFERROR(VLOOKUP(Таблицаx_2[[#This Row],[id]],prolongations!A:C,2,)," ")</f>
        <v>декабрь 2023</v>
      </c>
      <c r="I2077" s="10">
        <f>IF(Таблицаx_2[[#This Row],[Месяц окончания]]=Таблицаx_2[[#This Row],[Месяц]],Таблицаx_2[[#This Row],[Значения числа]],0)</f>
        <v>0</v>
      </c>
      <c r="J2077" s="8">
        <f>IF(AND(Таблицаx_2[[#This Row],[Месяц окончания]]=Таблицаx_2[[#This Row],[Месяц]],Таблицаx_2[[#This Row],[id]]=A2078,EDATE(Таблицаx_2[[#This Row],[Месяц]],1)=D2078),F2078,0)</f>
        <v>0</v>
      </c>
      <c r="K2077" s="8">
        <f>IF(AND(Таблицаx_2[[#This Row],[Месяц окончания]]=Таблицаx_2[[#This Row],[Месяц]],Таблицаx_2[[#This Row],[id]]=A2078,EDATE(Таблицаx_2[[#This Row],[Месяц]],2)=D2078),F2078,0)</f>
        <v>0</v>
      </c>
    </row>
    <row r="2078" spans="1:11" ht="12.75" hidden="1" customHeight="1" x14ac:dyDescent="0.2">
      <c r="A2078" s="8">
        <v>747</v>
      </c>
      <c r="B2078" s="8" t="s">
        <v>45</v>
      </c>
      <c r="C2078" s="8" t="s">
        <v>4</v>
      </c>
      <c r="D2078" s="12">
        <v>45200</v>
      </c>
      <c r="E2078" s="8">
        <v>14900</v>
      </c>
      <c r="F2078" s="10">
        <f>IF(ISTEXT(Таблицаx_2[[#This Row],[Значение]]), 0, Таблицаx_2[[#This Row],[Значение]])</f>
        <v>14900</v>
      </c>
      <c r="G2078" s="12">
        <v>45261</v>
      </c>
      <c r="H2078" s="10" t="str">
        <f>IFERROR(VLOOKUP(Таблицаx_2[[#This Row],[id]],prolongations!A:C,2,)," ")</f>
        <v>декабрь 2023</v>
      </c>
      <c r="I2078" s="10">
        <f>IF(Таблицаx_2[[#This Row],[Месяц окончания]]=Таблицаx_2[[#This Row],[Месяц]],Таблицаx_2[[#This Row],[Значения числа]],0)</f>
        <v>0</v>
      </c>
      <c r="J2078" s="8">
        <f>IF(AND(Таблицаx_2[[#This Row],[Месяц окончания]]=Таблицаx_2[[#This Row],[Месяц]],Таблицаx_2[[#This Row],[id]]=A2079,EDATE(Таблицаx_2[[#This Row],[Месяц]],1)=D2079),F2079,0)</f>
        <v>0</v>
      </c>
      <c r="K2078" s="8">
        <f>IF(AND(Таблицаx_2[[#This Row],[Месяц окончания]]=Таблицаx_2[[#This Row],[Месяц]],Таблицаx_2[[#This Row],[id]]=A2079,EDATE(Таблицаx_2[[#This Row],[Месяц]],2)=D2079),F2079,0)</f>
        <v>0</v>
      </c>
    </row>
    <row r="2079" spans="1:11" ht="12.75" hidden="1" customHeight="1" x14ac:dyDescent="0.2">
      <c r="A2079" s="8">
        <v>747</v>
      </c>
      <c r="B2079" s="8" t="s">
        <v>45</v>
      </c>
      <c r="C2079" s="8" t="s">
        <v>4</v>
      </c>
      <c r="D2079" s="12">
        <v>45231</v>
      </c>
      <c r="E2079" s="8">
        <v>20900</v>
      </c>
      <c r="F2079" s="10">
        <f>IF(ISTEXT(Таблицаx_2[[#This Row],[Значение]]), 0, Таблицаx_2[[#This Row],[Значение]])</f>
        <v>20900</v>
      </c>
      <c r="G2079" s="12">
        <v>45261</v>
      </c>
      <c r="H2079" s="10" t="str">
        <f>IFERROR(VLOOKUP(Таблицаx_2[[#This Row],[id]],prolongations!A:C,2,)," ")</f>
        <v>декабрь 2023</v>
      </c>
      <c r="I2079" s="10">
        <f>IF(Таблицаx_2[[#This Row],[Месяц окончания]]=Таблицаx_2[[#This Row],[Месяц]],Таблицаx_2[[#This Row],[Значения числа]],0)</f>
        <v>0</v>
      </c>
      <c r="J2079" s="8">
        <f>IF(AND(Таблицаx_2[[#This Row],[Месяц окончания]]=Таблицаx_2[[#This Row],[Месяц]],Таблицаx_2[[#This Row],[id]]=A2080,EDATE(Таблицаx_2[[#This Row],[Месяц]],1)=D2080),F2080,0)</f>
        <v>0</v>
      </c>
      <c r="K2079" s="8">
        <f>IF(AND(Таблицаx_2[[#This Row],[Месяц окончания]]=Таблицаx_2[[#This Row],[Месяц]],Таблицаx_2[[#This Row],[id]]=A2080,EDATE(Таблицаx_2[[#This Row],[Месяц]],2)=D2080),F2080,0)</f>
        <v>0</v>
      </c>
    </row>
    <row r="2080" spans="1:11" ht="12.75" hidden="1" customHeight="1" x14ac:dyDescent="0.2">
      <c r="A2080" s="8">
        <v>747</v>
      </c>
      <c r="B2080" s="8" t="s">
        <v>45</v>
      </c>
      <c r="C2080" s="8" t="s">
        <v>4</v>
      </c>
      <c r="D2080" s="12">
        <v>45261</v>
      </c>
      <c r="E2080" s="8">
        <v>16700</v>
      </c>
      <c r="F2080" s="10">
        <f>IF(ISTEXT(Таблицаx_2[[#This Row],[Значение]]), 0, Таблицаx_2[[#This Row],[Значение]])</f>
        <v>16700</v>
      </c>
      <c r="G2080" s="12">
        <v>45261</v>
      </c>
      <c r="H2080" s="10" t="str">
        <f>IFERROR(VLOOKUP(Таблицаx_2[[#This Row],[id]],prolongations!A:C,2,)," ")</f>
        <v>декабрь 2023</v>
      </c>
      <c r="I2080" s="10">
        <f>IF(Таблицаx_2[[#This Row],[Месяц окончания]]=Таблицаx_2[[#This Row],[Месяц]],Таблицаx_2[[#This Row],[Значения числа]],0)</f>
        <v>16700</v>
      </c>
      <c r="J2080" s="8">
        <f>IF(AND(Таблицаx_2[[#This Row],[Месяц окончания]]=Таблицаx_2[[#This Row],[Месяц]],Таблицаx_2[[#This Row],[id]]=A2081,EDATE(Таблицаx_2[[#This Row],[Месяц]],1)=D2081),F2081,0)</f>
        <v>15750</v>
      </c>
      <c r="K2080" s="8">
        <f>IF(AND(Таблицаx_2[[#This Row],[Месяц окончания]]=Таблицаx_2[[#This Row],[Месяц]],Таблицаx_2[[#This Row],[id]]=A2081,EDATE(Таблицаx_2[[#This Row],[Месяц]],2)=D2081),F2081,0)</f>
        <v>0</v>
      </c>
    </row>
    <row r="2081" spans="1:11" ht="12.75" hidden="1" customHeight="1" x14ac:dyDescent="0.2">
      <c r="A2081" s="8">
        <v>747</v>
      </c>
      <c r="B2081" s="8" t="s">
        <v>45</v>
      </c>
      <c r="C2081" s="8" t="s">
        <v>4</v>
      </c>
      <c r="D2081" s="12">
        <v>45292</v>
      </c>
      <c r="E2081" s="8">
        <v>15750</v>
      </c>
      <c r="F2081" s="10">
        <f>IF(ISTEXT(Таблицаx_2[[#This Row],[Значение]]), 0, Таблицаx_2[[#This Row],[Значение]])</f>
        <v>15750</v>
      </c>
      <c r="G2081" s="12">
        <v>45261</v>
      </c>
      <c r="H2081" s="10" t="str">
        <f>IFERROR(VLOOKUP(Таблицаx_2[[#This Row],[id]],prolongations!A:C,2,)," ")</f>
        <v>декабрь 2023</v>
      </c>
      <c r="I2081" s="10">
        <f>IF(Таблицаx_2[[#This Row],[Месяц окончания]]=Таблицаx_2[[#This Row],[Месяц]],Таблицаx_2[[#This Row],[Значения числа]],0)</f>
        <v>0</v>
      </c>
      <c r="J2081" s="8">
        <f>IF(AND(Таблицаx_2[[#This Row],[Месяц окончания]]=Таблицаx_2[[#This Row],[Месяц]],Таблицаx_2[[#This Row],[id]]=A2082,EDATE(Таблицаx_2[[#This Row],[Месяц]],1)=D2082),F2082,0)</f>
        <v>0</v>
      </c>
      <c r="K2081" s="8">
        <f>IF(AND(Таблицаx_2[[#This Row],[Месяц окончания]]=Таблицаx_2[[#This Row],[Месяц]],Таблицаx_2[[#This Row],[id]]=A2082,EDATE(Таблицаx_2[[#This Row],[Месяц]],2)=D2082),F2082,0)</f>
        <v>0</v>
      </c>
    </row>
    <row r="2082" spans="1:11" ht="12.75" hidden="1" customHeight="1" x14ac:dyDescent="0.2">
      <c r="A2082" s="8">
        <v>747</v>
      </c>
      <c r="B2082" s="8" t="s">
        <v>45</v>
      </c>
      <c r="C2082" s="8" t="s">
        <v>4</v>
      </c>
      <c r="D2082" s="12">
        <v>45323</v>
      </c>
      <c r="E2082" s="8">
        <v>22000</v>
      </c>
      <c r="F2082" s="10">
        <f>IF(ISTEXT(Таблицаx_2[[#This Row],[Значение]]), 0, Таблицаx_2[[#This Row],[Значение]])</f>
        <v>22000</v>
      </c>
      <c r="G2082" s="12">
        <v>45261</v>
      </c>
      <c r="H2082" s="10" t="str">
        <f>IFERROR(VLOOKUP(Таблицаx_2[[#This Row],[id]],prolongations!A:C,2,)," ")</f>
        <v>декабрь 2023</v>
      </c>
      <c r="I2082" s="10">
        <f>IF(Таблицаx_2[[#This Row],[Месяц окончания]]=Таблицаx_2[[#This Row],[Месяц]],Таблицаx_2[[#This Row],[Значения числа]],0)</f>
        <v>0</v>
      </c>
      <c r="J2082" s="8">
        <f>IF(AND(Таблицаx_2[[#This Row],[Месяц окончания]]=Таблицаx_2[[#This Row],[Месяц]],Таблицаx_2[[#This Row],[id]]=A2083,EDATE(Таблицаx_2[[#This Row],[Месяц]],1)=D2083),F2083,0)</f>
        <v>0</v>
      </c>
      <c r="K2082" s="8">
        <f>IF(AND(Таблицаx_2[[#This Row],[Месяц окончания]]=Таблицаx_2[[#This Row],[Месяц]],Таблицаx_2[[#This Row],[id]]=A2083,EDATE(Таблицаx_2[[#This Row],[Месяц]],2)=D2083),F2083,0)</f>
        <v>0</v>
      </c>
    </row>
    <row r="2083" spans="1:11" ht="12.75" hidden="1" customHeight="1" x14ac:dyDescent="0.2">
      <c r="A2083" s="8">
        <v>746</v>
      </c>
      <c r="B2083" s="8"/>
      <c r="C2083" s="8" t="s">
        <v>4</v>
      </c>
      <c r="D2083" s="12">
        <v>44927</v>
      </c>
      <c r="E2083" s="8">
        <v>17800</v>
      </c>
      <c r="F2083" s="10">
        <f>IF(ISTEXT(Таблицаx_2[[#This Row],[Значение]]), 0, Таблицаx_2[[#This Row],[Значение]])</f>
        <v>17800</v>
      </c>
      <c r="G2083" s="12">
        <v>45261</v>
      </c>
      <c r="H2083" s="10" t="str">
        <f>IFERROR(VLOOKUP(Таблицаx_2[[#This Row],[id]],prolongations!A:C,2,)," ")</f>
        <v>декабрь 2023</v>
      </c>
      <c r="I2083" s="10">
        <f>IF(Таблицаx_2[[#This Row],[Месяц окончания]]=Таблицаx_2[[#This Row],[Месяц]],Таблицаx_2[[#This Row],[Значения числа]],0)</f>
        <v>0</v>
      </c>
      <c r="J2083" s="8">
        <f>IF(AND(Таблицаx_2[[#This Row],[Месяц окончания]]=Таблицаx_2[[#This Row],[Месяц]],Таблицаx_2[[#This Row],[id]]=A2084,EDATE(Таблицаx_2[[#This Row],[Месяц]],1)=D2084),F2084,0)</f>
        <v>0</v>
      </c>
      <c r="K2083" s="8">
        <f>IF(AND(Таблицаx_2[[#This Row],[Месяц окончания]]=Таблицаx_2[[#This Row],[Месяц]],Таблицаx_2[[#This Row],[id]]=A2084,EDATE(Таблицаx_2[[#This Row],[Месяц]],2)=D2084),F2084,0)</f>
        <v>0</v>
      </c>
    </row>
    <row r="2084" spans="1:11" ht="12.75" hidden="1" customHeight="1" x14ac:dyDescent="0.2">
      <c r="A2084" s="8">
        <v>746</v>
      </c>
      <c r="B2084" s="8"/>
      <c r="C2084" s="8" t="s">
        <v>4</v>
      </c>
      <c r="D2084" s="12">
        <v>44958</v>
      </c>
      <c r="E2084" s="8">
        <v>21050</v>
      </c>
      <c r="F2084" s="10">
        <f>IF(ISTEXT(Таблицаx_2[[#This Row],[Значение]]), 0, Таблицаx_2[[#This Row],[Значение]])</f>
        <v>21050</v>
      </c>
      <c r="G2084" s="12">
        <v>45261</v>
      </c>
      <c r="H2084" s="10" t="str">
        <f>IFERROR(VLOOKUP(Таблицаx_2[[#This Row],[id]],prolongations!A:C,2,)," ")</f>
        <v>декабрь 2023</v>
      </c>
      <c r="I2084" s="10">
        <f>IF(Таблицаx_2[[#This Row],[Месяц окончания]]=Таблицаx_2[[#This Row],[Месяц]],Таблицаx_2[[#This Row],[Значения числа]],0)</f>
        <v>0</v>
      </c>
      <c r="J2084" s="8">
        <f>IF(AND(Таблицаx_2[[#This Row],[Месяц окончания]]=Таблицаx_2[[#This Row],[Месяц]],Таблицаx_2[[#This Row],[id]]=A2085,EDATE(Таблицаx_2[[#This Row],[Месяц]],1)=D2085),F2085,0)</f>
        <v>0</v>
      </c>
      <c r="K2084" s="8">
        <f>IF(AND(Таблицаx_2[[#This Row],[Месяц окончания]]=Таблицаx_2[[#This Row],[Месяц]],Таблицаx_2[[#This Row],[id]]=A2085,EDATE(Таблицаx_2[[#This Row],[Месяц]],2)=D2085),F2085,0)</f>
        <v>0</v>
      </c>
    </row>
    <row r="2085" spans="1:11" ht="12.75" hidden="1" customHeight="1" x14ac:dyDescent="0.2">
      <c r="A2085" s="8">
        <v>746</v>
      </c>
      <c r="B2085" s="8"/>
      <c r="C2085" s="8" t="s">
        <v>4</v>
      </c>
      <c r="D2085" s="12">
        <v>44986</v>
      </c>
      <c r="E2085" s="8">
        <v>10650</v>
      </c>
      <c r="F2085" s="10">
        <f>IF(ISTEXT(Таблицаx_2[[#This Row],[Значение]]), 0, Таблицаx_2[[#This Row],[Значение]])</f>
        <v>10650</v>
      </c>
      <c r="G2085" s="12">
        <v>45261</v>
      </c>
      <c r="H2085" s="10" t="str">
        <f>IFERROR(VLOOKUP(Таблицаx_2[[#This Row],[id]],prolongations!A:C,2,)," ")</f>
        <v>декабрь 2023</v>
      </c>
      <c r="I2085" s="10">
        <f>IF(Таблицаx_2[[#This Row],[Месяц окончания]]=Таблицаx_2[[#This Row],[Месяц]],Таблицаx_2[[#This Row],[Значения числа]],0)</f>
        <v>0</v>
      </c>
      <c r="J2085" s="8">
        <f>IF(AND(Таблицаx_2[[#This Row],[Месяц окончания]]=Таблицаx_2[[#This Row],[Месяц]],Таблицаx_2[[#This Row],[id]]=A2086,EDATE(Таблицаx_2[[#This Row],[Месяц]],1)=D2086),F2086,0)</f>
        <v>0</v>
      </c>
      <c r="K2085" s="8">
        <f>IF(AND(Таблицаx_2[[#This Row],[Месяц окончания]]=Таблицаx_2[[#This Row],[Месяц]],Таблицаx_2[[#This Row],[id]]=A2086,EDATE(Таблицаx_2[[#This Row],[Месяц]],2)=D2086),F2086,0)</f>
        <v>0</v>
      </c>
    </row>
    <row r="2086" spans="1:11" ht="12.75" hidden="1" customHeight="1" x14ac:dyDescent="0.2">
      <c r="A2086" s="8">
        <v>746</v>
      </c>
      <c r="B2086" s="8"/>
      <c r="C2086" s="8" t="s">
        <v>4</v>
      </c>
      <c r="D2086" s="12">
        <v>45017</v>
      </c>
      <c r="E2086" s="8">
        <v>18800</v>
      </c>
      <c r="F2086" s="10">
        <f>IF(ISTEXT(Таблицаx_2[[#This Row],[Значение]]), 0, Таблицаx_2[[#This Row],[Значение]])</f>
        <v>18800</v>
      </c>
      <c r="G2086" s="12">
        <v>45261</v>
      </c>
      <c r="H2086" s="10" t="str">
        <f>IFERROR(VLOOKUP(Таблицаx_2[[#This Row],[id]],prolongations!A:C,2,)," ")</f>
        <v>декабрь 2023</v>
      </c>
      <c r="I2086" s="10">
        <f>IF(Таблицаx_2[[#This Row],[Месяц окончания]]=Таблицаx_2[[#This Row],[Месяц]],Таблицаx_2[[#This Row],[Значения числа]],0)</f>
        <v>0</v>
      </c>
      <c r="J2086" s="8">
        <f>IF(AND(Таблицаx_2[[#This Row],[Месяц окончания]]=Таблицаx_2[[#This Row],[Месяц]],Таблицаx_2[[#This Row],[id]]=A2087,EDATE(Таблицаx_2[[#This Row],[Месяц]],1)=D2087),F2087,0)</f>
        <v>0</v>
      </c>
      <c r="K2086" s="8">
        <f>IF(AND(Таблицаx_2[[#This Row],[Месяц окончания]]=Таблицаx_2[[#This Row],[Месяц]],Таблицаx_2[[#This Row],[id]]=A2087,EDATE(Таблицаx_2[[#This Row],[Месяц]],2)=D2087),F2087,0)</f>
        <v>0</v>
      </c>
    </row>
    <row r="2087" spans="1:11" ht="12.75" hidden="1" customHeight="1" x14ac:dyDescent="0.2">
      <c r="A2087" s="8">
        <v>746</v>
      </c>
      <c r="B2087" s="8"/>
      <c r="C2087" s="8" t="s">
        <v>4</v>
      </c>
      <c r="D2087" s="12">
        <v>45047</v>
      </c>
      <c r="E2087" s="8">
        <v>13450</v>
      </c>
      <c r="F2087" s="10">
        <f>IF(ISTEXT(Таблицаx_2[[#This Row],[Значение]]), 0, Таблицаx_2[[#This Row],[Значение]])</f>
        <v>13450</v>
      </c>
      <c r="G2087" s="12">
        <v>45261</v>
      </c>
      <c r="H2087" s="10" t="str">
        <f>IFERROR(VLOOKUP(Таблицаx_2[[#This Row],[id]],prolongations!A:C,2,)," ")</f>
        <v>декабрь 2023</v>
      </c>
      <c r="I2087" s="10">
        <f>IF(Таблицаx_2[[#This Row],[Месяц окончания]]=Таблицаx_2[[#This Row],[Месяц]],Таблицаx_2[[#This Row],[Значения числа]],0)</f>
        <v>0</v>
      </c>
      <c r="J2087" s="8">
        <f>IF(AND(Таблицаx_2[[#This Row],[Месяц окончания]]=Таблицаx_2[[#This Row],[Месяц]],Таблицаx_2[[#This Row],[id]]=A2088,EDATE(Таблицаx_2[[#This Row],[Месяц]],1)=D2088),F2088,0)</f>
        <v>0</v>
      </c>
      <c r="K2087" s="8">
        <f>IF(AND(Таблицаx_2[[#This Row],[Месяц окончания]]=Таблицаx_2[[#This Row],[Месяц]],Таблицаx_2[[#This Row],[id]]=A2088,EDATE(Таблицаx_2[[#This Row],[Месяц]],2)=D2088),F2088,0)</f>
        <v>0</v>
      </c>
    </row>
    <row r="2088" spans="1:11" ht="12.75" hidden="1" customHeight="1" x14ac:dyDescent="0.2">
      <c r="A2088" s="8">
        <v>746</v>
      </c>
      <c r="B2088" s="8"/>
      <c r="C2088" s="8" t="s">
        <v>4</v>
      </c>
      <c r="D2088" s="12">
        <v>45078</v>
      </c>
      <c r="E2088" s="8">
        <v>5300</v>
      </c>
      <c r="F2088" s="10">
        <f>IF(ISTEXT(Таблицаx_2[[#This Row],[Значение]]), 0, Таблицаx_2[[#This Row],[Значение]])</f>
        <v>5300</v>
      </c>
      <c r="G2088" s="12">
        <v>45261</v>
      </c>
      <c r="H2088" s="10" t="str">
        <f>IFERROR(VLOOKUP(Таблицаx_2[[#This Row],[id]],prolongations!A:C,2,)," ")</f>
        <v>декабрь 2023</v>
      </c>
      <c r="I2088" s="10">
        <f>IF(Таблицаx_2[[#This Row],[Месяц окончания]]=Таблицаx_2[[#This Row],[Месяц]],Таблицаx_2[[#This Row],[Значения числа]],0)</f>
        <v>0</v>
      </c>
      <c r="J2088" s="8">
        <f>IF(AND(Таблицаx_2[[#This Row],[Месяц окончания]]=Таблицаx_2[[#This Row],[Месяц]],Таблицаx_2[[#This Row],[id]]=A2089,EDATE(Таблицаx_2[[#This Row],[Месяц]],1)=D2089),F2089,0)</f>
        <v>0</v>
      </c>
      <c r="K2088" s="8">
        <f>IF(AND(Таблицаx_2[[#This Row],[Месяц окончания]]=Таблицаx_2[[#This Row],[Месяц]],Таблицаx_2[[#This Row],[id]]=A2089,EDATE(Таблицаx_2[[#This Row],[Месяц]],2)=D2089),F2089,0)</f>
        <v>0</v>
      </c>
    </row>
    <row r="2089" spans="1:11" ht="12.75" hidden="1" customHeight="1" x14ac:dyDescent="0.2">
      <c r="A2089" s="8">
        <v>746</v>
      </c>
      <c r="B2089" s="8"/>
      <c r="C2089" s="8" t="s">
        <v>4</v>
      </c>
      <c r="D2089" s="12">
        <v>45108</v>
      </c>
      <c r="E2089" s="8">
        <v>13000</v>
      </c>
      <c r="F2089" s="10">
        <f>IF(ISTEXT(Таблицаx_2[[#This Row],[Значение]]), 0, Таблицаx_2[[#This Row],[Значение]])</f>
        <v>13000</v>
      </c>
      <c r="G2089" s="12">
        <v>45261</v>
      </c>
      <c r="H2089" s="10" t="str">
        <f>IFERROR(VLOOKUP(Таблицаx_2[[#This Row],[id]],prolongations!A:C,2,)," ")</f>
        <v>декабрь 2023</v>
      </c>
      <c r="I2089" s="10">
        <f>IF(Таблицаx_2[[#This Row],[Месяц окончания]]=Таблицаx_2[[#This Row],[Месяц]],Таблицаx_2[[#This Row],[Значения числа]],0)</f>
        <v>0</v>
      </c>
      <c r="J2089" s="8">
        <f>IF(AND(Таблицаx_2[[#This Row],[Месяц окончания]]=Таблицаx_2[[#This Row],[Месяц]],Таблицаx_2[[#This Row],[id]]=A2090,EDATE(Таблицаx_2[[#This Row],[Месяц]],1)=D2090),F2090,0)</f>
        <v>0</v>
      </c>
      <c r="K2089" s="8">
        <f>IF(AND(Таблицаx_2[[#This Row],[Месяц окончания]]=Таблицаx_2[[#This Row],[Месяц]],Таблицаx_2[[#This Row],[id]]=A2090,EDATE(Таблицаx_2[[#This Row],[Месяц]],2)=D2090),F2090,0)</f>
        <v>0</v>
      </c>
    </row>
    <row r="2090" spans="1:11" ht="12.75" hidden="1" customHeight="1" x14ac:dyDescent="0.2">
      <c r="A2090" s="8">
        <v>746</v>
      </c>
      <c r="B2090" s="8"/>
      <c r="C2090" s="8" t="s">
        <v>4</v>
      </c>
      <c r="D2090" s="12">
        <v>45139</v>
      </c>
      <c r="E2090" s="8">
        <v>13600</v>
      </c>
      <c r="F2090" s="10">
        <f>IF(ISTEXT(Таблицаx_2[[#This Row],[Значение]]), 0, Таблицаx_2[[#This Row],[Значение]])</f>
        <v>13600</v>
      </c>
      <c r="G2090" s="12">
        <v>45261</v>
      </c>
      <c r="H2090" s="10" t="str">
        <f>IFERROR(VLOOKUP(Таблицаx_2[[#This Row],[id]],prolongations!A:C,2,)," ")</f>
        <v>декабрь 2023</v>
      </c>
      <c r="I2090" s="10">
        <f>IF(Таблицаx_2[[#This Row],[Месяц окончания]]=Таблицаx_2[[#This Row],[Месяц]],Таблицаx_2[[#This Row],[Значения числа]],0)</f>
        <v>0</v>
      </c>
      <c r="J2090" s="8">
        <f>IF(AND(Таблицаx_2[[#This Row],[Месяц окончания]]=Таблицаx_2[[#This Row],[Месяц]],Таблицаx_2[[#This Row],[id]]=A2091,EDATE(Таблицаx_2[[#This Row],[Месяц]],1)=D2091),F2091,0)</f>
        <v>0</v>
      </c>
      <c r="K2090" s="8">
        <f>IF(AND(Таблицаx_2[[#This Row],[Месяц окончания]]=Таблицаx_2[[#This Row],[Месяц]],Таблицаx_2[[#This Row],[id]]=A2091,EDATE(Таблицаx_2[[#This Row],[Месяц]],2)=D2091),F2091,0)</f>
        <v>0</v>
      </c>
    </row>
    <row r="2091" spans="1:11" ht="12.75" hidden="1" customHeight="1" x14ac:dyDescent="0.2">
      <c r="A2091" s="8">
        <v>746</v>
      </c>
      <c r="B2091" s="8"/>
      <c r="C2091" s="8" t="s">
        <v>4</v>
      </c>
      <c r="D2091" s="12">
        <v>45170</v>
      </c>
      <c r="E2091" s="8">
        <v>9000</v>
      </c>
      <c r="F2091" s="10">
        <f>IF(ISTEXT(Таблицаx_2[[#This Row],[Значение]]), 0, Таблицаx_2[[#This Row],[Значение]])</f>
        <v>9000</v>
      </c>
      <c r="G2091" s="12">
        <v>45261</v>
      </c>
      <c r="H2091" s="10" t="str">
        <f>IFERROR(VLOOKUP(Таблицаx_2[[#This Row],[id]],prolongations!A:C,2,)," ")</f>
        <v>декабрь 2023</v>
      </c>
      <c r="I2091" s="10">
        <f>IF(Таблицаx_2[[#This Row],[Месяц окончания]]=Таблицаx_2[[#This Row],[Месяц]],Таблицаx_2[[#This Row],[Значения числа]],0)</f>
        <v>0</v>
      </c>
      <c r="J2091" s="8">
        <f>IF(AND(Таблицаx_2[[#This Row],[Месяц окончания]]=Таблицаx_2[[#This Row],[Месяц]],Таблицаx_2[[#This Row],[id]]=A2092,EDATE(Таблицаx_2[[#This Row],[Месяц]],1)=D2092),F2092,0)</f>
        <v>0</v>
      </c>
      <c r="K2091" s="8">
        <f>IF(AND(Таблицаx_2[[#This Row],[Месяц окончания]]=Таблицаx_2[[#This Row],[Месяц]],Таблицаx_2[[#This Row],[id]]=A2092,EDATE(Таблицаx_2[[#This Row],[Месяц]],2)=D2092),F2092,0)</f>
        <v>0</v>
      </c>
    </row>
    <row r="2092" spans="1:11" ht="12.75" hidden="1" customHeight="1" x14ac:dyDescent="0.2">
      <c r="A2092" s="8">
        <v>746</v>
      </c>
      <c r="B2092" s="8"/>
      <c r="C2092" s="8" t="s">
        <v>4</v>
      </c>
      <c r="D2092" s="12">
        <v>45200</v>
      </c>
      <c r="E2092" s="8">
        <v>16650</v>
      </c>
      <c r="F2092" s="10">
        <f>IF(ISTEXT(Таблицаx_2[[#This Row],[Значение]]), 0, Таблицаx_2[[#This Row],[Значение]])</f>
        <v>16650</v>
      </c>
      <c r="G2092" s="12">
        <v>45261</v>
      </c>
      <c r="H2092" s="10" t="str">
        <f>IFERROR(VLOOKUP(Таблицаx_2[[#This Row],[id]],prolongations!A:C,2,)," ")</f>
        <v>декабрь 2023</v>
      </c>
      <c r="I2092" s="10">
        <f>IF(Таблицаx_2[[#This Row],[Месяц окончания]]=Таблицаx_2[[#This Row],[Месяц]],Таблицаx_2[[#This Row],[Значения числа]],0)</f>
        <v>0</v>
      </c>
      <c r="J2092" s="8">
        <f>IF(AND(Таблицаx_2[[#This Row],[Месяц окончания]]=Таблицаx_2[[#This Row],[Месяц]],Таблицаx_2[[#This Row],[id]]=A2093,EDATE(Таблицаx_2[[#This Row],[Месяц]],1)=D2093),F2093,0)</f>
        <v>0</v>
      </c>
      <c r="K2092" s="8">
        <f>IF(AND(Таблицаx_2[[#This Row],[Месяц окончания]]=Таблицаx_2[[#This Row],[Месяц]],Таблицаx_2[[#This Row],[id]]=A2093,EDATE(Таблицаx_2[[#This Row],[Месяц]],2)=D2093),F2093,0)</f>
        <v>0</v>
      </c>
    </row>
    <row r="2093" spans="1:11" ht="12.75" hidden="1" customHeight="1" x14ac:dyDescent="0.2">
      <c r="A2093" s="8">
        <v>746</v>
      </c>
      <c r="B2093" s="8"/>
      <c r="C2093" s="8" t="s">
        <v>4</v>
      </c>
      <c r="D2093" s="12">
        <v>45231</v>
      </c>
      <c r="E2093" s="8">
        <v>16950</v>
      </c>
      <c r="F2093" s="10">
        <f>IF(ISTEXT(Таблицаx_2[[#This Row],[Значение]]), 0, Таблицаx_2[[#This Row],[Значение]])</f>
        <v>16950</v>
      </c>
      <c r="G2093" s="12">
        <v>45261</v>
      </c>
      <c r="H2093" s="10" t="str">
        <f>IFERROR(VLOOKUP(Таблицаx_2[[#This Row],[id]],prolongations!A:C,2,)," ")</f>
        <v>декабрь 2023</v>
      </c>
      <c r="I2093" s="10">
        <f>IF(Таблицаx_2[[#This Row],[Месяц окончания]]=Таблицаx_2[[#This Row],[Месяц]],Таблицаx_2[[#This Row],[Значения числа]],0)</f>
        <v>0</v>
      </c>
      <c r="J2093" s="8">
        <f>IF(AND(Таблицаx_2[[#This Row],[Месяц окончания]]=Таблицаx_2[[#This Row],[Месяц]],Таблицаx_2[[#This Row],[id]]=A2094,EDATE(Таблицаx_2[[#This Row],[Месяц]],1)=D2094),F2094,0)</f>
        <v>0</v>
      </c>
      <c r="K2093" s="8">
        <f>IF(AND(Таблицаx_2[[#This Row],[Месяц окончания]]=Таблицаx_2[[#This Row],[Месяц]],Таблицаx_2[[#This Row],[id]]=A2094,EDATE(Таблицаx_2[[#This Row],[Месяц]],2)=D2094),F2094,0)</f>
        <v>0</v>
      </c>
    </row>
    <row r="2094" spans="1:11" ht="12.75" hidden="1" customHeight="1" x14ac:dyDescent="0.2">
      <c r="A2094" s="8">
        <v>746</v>
      </c>
      <c r="B2094" s="8"/>
      <c r="C2094" s="8" t="s">
        <v>4</v>
      </c>
      <c r="D2094" s="12">
        <v>45261</v>
      </c>
      <c r="E2094" s="8">
        <v>14700</v>
      </c>
      <c r="F2094" s="10">
        <f>IF(ISTEXT(Таблицаx_2[[#This Row],[Значение]]), 0, Таблицаx_2[[#This Row],[Значение]])</f>
        <v>14700</v>
      </c>
      <c r="G2094" s="12">
        <v>45261</v>
      </c>
      <c r="H2094" s="10" t="str">
        <f>IFERROR(VLOOKUP(Таблицаx_2[[#This Row],[id]],prolongations!A:C,2,)," ")</f>
        <v>декабрь 2023</v>
      </c>
      <c r="I2094" s="10">
        <f>IF(Таблицаx_2[[#This Row],[Месяц окончания]]=Таблицаx_2[[#This Row],[Месяц]],Таблицаx_2[[#This Row],[Значения числа]],0)</f>
        <v>14700</v>
      </c>
      <c r="J2094" s="8">
        <f>IF(AND(Таблицаx_2[[#This Row],[Месяц окончания]]=Таблицаx_2[[#This Row],[Месяц]],Таблицаx_2[[#This Row],[id]]=A2095,EDATE(Таблицаx_2[[#This Row],[Месяц]],1)=D2095),F2095,0)</f>
        <v>3350</v>
      </c>
      <c r="K2094" s="8">
        <f>IF(AND(Таблицаx_2[[#This Row],[Месяц окончания]]=Таблицаx_2[[#This Row],[Месяц]],Таблицаx_2[[#This Row],[id]]=A2095,EDATE(Таблицаx_2[[#This Row],[Месяц]],2)=D2095),F2095,0)</f>
        <v>0</v>
      </c>
    </row>
    <row r="2095" spans="1:11" ht="12.75" hidden="1" customHeight="1" x14ac:dyDescent="0.2">
      <c r="A2095" s="8">
        <v>746</v>
      </c>
      <c r="B2095" s="8"/>
      <c r="C2095" s="8" t="s">
        <v>4</v>
      </c>
      <c r="D2095" s="12">
        <v>45292</v>
      </c>
      <c r="E2095" s="8">
        <v>3350</v>
      </c>
      <c r="F2095" s="10">
        <f>IF(ISTEXT(Таблицаx_2[[#This Row],[Значение]]), 0, Таблицаx_2[[#This Row],[Значение]])</f>
        <v>3350</v>
      </c>
      <c r="G2095" s="12">
        <v>45261</v>
      </c>
      <c r="H2095" s="10" t="str">
        <f>IFERROR(VLOOKUP(Таблицаx_2[[#This Row],[id]],prolongations!A:C,2,)," ")</f>
        <v>декабрь 2023</v>
      </c>
      <c r="I2095" s="10">
        <f>IF(Таблицаx_2[[#This Row],[Месяц окончания]]=Таблицаx_2[[#This Row],[Месяц]],Таблицаx_2[[#This Row],[Значения числа]],0)</f>
        <v>0</v>
      </c>
      <c r="J2095" s="8">
        <f>IF(AND(Таблицаx_2[[#This Row],[Месяц окончания]]=Таблицаx_2[[#This Row],[Месяц]],Таблицаx_2[[#This Row],[id]]=A2096,EDATE(Таблицаx_2[[#This Row],[Месяц]],1)=D2096),F2096,0)</f>
        <v>0</v>
      </c>
      <c r="K2095" s="8">
        <f>IF(AND(Таблицаx_2[[#This Row],[Месяц окончания]]=Таблицаx_2[[#This Row],[Месяц]],Таблицаx_2[[#This Row],[id]]=A2096,EDATE(Таблицаx_2[[#This Row],[Месяц]],2)=D2096),F2096,0)</f>
        <v>0</v>
      </c>
    </row>
    <row r="2096" spans="1:11" ht="12.75" hidden="1" customHeight="1" x14ac:dyDescent="0.2">
      <c r="A2096" s="8">
        <v>746</v>
      </c>
      <c r="B2096" s="8"/>
      <c r="C2096" s="8" t="s">
        <v>4</v>
      </c>
      <c r="D2096" s="12">
        <v>45323</v>
      </c>
      <c r="E2096" s="8">
        <v>6550</v>
      </c>
      <c r="F2096" s="10">
        <f>IF(ISTEXT(Таблицаx_2[[#This Row],[Значение]]), 0, Таблицаx_2[[#This Row],[Значение]])</f>
        <v>6550</v>
      </c>
      <c r="G2096" s="12">
        <v>45261</v>
      </c>
      <c r="H2096" s="10" t="str">
        <f>IFERROR(VLOOKUP(Таблицаx_2[[#This Row],[id]],prolongations!A:C,2,)," ")</f>
        <v>декабрь 2023</v>
      </c>
      <c r="I2096" s="10">
        <f>IF(Таблицаx_2[[#This Row],[Месяц окончания]]=Таблицаx_2[[#This Row],[Месяц]],Таблицаx_2[[#This Row],[Значения числа]],0)</f>
        <v>0</v>
      </c>
      <c r="J2096" s="8">
        <f>IF(AND(Таблицаx_2[[#This Row],[Месяц окончания]]=Таблицаx_2[[#This Row],[Месяц]],Таблицаx_2[[#This Row],[id]]=A2097,EDATE(Таблицаx_2[[#This Row],[Месяц]],1)=D2097),F2097,0)</f>
        <v>0</v>
      </c>
      <c r="K2096" s="8">
        <f>IF(AND(Таблицаx_2[[#This Row],[Месяц окончания]]=Таблицаx_2[[#This Row],[Месяц]],Таблицаx_2[[#This Row],[id]]=A2097,EDATE(Таблицаx_2[[#This Row],[Месяц]],2)=D2097),F2097,0)</f>
        <v>0</v>
      </c>
    </row>
    <row r="2097" spans="1:11" ht="12.75" hidden="1" customHeight="1" x14ac:dyDescent="0.2">
      <c r="A2097" s="8">
        <v>749</v>
      </c>
      <c r="B2097" s="8"/>
      <c r="C2097" s="8" t="s">
        <v>4</v>
      </c>
      <c r="D2097" s="12">
        <v>44927</v>
      </c>
      <c r="E2097" s="8">
        <v>20300</v>
      </c>
      <c r="F2097" s="10">
        <f>IF(ISTEXT(Таблицаx_2[[#This Row],[Значение]]), 0, Таблицаx_2[[#This Row],[Значение]])</f>
        <v>20300</v>
      </c>
      <c r="G2097" s="12">
        <v>45261</v>
      </c>
      <c r="H2097" s="10" t="str">
        <f>IFERROR(VLOOKUP(Таблицаx_2[[#This Row],[id]],prolongations!A:C,2,)," ")</f>
        <v>декабрь 2023</v>
      </c>
      <c r="I2097" s="10">
        <f>IF(Таблицаx_2[[#This Row],[Месяц окончания]]=Таблицаx_2[[#This Row],[Месяц]],Таблицаx_2[[#This Row],[Значения числа]],0)</f>
        <v>0</v>
      </c>
      <c r="J2097" s="8">
        <f>IF(AND(Таблицаx_2[[#This Row],[Месяц окончания]]=Таблицаx_2[[#This Row],[Месяц]],Таблицаx_2[[#This Row],[id]]=A2098,EDATE(Таблицаx_2[[#This Row],[Месяц]],1)=D2098),F2098,0)</f>
        <v>0</v>
      </c>
      <c r="K2097" s="8">
        <f>IF(AND(Таблицаx_2[[#This Row],[Месяц окончания]]=Таблицаx_2[[#This Row],[Месяц]],Таблицаx_2[[#This Row],[id]]=A2098,EDATE(Таблицаx_2[[#This Row],[Месяц]],2)=D2098),F2098,0)</f>
        <v>0</v>
      </c>
    </row>
    <row r="2098" spans="1:11" ht="12.75" hidden="1" customHeight="1" x14ac:dyDescent="0.2">
      <c r="A2098" s="8">
        <v>749</v>
      </c>
      <c r="B2098" s="8"/>
      <c r="C2098" s="8" t="s">
        <v>4</v>
      </c>
      <c r="D2098" s="12">
        <v>44958</v>
      </c>
      <c r="E2098" s="8">
        <v>31200</v>
      </c>
      <c r="F2098" s="10">
        <f>IF(ISTEXT(Таблицаx_2[[#This Row],[Значение]]), 0, Таблицаx_2[[#This Row],[Значение]])</f>
        <v>31200</v>
      </c>
      <c r="G2098" s="12">
        <v>45261</v>
      </c>
      <c r="H2098" s="10" t="str">
        <f>IFERROR(VLOOKUP(Таблицаx_2[[#This Row],[id]],prolongations!A:C,2,)," ")</f>
        <v>декабрь 2023</v>
      </c>
      <c r="I2098" s="10">
        <f>IF(Таблицаx_2[[#This Row],[Месяц окончания]]=Таблицаx_2[[#This Row],[Месяц]],Таблицаx_2[[#This Row],[Значения числа]],0)</f>
        <v>0</v>
      </c>
      <c r="J2098" s="8">
        <f>IF(AND(Таблицаx_2[[#This Row],[Месяц окончания]]=Таблицаx_2[[#This Row],[Месяц]],Таблицаx_2[[#This Row],[id]]=A2099,EDATE(Таблицаx_2[[#This Row],[Месяц]],1)=D2099),F2099,0)</f>
        <v>0</v>
      </c>
      <c r="K2098" s="8">
        <f>IF(AND(Таблицаx_2[[#This Row],[Месяц окончания]]=Таблицаx_2[[#This Row],[Месяц]],Таблицаx_2[[#This Row],[id]]=A2099,EDATE(Таблицаx_2[[#This Row],[Месяц]],2)=D2099),F2099,0)</f>
        <v>0</v>
      </c>
    </row>
    <row r="2099" spans="1:11" ht="12.75" hidden="1" customHeight="1" x14ac:dyDescent="0.2">
      <c r="A2099" s="8">
        <v>749</v>
      </c>
      <c r="B2099" s="8"/>
      <c r="C2099" s="8" t="s">
        <v>4</v>
      </c>
      <c r="D2099" s="12">
        <v>44986</v>
      </c>
      <c r="E2099" s="8">
        <v>14000</v>
      </c>
      <c r="F2099" s="10">
        <f>IF(ISTEXT(Таблицаx_2[[#This Row],[Значение]]), 0, Таблицаx_2[[#This Row],[Значение]])</f>
        <v>14000</v>
      </c>
      <c r="G2099" s="12">
        <v>45261</v>
      </c>
      <c r="H2099" s="10" t="str">
        <f>IFERROR(VLOOKUP(Таблицаx_2[[#This Row],[id]],prolongations!A:C,2,)," ")</f>
        <v>декабрь 2023</v>
      </c>
      <c r="I2099" s="10">
        <f>IF(Таблицаx_2[[#This Row],[Месяц окончания]]=Таблицаx_2[[#This Row],[Месяц]],Таблицаx_2[[#This Row],[Значения числа]],0)</f>
        <v>0</v>
      </c>
      <c r="J2099" s="8">
        <f>IF(AND(Таблицаx_2[[#This Row],[Месяц окончания]]=Таблицаx_2[[#This Row],[Месяц]],Таблицаx_2[[#This Row],[id]]=A2100,EDATE(Таблицаx_2[[#This Row],[Месяц]],1)=D2100),F2100,0)</f>
        <v>0</v>
      </c>
      <c r="K2099" s="8">
        <f>IF(AND(Таблицаx_2[[#This Row],[Месяц окончания]]=Таблицаx_2[[#This Row],[Месяц]],Таблицаx_2[[#This Row],[id]]=A2100,EDATE(Таблицаx_2[[#This Row],[Месяц]],2)=D2100),F2100,0)</f>
        <v>0</v>
      </c>
    </row>
    <row r="2100" spans="1:11" ht="12.75" hidden="1" customHeight="1" x14ac:dyDescent="0.2">
      <c r="A2100" s="8">
        <v>749</v>
      </c>
      <c r="B2100" s="8"/>
      <c r="C2100" s="8" t="s">
        <v>4</v>
      </c>
      <c r="D2100" s="12">
        <v>45017</v>
      </c>
      <c r="E2100" s="8">
        <v>5150</v>
      </c>
      <c r="F2100" s="10">
        <f>IF(ISTEXT(Таблицаx_2[[#This Row],[Значение]]), 0, Таблицаx_2[[#This Row],[Значение]])</f>
        <v>5150</v>
      </c>
      <c r="G2100" s="12">
        <v>45261</v>
      </c>
      <c r="H2100" s="10" t="str">
        <f>IFERROR(VLOOKUP(Таблицаx_2[[#This Row],[id]],prolongations!A:C,2,)," ")</f>
        <v>декабрь 2023</v>
      </c>
      <c r="I2100" s="10">
        <f>IF(Таблицаx_2[[#This Row],[Месяц окончания]]=Таблицаx_2[[#This Row],[Месяц]],Таблицаx_2[[#This Row],[Значения числа]],0)</f>
        <v>0</v>
      </c>
      <c r="J2100" s="8">
        <f>IF(AND(Таблицаx_2[[#This Row],[Месяц окончания]]=Таблицаx_2[[#This Row],[Месяц]],Таблицаx_2[[#This Row],[id]]=A2101,EDATE(Таблицаx_2[[#This Row],[Месяц]],1)=D2101),F2101,0)</f>
        <v>0</v>
      </c>
      <c r="K2100" s="8">
        <f>IF(AND(Таблицаx_2[[#This Row],[Месяц окончания]]=Таблицаx_2[[#This Row],[Месяц]],Таблицаx_2[[#This Row],[id]]=A2101,EDATE(Таблицаx_2[[#This Row],[Месяц]],2)=D2101),F2101,0)</f>
        <v>0</v>
      </c>
    </row>
    <row r="2101" spans="1:11" ht="12.75" hidden="1" customHeight="1" x14ac:dyDescent="0.2">
      <c r="A2101" s="8">
        <v>749</v>
      </c>
      <c r="B2101" s="8"/>
      <c r="C2101" s="8" t="s">
        <v>4</v>
      </c>
      <c r="D2101" s="12">
        <v>45047</v>
      </c>
      <c r="E2101" s="8">
        <v>7900</v>
      </c>
      <c r="F2101" s="10">
        <f>IF(ISTEXT(Таблицаx_2[[#This Row],[Значение]]), 0, Таблицаx_2[[#This Row],[Значение]])</f>
        <v>7900</v>
      </c>
      <c r="G2101" s="12">
        <v>45261</v>
      </c>
      <c r="H2101" s="10" t="str">
        <f>IFERROR(VLOOKUP(Таблицаx_2[[#This Row],[id]],prolongations!A:C,2,)," ")</f>
        <v>декабрь 2023</v>
      </c>
      <c r="I2101" s="10">
        <f>IF(Таблицаx_2[[#This Row],[Месяц окончания]]=Таблицаx_2[[#This Row],[Месяц]],Таблицаx_2[[#This Row],[Значения числа]],0)</f>
        <v>0</v>
      </c>
      <c r="J2101" s="8">
        <f>IF(AND(Таблицаx_2[[#This Row],[Месяц окончания]]=Таблицаx_2[[#This Row],[Месяц]],Таблицаx_2[[#This Row],[id]]=A2102,EDATE(Таблицаx_2[[#This Row],[Месяц]],1)=D2102),F2102,0)</f>
        <v>0</v>
      </c>
      <c r="K2101" s="8">
        <f>IF(AND(Таблицаx_2[[#This Row],[Месяц окончания]]=Таблицаx_2[[#This Row],[Месяц]],Таблицаx_2[[#This Row],[id]]=A2102,EDATE(Таблицаx_2[[#This Row],[Месяц]],2)=D2102),F2102,0)</f>
        <v>0</v>
      </c>
    </row>
    <row r="2102" spans="1:11" ht="12.75" hidden="1" customHeight="1" x14ac:dyDescent="0.2">
      <c r="A2102" s="8">
        <v>749</v>
      </c>
      <c r="B2102" s="8"/>
      <c r="C2102" s="8" t="s">
        <v>4</v>
      </c>
      <c r="D2102" s="12">
        <v>45078</v>
      </c>
      <c r="E2102" s="8">
        <v>7450</v>
      </c>
      <c r="F2102" s="10">
        <f>IF(ISTEXT(Таблицаx_2[[#This Row],[Значение]]), 0, Таблицаx_2[[#This Row],[Значение]])</f>
        <v>7450</v>
      </c>
      <c r="G2102" s="12">
        <v>45261</v>
      </c>
      <c r="H2102" s="10" t="str">
        <f>IFERROR(VLOOKUP(Таблицаx_2[[#This Row],[id]],prolongations!A:C,2,)," ")</f>
        <v>декабрь 2023</v>
      </c>
      <c r="I2102" s="10">
        <f>IF(Таблицаx_2[[#This Row],[Месяц окончания]]=Таблицаx_2[[#This Row],[Месяц]],Таблицаx_2[[#This Row],[Значения числа]],0)</f>
        <v>0</v>
      </c>
      <c r="J2102" s="8">
        <f>IF(AND(Таблицаx_2[[#This Row],[Месяц окончания]]=Таблицаx_2[[#This Row],[Месяц]],Таблицаx_2[[#This Row],[id]]=A2103,EDATE(Таблицаx_2[[#This Row],[Месяц]],1)=D2103),F2103,0)</f>
        <v>0</v>
      </c>
      <c r="K2102" s="8">
        <f>IF(AND(Таблицаx_2[[#This Row],[Месяц окончания]]=Таблицаx_2[[#This Row],[Месяц]],Таблицаx_2[[#This Row],[id]]=A2103,EDATE(Таблицаx_2[[#This Row],[Месяц]],2)=D2103),F2103,0)</f>
        <v>0</v>
      </c>
    </row>
    <row r="2103" spans="1:11" ht="12.75" hidden="1" customHeight="1" x14ac:dyDescent="0.2">
      <c r="A2103" s="8">
        <v>749</v>
      </c>
      <c r="B2103" s="8"/>
      <c r="C2103" s="8" t="s">
        <v>4</v>
      </c>
      <c r="D2103" s="12">
        <v>45108</v>
      </c>
      <c r="E2103" s="8">
        <v>22650</v>
      </c>
      <c r="F2103" s="10">
        <f>IF(ISTEXT(Таблицаx_2[[#This Row],[Значение]]), 0, Таблицаx_2[[#This Row],[Значение]])</f>
        <v>22650</v>
      </c>
      <c r="G2103" s="12">
        <v>45261</v>
      </c>
      <c r="H2103" s="10" t="str">
        <f>IFERROR(VLOOKUP(Таблицаx_2[[#This Row],[id]],prolongations!A:C,2,)," ")</f>
        <v>декабрь 2023</v>
      </c>
      <c r="I2103" s="10">
        <f>IF(Таблицаx_2[[#This Row],[Месяц окончания]]=Таблицаx_2[[#This Row],[Месяц]],Таблицаx_2[[#This Row],[Значения числа]],0)</f>
        <v>0</v>
      </c>
      <c r="J2103" s="8">
        <f>IF(AND(Таблицаx_2[[#This Row],[Месяц окончания]]=Таблицаx_2[[#This Row],[Месяц]],Таблицаx_2[[#This Row],[id]]=A2104,EDATE(Таблицаx_2[[#This Row],[Месяц]],1)=D2104),F2104,0)</f>
        <v>0</v>
      </c>
      <c r="K2103" s="8">
        <f>IF(AND(Таблицаx_2[[#This Row],[Месяц окончания]]=Таблицаx_2[[#This Row],[Месяц]],Таблицаx_2[[#This Row],[id]]=A2104,EDATE(Таблицаx_2[[#This Row],[Месяц]],2)=D2104),F2104,0)</f>
        <v>0</v>
      </c>
    </row>
    <row r="2104" spans="1:11" ht="12.75" hidden="1" customHeight="1" x14ac:dyDescent="0.2">
      <c r="A2104" s="8">
        <v>749</v>
      </c>
      <c r="B2104" s="8"/>
      <c r="C2104" s="8" t="s">
        <v>4</v>
      </c>
      <c r="D2104" s="12">
        <v>45139</v>
      </c>
      <c r="E2104" s="8">
        <v>12650</v>
      </c>
      <c r="F2104" s="10">
        <f>IF(ISTEXT(Таблицаx_2[[#This Row],[Значение]]), 0, Таблицаx_2[[#This Row],[Значение]])</f>
        <v>12650</v>
      </c>
      <c r="G2104" s="12">
        <v>45261</v>
      </c>
      <c r="H2104" s="10" t="str">
        <f>IFERROR(VLOOKUP(Таблицаx_2[[#This Row],[id]],prolongations!A:C,2,)," ")</f>
        <v>декабрь 2023</v>
      </c>
      <c r="I2104" s="10">
        <f>IF(Таблицаx_2[[#This Row],[Месяц окончания]]=Таблицаx_2[[#This Row],[Месяц]],Таблицаx_2[[#This Row],[Значения числа]],0)</f>
        <v>0</v>
      </c>
      <c r="J2104" s="8">
        <f>IF(AND(Таблицаx_2[[#This Row],[Месяц окончания]]=Таблицаx_2[[#This Row],[Месяц]],Таблицаx_2[[#This Row],[id]]=A2105,EDATE(Таблицаx_2[[#This Row],[Месяц]],1)=D2105),F2105,0)</f>
        <v>0</v>
      </c>
      <c r="K2104" s="8">
        <f>IF(AND(Таблицаx_2[[#This Row],[Месяц окончания]]=Таблицаx_2[[#This Row],[Месяц]],Таблицаx_2[[#This Row],[id]]=A2105,EDATE(Таблицаx_2[[#This Row],[Месяц]],2)=D2105),F2105,0)</f>
        <v>0</v>
      </c>
    </row>
    <row r="2105" spans="1:11" ht="12.75" hidden="1" customHeight="1" x14ac:dyDescent="0.2">
      <c r="A2105" s="8">
        <v>749</v>
      </c>
      <c r="B2105" s="8"/>
      <c r="C2105" s="8" t="s">
        <v>4</v>
      </c>
      <c r="D2105" s="12">
        <v>45170</v>
      </c>
      <c r="E2105" s="8">
        <v>11750</v>
      </c>
      <c r="F2105" s="10">
        <f>IF(ISTEXT(Таблицаx_2[[#This Row],[Значение]]), 0, Таблицаx_2[[#This Row],[Значение]])</f>
        <v>11750</v>
      </c>
      <c r="G2105" s="12">
        <v>45261</v>
      </c>
      <c r="H2105" s="10" t="str">
        <f>IFERROR(VLOOKUP(Таблицаx_2[[#This Row],[id]],prolongations!A:C,2,)," ")</f>
        <v>декабрь 2023</v>
      </c>
      <c r="I2105" s="10">
        <f>IF(Таблицаx_2[[#This Row],[Месяц окончания]]=Таблицаx_2[[#This Row],[Месяц]],Таблицаx_2[[#This Row],[Значения числа]],0)</f>
        <v>0</v>
      </c>
      <c r="J2105" s="8">
        <f>IF(AND(Таблицаx_2[[#This Row],[Месяц окончания]]=Таблицаx_2[[#This Row],[Месяц]],Таблицаx_2[[#This Row],[id]]=A2106,EDATE(Таблицаx_2[[#This Row],[Месяц]],1)=D2106),F2106,0)</f>
        <v>0</v>
      </c>
      <c r="K2105" s="8">
        <f>IF(AND(Таблицаx_2[[#This Row],[Месяц окончания]]=Таблицаx_2[[#This Row],[Месяц]],Таблицаx_2[[#This Row],[id]]=A2106,EDATE(Таблицаx_2[[#This Row],[Месяц]],2)=D2106),F2106,0)</f>
        <v>0</v>
      </c>
    </row>
    <row r="2106" spans="1:11" ht="12.75" hidden="1" customHeight="1" x14ac:dyDescent="0.2">
      <c r="A2106" s="8">
        <v>749</v>
      </c>
      <c r="B2106" s="8"/>
      <c r="C2106" s="8" t="s">
        <v>4</v>
      </c>
      <c r="D2106" s="12">
        <v>45200</v>
      </c>
      <c r="E2106" s="8">
        <v>22050</v>
      </c>
      <c r="F2106" s="10">
        <f>IF(ISTEXT(Таблицаx_2[[#This Row],[Значение]]), 0, Таблицаx_2[[#This Row],[Значение]])</f>
        <v>22050</v>
      </c>
      <c r="G2106" s="12">
        <v>45261</v>
      </c>
      <c r="H2106" s="10" t="str">
        <f>IFERROR(VLOOKUP(Таблицаx_2[[#This Row],[id]],prolongations!A:C,2,)," ")</f>
        <v>декабрь 2023</v>
      </c>
      <c r="I2106" s="10">
        <f>IF(Таблицаx_2[[#This Row],[Месяц окончания]]=Таблицаx_2[[#This Row],[Месяц]],Таблицаx_2[[#This Row],[Значения числа]],0)</f>
        <v>0</v>
      </c>
      <c r="J2106" s="8">
        <f>IF(AND(Таблицаx_2[[#This Row],[Месяц окончания]]=Таблицаx_2[[#This Row],[Месяц]],Таблицаx_2[[#This Row],[id]]=A2107,EDATE(Таблицаx_2[[#This Row],[Месяц]],1)=D2107),F2107,0)</f>
        <v>0</v>
      </c>
      <c r="K2106" s="8">
        <f>IF(AND(Таблицаx_2[[#This Row],[Месяц окончания]]=Таблицаx_2[[#This Row],[Месяц]],Таблицаx_2[[#This Row],[id]]=A2107,EDATE(Таблицаx_2[[#This Row],[Месяц]],2)=D2107),F2107,0)</f>
        <v>0</v>
      </c>
    </row>
    <row r="2107" spans="1:11" ht="12.75" hidden="1" customHeight="1" x14ac:dyDescent="0.2">
      <c r="A2107" s="8">
        <v>749</v>
      </c>
      <c r="B2107" s="8"/>
      <c r="C2107" s="8" t="s">
        <v>4</v>
      </c>
      <c r="D2107" s="12">
        <v>45231</v>
      </c>
      <c r="E2107" s="8">
        <v>18750</v>
      </c>
      <c r="F2107" s="10">
        <f>IF(ISTEXT(Таблицаx_2[[#This Row],[Значение]]), 0, Таблицаx_2[[#This Row],[Значение]])</f>
        <v>18750</v>
      </c>
      <c r="G2107" s="12">
        <v>45261</v>
      </c>
      <c r="H2107" s="10" t="str">
        <f>IFERROR(VLOOKUP(Таблицаx_2[[#This Row],[id]],prolongations!A:C,2,)," ")</f>
        <v>декабрь 2023</v>
      </c>
      <c r="I2107" s="10">
        <f>IF(Таблицаx_2[[#This Row],[Месяц окончания]]=Таблицаx_2[[#This Row],[Месяц]],Таблицаx_2[[#This Row],[Значения числа]],0)</f>
        <v>0</v>
      </c>
      <c r="J2107" s="8">
        <f>IF(AND(Таблицаx_2[[#This Row],[Месяц окончания]]=Таблицаx_2[[#This Row],[Месяц]],Таблицаx_2[[#This Row],[id]]=A2108,EDATE(Таблицаx_2[[#This Row],[Месяц]],1)=D2108),F2108,0)</f>
        <v>0</v>
      </c>
      <c r="K2107" s="8">
        <f>IF(AND(Таблицаx_2[[#This Row],[Месяц окончания]]=Таблицаx_2[[#This Row],[Месяц]],Таблицаx_2[[#This Row],[id]]=A2108,EDATE(Таблицаx_2[[#This Row],[Месяц]],2)=D2108),F2108,0)</f>
        <v>0</v>
      </c>
    </row>
    <row r="2108" spans="1:11" ht="12.75" hidden="1" customHeight="1" x14ac:dyDescent="0.2">
      <c r="A2108" s="8">
        <v>749</v>
      </c>
      <c r="B2108" s="8"/>
      <c r="C2108" s="8" t="s">
        <v>4</v>
      </c>
      <c r="D2108" s="12">
        <v>45261</v>
      </c>
      <c r="E2108" s="8">
        <v>19050</v>
      </c>
      <c r="F2108" s="10">
        <f>IF(ISTEXT(Таблицаx_2[[#This Row],[Значение]]), 0, Таблицаx_2[[#This Row],[Значение]])</f>
        <v>19050</v>
      </c>
      <c r="G2108" s="12">
        <v>45261</v>
      </c>
      <c r="H2108" s="10" t="str">
        <f>IFERROR(VLOOKUP(Таблицаx_2[[#This Row],[id]],prolongations!A:C,2,)," ")</f>
        <v>декабрь 2023</v>
      </c>
      <c r="I2108" s="10">
        <f>IF(Таблицаx_2[[#This Row],[Месяц окончания]]=Таблицаx_2[[#This Row],[Месяц]],Таблицаx_2[[#This Row],[Значения числа]],0)</f>
        <v>19050</v>
      </c>
      <c r="J2108" s="8">
        <f>IF(AND(Таблицаx_2[[#This Row],[Месяц окончания]]=Таблицаx_2[[#This Row],[Месяц]],Таблицаx_2[[#This Row],[id]]=A2109,EDATE(Таблицаx_2[[#This Row],[Месяц]],1)=D2109),F2109,0)</f>
        <v>9200</v>
      </c>
      <c r="K2108" s="8">
        <f>IF(AND(Таблицаx_2[[#This Row],[Месяц окончания]]=Таблицаx_2[[#This Row],[Месяц]],Таблицаx_2[[#This Row],[id]]=A2109,EDATE(Таблицаx_2[[#This Row],[Месяц]],2)=D2109),F2109,0)</f>
        <v>0</v>
      </c>
    </row>
    <row r="2109" spans="1:11" ht="12.75" hidden="1" customHeight="1" x14ac:dyDescent="0.2">
      <c r="A2109" s="8">
        <v>749</v>
      </c>
      <c r="B2109" s="8"/>
      <c r="C2109" s="8" t="s">
        <v>4</v>
      </c>
      <c r="D2109" s="12">
        <v>45292</v>
      </c>
      <c r="E2109" s="8">
        <v>9200</v>
      </c>
      <c r="F2109" s="10">
        <f>IF(ISTEXT(Таблицаx_2[[#This Row],[Значение]]), 0, Таблицаx_2[[#This Row],[Значение]])</f>
        <v>9200</v>
      </c>
      <c r="G2109" s="12">
        <v>45261</v>
      </c>
      <c r="H2109" s="10" t="str">
        <f>IFERROR(VLOOKUP(Таблицаx_2[[#This Row],[id]],prolongations!A:C,2,)," ")</f>
        <v>декабрь 2023</v>
      </c>
      <c r="I2109" s="10">
        <f>IF(Таблицаx_2[[#This Row],[Месяц окончания]]=Таблицаx_2[[#This Row],[Месяц]],Таблицаx_2[[#This Row],[Значения числа]],0)</f>
        <v>0</v>
      </c>
      <c r="J2109" s="8">
        <f>IF(AND(Таблицаx_2[[#This Row],[Месяц окончания]]=Таблицаx_2[[#This Row],[Месяц]],Таблицаx_2[[#This Row],[id]]=A2110,EDATE(Таблицаx_2[[#This Row],[Месяц]],1)=D2110),F2110,0)</f>
        <v>0</v>
      </c>
      <c r="K2109" s="8">
        <f>IF(AND(Таблицаx_2[[#This Row],[Месяц окончания]]=Таблицаx_2[[#This Row],[Месяц]],Таблицаx_2[[#This Row],[id]]=A2110,EDATE(Таблицаx_2[[#This Row],[Месяц]],2)=D2110),F2110,0)</f>
        <v>0</v>
      </c>
    </row>
    <row r="2110" spans="1:11" ht="12.75" hidden="1" customHeight="1" x14ac:dyDescent="0.2">
      <c r="A2110" s="8">
        <v>749</v>
      </c>
      <c r="B2110" s="8"/>
      <c r="C2110" s="8" t="s">
        <v>4</v>
      </c>
      <c r="D2110" s="12">
        <v>45323</v>
      </c>
      <c r="E2110" s="8">
        <v>10500</v>
      </c>
      <c r="F2110" s="10">
        <f>IF(ISTEXT(Таблицаx_2[[#This Row],[Значение]]), 0, Таблицаx_2[[#This Row],[Значение]])</f>
        <v>10500</v>
      </c>
      <c r="G2110" s="12">
        <v>45261</v>
      </c>
      <c r="H2110" s="10" t="str">
        <f>IFERROR(VLOOKUP(Таблицаx_2[[#This Row],[id]],prolongations!A:C,2,)," ")</f>
        <v>декабрь 2023</v>
      </c>
      <c r="I2110" s="10">
        <f>IF(Таблицаx_2[[#This Row],[Месяц окончания]]=Таблицаx_2[[#This Row],[Месяц]],Таблицаx_2[[#This Row],[Значения числа]],0)</f>
        <v>0</v>
      </c>
      <c r="J2110" s="8">
        <f>IF(AND(Таблицаx_2[[#This Row],[Месяц окончания]]=Таблицаx_2[[#This Row],[Месяц]],Таблицаx_2[[#This Row],[id]]=A2111,EDATE(Таблицаx_2[[#This Row],[Месяц]],1)=D2111),F2111,0)</f>
        <v>0</v>
      </c>
      <c r="K2110" s="8">
        <f>IF(AND(Таблицаx_2[[#This Row],[Месяц окончания]]=Таблицаx_2[[#This Row],[Месяц]],Таблицаx_2[[#This Row],[id]]=A2111,EDATE(Таблицаx_2[[#This Row],[Месяц]],2)=D2111),F2111,0)</f>
        <v>0</v>
      </c>
    </row>
    <row r="2111" spans="1:11" ht="12.75" hidden="1" customHeight="1" x14ac:dyDescent="0.2">
      <c r="A2111" s="8">
        <v>722</v>
      </c>
      <c r="B2111" s="8" t="s">
        <v>45</v>
      </c>
      <c r="C2111" s="8" t="s">
        <v>8</v>
      </c>
      <c r="D2111" s="12">
        <v>44927</v>
      </c>
      <c r="E2111" s="8">
        <v>43015.5</v>
      </c>
      <c r="F2111" s="10">
        <f>IF(ISTEXT(Таблицаx_2[[#This Row],[Значение]]), 0, Таблицаx_2[[#This Row],[Значение]])</f>
        <v>43015.5</v>
      </c>
      <c r="G2111" s="12">
        <v>45261</v>
      </c>
      <c r="H2111" s="10" t="str">
        <f>IFERROR(VLOOKUP(Таблицаx_2[[#This Row],[id]],prolongations!A:C,2,)," ")</f>
        <v>декабрь 2023</v>
      </c>
      <c r="I2111" s="10">
        <f>IF(Таблицаx_2[[#This Row],[Месяц окончания]]=Таблицаx_2[[#This Row],[Месяц]],Таблицаx_2[[#This Row],[Значения числа]],0)</f>
        <v>0</v>
      </c>
      <c r="J2111" s="8">
        <f>IF(AND(Таблицаx_2[[#This Row],[Месяц окончания]]=Таблицаx_2[[#This Row],[Месяц]],Таблицаx_2[[#This Row],[id]]=A2112,EDATE(Таблицаx_2[[#This Row],[Месяц]],1)=D2112),F2112,0)</f>
        <v>0</v>
      </c>
      <c r="K2111" s="8">
        <f>IF(AND(Таблицаx_2[[#This Row],[Месяц окончания]]=Таблицаx_2[[#This Row],[Месяц]],Таблицаx_2[[#This Row],[id]]=A2112,EDATE(Таблицаx_2[[#This Row],[Месяц]],2)=D2112),F2112,0)</f>
        <v>0</v>
      </c>
    </row>
    <row r="2112" spans="1:11" ht="12.75" hidden="1" customHeight="1" x14ac:dyDescent="0.2">
      <c r="A2112" s="8">
        <v>722</v>
      </c>
      <c r="B2112" s="8" t="s">
        <v>45</v>
      </c>
      <c r="C2112" s="8" t="s">
        <v>8</v>
      </c>
      <c r="D2112" s="12">
        <v>44958</v>
      </c>
      <c r="E2112" s="8">
        <v>42178.5</v>
      </c>
      <c r="F2112" s="10">
        <f>IF(ISTEXT(Таблицаx_2[[#This Row],[Значение]]), 0, Таблицаx_2[[#This Row],[Значение]])</f>
        <v>42178.5</v>
      </c>
      <c r="G2112" s="12">
        <v>45261</v>
      </c>
      <c r="H2112" s="10" t="str">
        <f>IFERROR(VLOOKUP(Таблицаx_2[[#This Row],[id]],prolongations!A:C,2,)," ")</f>
        <v>декабрь 2023</v>
      </c>
      <c r="I2112" s="10">
        <f>IF(Таблицаx_2[[#This Row],[Месяц окончания]]=Таблицаx_2[[#This Row],[Месяц]],Таблицаx_2[[#This Row],[Значения числа]],0)</f>
        <v>0</v>
      </c>
      <c r="J2112" s="8">
        <f>IF(AND(Таблицаx_2[[#This Row],[Месяц окончания]]=Таблицаx_2[[#This Row],[Месяц]],Таблицаx_2[[#This Row],[id]]=A2113,EDATE(Таблицаx_2[[#This Row],[Месяц]],1)=D2113),F2113,0)</f>
        <v>0</v>
      </c>
      <c r="K2112" s="8">
        <f>IF(AND(Таблицаx_2[[#This Row],[Месяц окончания]]=Таблицаx_2[[#This Row],[Месяц]],Таблицаx_2[[#This Row],[id]]=A2113,EDATE(Таблицаx_2[[#This Row],[Месяц]],2)=D2113),F2113,0)</f>
        <v>0</v>
      </c>
    </row>
    <row r="2113" spans="1:11" ht="12.75" hidden="1" customHeight="1" x14ac:dyDescent="0.2">
      <c r="A2113" s="8">
        <v>722</v>
      </c>
      <c r="B2113" s="8" t="s">
        <v>45</v>
      </c>
      <c r="C2113" s="8" t="s">
        <v>8</v>
      </c>
      <c r="D2113" s="12">
        <v>44986</v>
      </c>
      <c r="E2113" s="8">
        <v>47760</v>
      </c>
      <c r="F2113" s="10">
        <f>IF(ISTEXT(Таблицаx_2[[#This Row],[Значение]]), 0, Таблицаx_2[[#This Row],[Значение]])</f>
        <v>47760</v>
      </c>
      <c r="G2113" s="12">
        <v>45261</v>
      </c>
      <c r="H2113" s="10" t="str">
        <f>IFERROR(VLOOKUP(Таблицаx_2[[#This Row],[id]],prolongations!A:C,2,)," ")</f>
        <v>декабрь 2023</v>
      </c>
      <c r="I2113" s="10">
        <f>IF(Таблицаx_2[[#This Row],[Месяц окончания]]=Таблицаx_2[[#This Row],[Месяц]],Таблицаx_2[[#This Row],[Значения числа]],0)</f>
        <v>0</v>
      </c>
      <c r="J2113" s="8">
        <f>IF(AND(Таблицаx_2[[#This Row],[Месяц окончания]]=Таблицаx_2[[#This Row],[Месяц]],Таблицаx_2[[#This Row],[id]]=A2114,EDATE(Таблицаx_2[[#This Row],[Месяц]],1)=D2114),F2114,0)</f>
        <v>0</v>
      </c>
      <c r="K2113" s="8">
        <f>IF(AND(Таблицаx_2[[#This Row],[Месяц окончания]]=Таблицаx_2[[#This Row],[Месяц]],Таблицаx_2[[#This Row],[id]]=A2114,EDATE(Таблицаx_2[[#This Row],[Месяц]],2)=D2114),F2114,0)</f>
        <v>0</v>
      </c>
    </row>
    <row r="2114" spans="1:11" ht="12.75" hidden="1" customHeight="1" x14ac:dyDescent="0.2">
      <c r="A2114" s="8">
        <v>722</v>
      </c>
      <c r="B2114" s="8" t="s">
        <v>45</v>
      </c>
      <c r="C2114" s="8" t="s">
        <v>8</v>
      </c>
      <c r="D2114" s="12">
        <v>45017</v>
      </c>
      <c r="E2114" s="8">
        <v>46865</v>
      </c>
      <c r="F2114" s="10">
        <f>IF(ISTEXT(Таблицаx_2[[#This Row],[Значение]]), 0, Таблицаx_2[[#This Row],[Значение]])</f>
        <v>46865</v>
      </c>
      <c r="G2114" s="12">
        <v>45261</v>
      </c>
      <c r="H2114" s="10" t="str">
        <f>IFERROR(VLOOKUP(Таблицаx_2[[#This Row],[id]],prolongations!A:C,2,)," ")</f>
        <v>декабрь 2023</v>
      </c>
      <c r="I2114" s="10">
        <f>IF(Таблицаx_2[[#This Row],[Месяц окончания]]=Таблицаx_2[[#This Row],[Месяц]],Таблицаx_2[[#This Row],[Значения числа]],0)</f>
        <v>0</v>
      </c>
      <c r="J2114" s="8">
        <f>IF(AND(Таблицаx_2[[#This Row],[Месяц окончания]]=Таблицаx_2[[#This Row],[Месяц]],Таблицаx_2[[#This Row],[id]]=A2115,EDATE(Таблицаx_2[[#This Row],[Месяц]],1)=D2115),F2115,0)</f>
        <v>0</v>
      </c>
      <c r="K2114" s="8">
        <f>IF(AND(Таблицаx_2[[#This Row],[Месяц окончания]]=Таблицаx_2[[#This Row],[Месяц]],Таблицаx_2[[#This Row],[id]]=A2115,EDATE(Таблицаx_2[[#This Row],[Месяц]],2)=D2115),F2115,0)</f>
        <v>0</v>
      </c>
    </row>
    <row r="2115" spans="1:11" ht="12.75" hidden="1" customHeight="1" x14ac:dyDescent="0.2">
      <c r="A2115" s="8">
        <v>722</v>
      </c>
      <c r="B2115" s="8" t="s">
        <v>45</v>
      </c>
      <c r="C2115" s="8" t="s">
        <v>8</v>
      </c>
      <c r="D2115" s="12">
        <v>45047</v>
      </c>
      <c r="E2115" s="8">
        <v>47760</v>
      </c>
      <c r="F2115" s="10">
        <f>IF(ISTEXT(Таблицаx_2[[#This Row],[Значение]]), 0, Таблицаx_2[[#This Row],[Значение]])</f>
        <v>47760</v>
      </c>
      <c r="G2115" s="12">
        <v>45261</v>
      </c>
      <c r="H2115" s="10" t="str">
        <f>IFERROR(VLOOKUP(Таблицаx_2[[#This Row],[id]],prolongations!A:C,2,)," ")</f>
        <v>декабрь 2023</v>
      </c>
      <c r="I2115" s="10">
        <f>IF(Таблицаx_2[[#This Row],[Месяц окончания]]=Таблицаx_2[[#This Row],[Месяц]],Таблицаx_2[[#This Row],[Значения числа]],0)</f>
        <v>0</v>
      </c>
      <c r="J2115" s="8">
        <f>IF(AND(Таблицаx_2[[#This Row],[Месяц окончания]]=Таблицаx_2[[#This Row],[Месяц]],Таблицаx_2[[#This Row],[id]]=A2116,EDATE(Таблицаx_2[[#This Row],[Месяц]],1)=D2116),F2116,0)</f>
        <v>0</v>
      </c>
      <c r="K2115" s="8">
        <f>IF(AND(Таблицаx_2[[#This Row],[Месяц окончания]]=Таблицаx_2[[#This Row],[Месяц]],Таблицаx_2[[#This Row],[id]]=A2116,EDATE(Таблицаx_2[[#This Row],[Месяц]],2)=D2116),F2116,0)</f>
        <v>0</v>
      </c>
    </row>
    <row r="2116" spans="1:11" ht="12.75" hidden="1" customHeight="1" x14ac:dyDescent="0.2">
      <c r="A2116" s="8">
        <v>722</v>
      </c>
      <c r="B2116" s="8" t="s">
        <v>45</v>
      </c>
      <c r="C2116" s="8" t="s">
        <v>8</v>
      </c>
      <c r="D2116" s="12">
        <v>45078</v>
      </c>
      <c r="E2116" s="8">
        <v>46865</v>
      </c>
      <c r="F2116" s="10">
        <f>IF(ISTEXT(Таблицаx_2[[#This Row],[Значение]]), 0, Таблицаx_2[[#This Row],[Значение]])</f>
        <v>46865</v>
      </c>
      <c r="G2116" s="12">
        <v>45261</v>
      </c>
      <c r="H2116" s="10" t="str">
        <f>IFERROR(VLOOKUP(Таблицаx_2[[#This Row],[id]],prolongations!A:C,2,)," ")</f>
        <v>декабрь 2023</v>
      </c>
      <c r="I2116" s="10">
        <f>IF(Таблицаx_2[[#This Row],[Месяц окончания]]=Таблицаx_2[[#This Row],[Месяц]],Таблицаx_2[[#This Row],[Значения числа]],0)</f>
        <v>0</v>
      </c>
      <c r="J2116" s="8">
        <f>IF(AND(Таблицаx_2[[#This Row],[Месяц окончания]]=Таблицаx_2[[#This Row],[Месяц]],Таблицаx_2[[#This Row],[id]]=A2117,EDATE(Таблицаx_2[[#This Row],[Месяц]],1)=D2117),F2117,0)</f>
        <v>0</v>
      </c>
      <c r="K2116" s="8">
        <f>IF(AND(Таблицаx_2[[#This Row],[Месяц окончания]]=Таблицаx_2[[#This Row],[Месяц]],Таблицаx_2[[#This Row],[id]]=A2117,EDATE(Таблицаx_2[[#This Row],[Месяц]],2)=D2117),F2117,0)</f>
        <v>0</v>
      </c>
    </row>
    <row r="2117" spans="1:11" ht="12.75" hidden="1" customHeight="1" x14ac:dyDescent="0.2">
      <c r="A2117" s="8">
        <v>722</v>
      </c>
      <c r="B2117" s="8" t="s">
        <v>45</v>
      </c>
      <c r="C2117" s="8" t="s">
        <v>8</v>
      </c>
      <c r="D2117" s="12">
        <v>45108</v>
      </c>
      <c r="E2117" s="8">
        <v>47760</v>
      </c>
      <c r="F2117" s="10">
        <f>IF(ISTEXT(Таблицаx_2[[#This Row],[Значение]]), 0, Таблицаx_2[[#This Row],[Значение]])</f>
        <v>47760</v>
      </c>
      <c r="G2117" s="12">
        <v>45261</v>
      </c>
      <c r="H2117" s="10" t="str">
        <f>IFERROR(VLOOKUP(Таблицаx_2[[#This Row],[id]],prolongations!A:C,2,)," ")</f>
        <v>декабрь 2023</v>
      </c>
      <c r="I2117" s="10">
        <f>IF(Таблицаx_2[[#This Row],[Месяц окончания]]=Таблицаx_2[[#This Row],[Месяц]],Таблицаx_2[[#This Row],[Значения числа]],0)</f>
        <v>0</v>
      </c>
      <c r="J2117" s="8">
        <f>IF(AND(Таблицаx_2[[#This Row],[Месяц окончания]]=Таблицаx_2[[#This Row],[Месяц]],Таблицаx_2[[#This Row],[id]]=A2118,EDATE(Таблицаx_2[[#This Row],[Месяц]],1)=D2118),F2118,0)</f>
        <v>0</v>
      </c>
      <c r="K2117" s="8">
        <f>IF(AND(Таблицаx_2[[#This Row],[Месяц окончания]]=Таблицаx_2[[#This Row],[Месяц]],Таблицаx_2[[#This Row],[id]]=A2118,EDATE(Таблицаx_2[[#This Row],[Месяц]],2)=D2118),F2118,0)</f>
        <v>0</v>
      </c>
    </row>
    <row r="2118" spans="1:11" ht="12.75" hidden="1" customHeight="1" x14ac:dyDescent="0.2">
      <c r="A2118" s="8">
        <v>722</v>
      </c>
      <c r="B2118" s="8" t="s">
        <v>45</v>
      </c>
      <c r="C2118" s="8" t="s">
        <v>8</v>
      </c>
      <c r="D2118" s="12">
        <v>45139</v>
      </c>
      <c r="E2118" s="8">
        <v>46865</v>
      </c>
      <c r="F2118" s="10">
        <f>IF(ISTEXT(Таблицаx_2[[#This Row],[Значение]]), 0, Таблицаx_2[[#This Row],[Значение]])</f>
        <v>46865</v>
      </c>
      <c r="G2118" s="12">
        <v>45261</v>
      </c>
      <c r="H2118" s="10" t="str">
        <f>IFERROR(VLOOKUP(Таблицаx_2[[#This Row],[id]],prolongations!A:C,2,)," ")</f>
        <v>декабрь 2023</v>
      </c>
      <c r="I2118" s="10">
        <f>IF(Таблицаx_2[[#This Row],[Месяц окончания]]=Таблицаx_2[[#This Row],[Месяц]],Таблицаx_2[[#This Row],[Значения числа]],0)</f>
        <v>0</v>
      </c>
      <c r="J2118" s="8">
        <f>IF(AND(Таблицаx_2[[#This Row],[Месяц окончания]]=Таблицаx_2[[#This Row],[Месяц]],Таблицаx_2[[#This Row],[id]]=A2119,EDATE(Таблицаx_2[[#This Row],[Месяц]],1)=D2119),F2119,0)</f>
        <v>0</v>
      </c>
      <c r="K2118" s="8">
        <f>IF(AND(Таблицаx_2[[#This Row],[Месяц окончания]]=Таблицаx_2[[#This Row],[Месяц]],Таблицаx_2[[#This Row],[id]]=A2119,EDATE(Таблицаx_2[[#This Row],[Месяц]],2)=D2119),F2119,0)</f>
        <v>0</v>
      </c>
    </row>
    <row r="2119" spans="1:11" ht="12.75" hidden="1" customHeight="1" x14ac:dyDescent="0.2">
      <c r="A2119" s="8">
        <v>722</v>
      </c>
      <c r="B2119" s="8" t="s">
        <v>45</v>
      </c>
      <c r="C2119" s="8" t="s">
        <v>8</v>
      </c>
      <c r="D2119" s="12">
        <v>45170</v>
      </c>
      <c r="E2119" s="8">
        <v>46865</v>
      </c>
      <c r="F2119" s="10">
        <f>IF(ISTEXT(Таблицаx_2[[#This Row],[Значение]]), 0, Таблицаx_2[[#This Row],[Значение]])</f>
        <v>46865</v>
      </c>
      <c r="G2119" s="12">
        <v>45261</v>
      </c>
      <c r="H2119" s="10" t="str">
        <f>IFERROR(VLOOKUP(Таблицаx_2[[#This Row],[id]],prolongations!A:C,2,)," ")</f>
        <v>декабрь 2023</v>
      </c>
      <c r="I2119" s="10">
        <f>IF(Таблицаx_2[[#This Row],[Месяц окончания]]=Таблицаx_2[[#This Row],[Месяц]],Таблицаx_2[[#This Row],[Значения числа]],0)</f>
        <v>0</v>
      </c>
      <c r="J2119" s="8">
        <f>IF(AND(Таблицаx_2[[#This Row],[Месяц окончания]]=Таблицаx_2[[#This Row],[Месяц]],Таблицаx_2[[#This Row],[id]]=A2120,EDATE(Таблицаx_2[[#This Row],[Месяц]],1)=D2120),F2120,0)</f>
        <v>0</v>
      </c>
      <c r="K2119" s="8">
        <f>IF(AND(Таблицаx_2[[#This Row],[Месяц окончания]]=Таблицаx_2[[#This Row],[Месяц]],Таблицаx_2[[#This Row],[id]]=A2120,EDATE(Таблицаx_2[[#This Row],[Месяц]],2)=D2120),F2120,0)</f>
        <v>0</v>
      </c>
    </row>
    <row r="2120" spans="1:11" ht="12.75" hidden="1" customHeight="1" x14ac:dyDescent="0.2">
      <c r="A2120" s="8">
        <v>722</v>
      </c>
      <c r="B2120" s="8" t="s">
        <v>45</v>
      </c>
      <c r="C2120" s="8" t="s">
        <v>8</v>
      </c>
      <c r="D2120" s="12">
        <v>45200</v>
      </c>
      <c r="E2120" s="8">
        <v>46865</v>
      </c>
      <c r="F2120" s="10">
        <f>IF(ISTEXT(Таблицаx_2[[#This Row],[Значение]]), 0, Таблицаx_2[[#This Row],[Значение]])</f>
        <v>46865</v>
      </c>
      <c r="G2120" s="12">
        <v>45261</v>
      </c>
      <c r="H2120" s="10" t="str">
        <f>IFERROR(VLOOKUP(Таблицаx_2[[#This Row],[id]],prolongations!A:C,2,)," ")</f>
        <v>декабрь 2023</v>
      </c>
      <c r="I2120" s="10">
        <f>IF(Таблицаx_2[[#This Row],[Месяц окончания]]=Таблицаx_2[[#This Row],[Месяц]],Таблицаx_2[[#This Row],[Значения числа]],0)</f>
        <v>0</v>
      </c>
      <c r="J2120" s="8">
        <f>IF(AND(Таблицаx_2[[#This Row],[Месяц окончания]]=Таблицаx_2[[#This Row],[Месяц]],Таблицаx_2[[#This Row],[id]]=A2121,EDATE(Таблицаx_2[[#This Row],[Месяц]],1)=D2121),F2121,0)</f>
        <v>0</v>
      </c>
      <c r="K2120" s="8">
        <f>IF(AND(Таблицаx_2[[#This Row],[Месяц окончания]]=Таблицаx_2[[#This Row],[Месяц]],Таблицаx_2[[#This Row],[id]]=A2121,EDATE(Таблицаx_2[[#This Row],[Месяц]],2)=D2121),F2121,0)</f>
        <v>0</v>
      </c>
    </row>
    <row r="2121" spans="1:11" ht="12.75" hidden="1" customHeight="1" x14ac:dyDescent="0.2">
      <c r="A2121" s="8">
        <v>722</v>
      </c>
      <c r="B2121" s="8" t="s">
        <v>45</v>
      </c>
      <c r="C2121" s="8" t="s">
        <v>8</v>
      </c>
      <c r="D2121" s="12">
        <v>45231</v>
      </c>
      <c r="E2121" s="8">
        <v>46865</v>
      </c>
      <c r="F2121" s="10">
        <f>IF(ISTEXT(Таблицаx_2[[#This Row],[Значение]]), 0, Таблицаx_2[[#This Row],[Значение]])</f>
        <v>46865</v>
      </c>
      <c r="G2121" s="12">
        <v>45261</v>
      </c>
      <c r="H2121" s="10" t="str">
        <f>IFERROR(VLOOKUP(Таблицаx_2[[#This Row],[id]],prolongations!A:C,2,)," ")</f>
        <v>декабрь 2023</v>
      </c>
      <c r="I2121" s="10">
        <f>IF(Таблицаx_2[[#This Row],[Месяц окончания]]=Таблицаx_2[[#This Row],[Месяц]],Таблицаx_2[[#This Row],[Значения числа]],0)</f>
        <v>0</v>
      </c>
      <c r="J2121" s="8">
        <f>IF(AND(Таблицаx_2[[#This Row],[Месяц окончания]]=Таблицаx_2[[#This Row],[Месяц]],Таблицаx_2[[#This Row],[id]]=A2122,EDATE(Таблицаx_2[[#This Row],[Месяц]],1)=D2122),F2122,0)</f>
        <v>0</v>
      </c>
      <c r="K2121" s="8">
        <f>IF(AND(Таблицаx_2[[#This Row],[Месяц окончания]]=Таблицаx_2[[#This Row],[Месяц]],Таблицаx_2[[#This Row],[id]]=A2122,EDATE(Таблицаx_2[[#This Row],[Месяц]],2)=D2122),F2122,0)</f>
        <v>0</v>
      </c>
    </row>
    <row r="2122" spans="1:11" ht="12.75" hidden="1" customHeight="1" x14ac:dyDescent="0.2">
      <c r="A2122" s="8">
        <v>722</v>
      </c>
      <c r="B2122" s="8" t="s">
        <v>45</v>
      </c>
      <c r="C2122" s="8" t="s">
        <v>8</v>
      </c>
      <c r="D2122" s="12">
        <v>45261</v>
      </c>
      <c r="E2122" s="8">
        <v>46865</v>
      </c>
      <c r="F2122" s="10">
        <f>IF(ISTEXT(Таблицаx_2[[#This Row],[Значение]]), 0, Таблицаx_2[[#This Row],[Значение]])</f>
        <v>46865</v>
      </c>
      <c r="G2122" s="12">
        <v>45261</v>
      </c>
      <c r="H2122" s="10" t="str">
        <f>IFERROR(VLOOKUP(Таблицаx_2[[#This Row],[id]],prolongations!A:C,2,)," ")</f>
        <v>декабрь 2023</v>
      </c>
      <c r="I2122" s="10">
        <f>IF(Таблицаx_2[[#This Row],[Месяц окончания]]=Таблицаx_2[[#This Row],[Месяц]],Таблицаx_2[[#This Row],[Значения числа]],0)</f>
        <v>46865</v>
      </c>
      <c r="J2122" s="8">
        <f>IF(AND(Таблицаx_2[[#This Row],[Месяц окончания]]=Таблицаx_2[[#This Row],[Месяц]],Таблицаx_2[[#This Row],[id]]=A2123,EDATE(Таблицаx_2[[#This Row],[Месяц]],1)=D2123),F2123,0)</f>
        <v>44900</v>
      </c>
      <c r="K2122" s="8">
        <f>IF(AND(Таблицаx_2[[#This Row],[Месяц окончания]]=Таблицаx_2[[#This Row],[Месяц]],Таблицаx_2[[#This Row],[id]]=A2123,EDATE(Таблицаx_2[[#This Row],[Месяц]],2)=D2123),F2123,0)</f>
        <v>0</v>
      </c>
    </row>
    <row r="2123" spans="1:11" ht="12.75" hidden="1" customHeight="1" x14ac:dyDescent="0.2">
      <c r="A2123" s="8">
        <v>722</v>
      </c>
      <c r="B2123" s="8" t="s">
        <v>45</v>
      </c>
      <c r="C2123" s="8" t="s">
        <v>8</v>
      </c>
      <c r="D2123" s="12">
        <v>45292</v>
      </c>
      <c r="E2123" s="8">
        <v>44900</v>
      </c>
      <c r="F2123" s="10">
        <f>IF(ISTEXT(Таблицаx_2[[#This Row],[Значение]]), 0, Таблицаx_2[[#This Row],[Значение]])</f>
        <v>44900</v>
      </c>
      <c r="G2123" s="12">
        <v>45261</v>
      </c>
      <c r="H2123" s="10" t="str">
        <f>IFERROR(VLOOKUP(Таблицаx_2[[#This Row],[id]],prolongations!A:C,2,)," ")</f>
        <v>декабрь 2023</v>
      </c>
      <c r="I2123" s="10">
        <f>IF(Таблицаx_2[[#This Row],[Месяц окончания]]=Таблицаx_2[[#This Row],[Месяц]],Таблицаx_2[[#This Row],[Значения числа]],0)</f>
        <v>0</v>
      </c>
      <c r="J2123" s="8">
        <f>IF(AND(Таблицаx_2[[#This Row],[Месяц окончания]]=Таблицаx_2[[#This Row],[Месяц]],Таблицаx_2[[#This Row],[id]]=A2124,EDATE(Таблицаx_2[[#This Row],[Месяц]],1)=D2124),F2124,0)</f>
        <v>0</v>
      </c>
      <c r="K2123" s="8">
        <f>IF(AND(Таблицаx_2[[#This Row],[Месяц окончания]]=Таблицаx_2[[#This Row],[Месяц]],Таблицаx_2[[#This Row],[id]]=A2124,EDATE(Таблицаx_2[[#This Row],[Месяц]],2)=D2124),F2124,0)</f>
        <v>0</v>
      </c>
    </row>
    <row r="2124" spans="1:11" ht="12.75" hidden="1" customHeight="1" x14ac:dyDescent="0.2">
      <c r="A2124" s="8">
        <v>722</v>
      </c>
      <c r="B2124" s="8" t="s">
        <v>45</v>
      </c>
      <c r="C2124" s="8" t="s">
        <v>8</v>
      </c>
      <c r="D2124" s="12">
        <v>45323</v>
      </c>
      <c r="E2124" s="8">
        <v>44200</v>
      </c>
      <c r="F2124" s="10">
        <f>IF(ISTEXT(Таблицаx_2[[#This Row],[Значение]]), 0, Таблицаx_2[[#This Row],[Значение]])</f>
        <v>44200</v>
      </c>
      <c r="G2124" s="12">
        <v>45261</v>
      </c>
      <c r="H2124" s="10" t="str">
        <f>IFERROR(VLOOKUP(Таблицаx_2[[#This Row],[id]],prolongations!A:C,2,)," ")</f>
        <v>декабрь 2023</v>
      </c>
      <c r="I2124" s="10">
        <f>IF(Таблицаx_2[[#This Row],[Месяц окончания]]=Таблицаx_2[[#This Row],[Месяц]],Таблицаx_2[[#This Row],[Значения числа]],0)</f>
        <v>0</v>
      </c>
      <c r="J2124" s="8">
        <f>IF(AND(Таблицаx_2[[#This Row],[Месяц окончания]]=Таблицаx_2[[#This Row],[Месяц]],Таблицаx_2[[#This Row],[id]]=A2125,EDATE(Таблицаx_2[[#This Row],[Месяц]],1)=D2125),F2125,0)</f>
        <v>0</v>
      </c>
      <c r="K2124" s="8">
        <f>IF(AND(Таблицаx_2[[#This Row],[Месяц окончания]]=Таблицаx_2[[#This Row],[Месяц]],Таблицаx_2[[#This Row],[id]]=A2125,EDATE(Таблицаx_2[[#This Row],[Месяц]],2)=D2125),F2125,0)</f>
        <v>0</v>
      </c>
    </row>
    <row r="2125" spans="1:11" ht="12.75" hidden="1" customHeight="1" x14ac:dyDescent="0.2">
      <c r="A2125" s="8">
        <v>722</v>
      </c>
      <c r="B2125" s="8" t="s">
        <v>47</v>
      </c>
      <c r="C2125" s="8" t="s">
        <v>8</v>
      </c>
      <c r="D2125" s="12">
        <v>44927</v>
      </c>
      <c r="E2125" s="8">
        <v>12343.5</v>
      </c>
      <c r="F2125" s="10">
        <f>IF(ISTEXT(Таблицаx_2[[#This Row],[Значение]]), 0, Таблицаx_2[[#This Row],[Значение]])</f>
        <v>12343.5</v>
      </c>
      <c r="G2125" s="12">
        <v>45261</v>
      </c>
      <c r="H2125" s="10" t="str">
        <f>IFERROR(VLOOKUP(Таблицаx_2[[#This Row],[id]],prolongations!A:C,2,)," ")</f>
        <v>декабрь 2023</v>
      </c>
      <c r="I2125" s="10">
        <f>IF(Таблицаx_2[[#This Row],[Месяц окончания]]=Таблицаx_2[[#This Row],[Месяц]],Таблицаx_2[[#This Row],[Значения числа]],0)</f>
        <v>0</v>
      </c>
      <c r="J2125" s="8">
        <f>IF(AND(Таблицаx_2[[#This Row],[Месяц окончания]]=Таблицаx_2[[#This Row],[Месяц]],Таблицаx_2[[#This Row],[id]]=A2126,EDATE(Таблицаx_2[[#This Row],[Месяц]],1)=D2126),F2126,0)</f>
        <v>0</v>
      </c>
      <c r="K2125" s="8">
        <f>IF(AND(Таблицаx_2[[#This Row],[Месяц окончания]]=Таблицаx_2[[#This Row],[Месяц]],Таблицаx_2[[#This Row],[id]]=A2126,EDATE(Таблицаx_2[[#This Row],[Месяц]],2)=D2126),F2126,0)</f>
        <v>0</v>
      </c>
    </row>
    <row r="2126" spans="1:11" ht="12.75" hidden="1" customHeight="1" x14ac:dyDescent="0.2">
      <c r="A2126" s="8">
        <v>722</v>
      </c>
      <c r="B2126" s="8" t="s">
        <v>47</v>
      </c>
      <c r="C2126" s="8" t="s">
        <v>8</v>
      </c>
      <c r="D2126" s="12">
        <v>44958</v>
      </c>
      <c r="E2126" s="8">
        <v>13293</v>
      </c>
      <c r="F2126" s="10">
        <f>IF(ISTEXT(Таблицаx_2[[#This Row],[Значение]]), 0, Таблицаx_2[[#This Row],[Значение]])</f>
        <v>13293</v>
      </c>
      <c r="G2126" s="12">
        <v>45261</v>
      </c>
      <c r="H2126" s="10" t="str">
        <f>IFERROR(VLOOKUP(Таблицаx_2[[#This Row],[id]],prolongations!A:C,2,)," ")</f>
        <v>декабрь 2023</v>
      </c>
      <c r="I2126" s="10">
        <f>IF(Таблицаx_2[[#This Row],[Месяц окончания]]=Таблицаx_2[[#This Row],[Месяц]],Таблицаx_2[[#This Row],[Значения числа]],0)</f>
        <v>0</v>
      </c>
      <c r="J2126" s="8">
        <f>IF(AND(Таблицаx_2[[#This Row],[Месяц окончания]]=Таблицаx_2[[#This Row],[Месяц]],Таблицаx_2[[#This Row],[id]]=A2127,EDATE(Таблицаx_2[[#This Row],[Месяц]],1)=D2127),F2127,0)</f>
        <v>0</v>
      </c>
      <c r="K2126" s="8">
        <f>IF(AND(Таблицаx_2[[#This Row],[Месяц окончания]]=Таблицаx_2[[#This Row],[Месяц]],Таблицаx_2[[#This Row],[id]]=A2127,EDATE(Таблицаx_2[[#This Row],[Месяц]],2)=D2127),F2127,0)</f>
        <v>0</v>
      </c>
    </row>
    <row r="2127" spans="1:11" ht="12.75" hidden="1" customHeight="1" x14ac:dyDescent="0.2">
      <c r="A2127" s="8">
        <v>722</v>
      </c>
      <c r="B2127" s="8" t="s">
        <v>47</v>
      </c>
      <c r="C2127" s="8" t="s">
        <v>8</v>
      </c>
      <c r="D2127" s="12">
        <v>44986</v>
      </c>
      <c r="E2127" s="8">
        <v>36925</v>
      </c>
      <c r="F2127" s="10">
        <f>IF(ISTEXT(Таблицаx_2[[#This Row],[Значение]]), 0, Таблицаx_2[[#This Row],[Значение]])</f>
        <v>36925</v>
      </c>
      <c r="G2127" s="12">
        <v>45261</v>
      </c>
      <c r="H2127" s="10" t="str">
        <f>IFERROR(VLOOKUP(Таблицаx_2[[#This Row],[id]],prolongations!A:C,2,)," ")</f>
        <v>декабрь 2023</v>
      </c>
      <c r="I2127" s="10">
        <f>IF(Таблицаx_2[[#This Row],[Месяц окончания]]=Таблицаx_2[[#This Row],[Месяц]],Таблицаx_2[[#This Row],[Значения числа]],0)</f>
        <v>0</v>
      </c>
      <c r="J2127" s="8">
        <f>IF(AND(Таблицаx_2[[#This Row],[Месяц окончания]]=Таблицаx_2[[#This Row],[Месяц]],Таблицаx_2[[#This Row],[id]]=A2128,EDATE(Таблицаx_2[[#This Row],[Месяц]],1)=D2128),F2128,0)</f>
        <v>0</v>
      </c>
      <c r="K2127" s="8">
        <f>IF(AND(Таблицаx_2[[#This Row],[Месяц окончания]]=Таблицаx_2[[#This Row],[Месяц]],Таблицаx_2[[#This Row],[id]]=A2128,EDATE(Таблицаx_2[[#This Row],[Месяц]],2)=D2128),F2128,0)</f>
        <v>0</v>
      </c>
    </row>
    <row r="2128" spans="1:11" ht="12.75" hidden="1" customHeight="1" x14ac:dyDescent="0.2">
      <c r="A2128" s="8">
        <v>722</v>
      </c>
      <c r="B2128" s="8" t="s">
        <v>47</v>
      </c>
      <c r="C2128" s="8" t="s">
        <v>8</v>
      </c>
      <c r="D2128" s="12">
        <v>45017</v>
      </c>
      <c r="E2128" s="8">
        <v>25320</v>
      </c>
      <c r="F2128" s="10">
        <f>IF(ISTEXT(Таблицаx_2[[#This Row],[Значение]]), 0, Таблицаx_2[[#This Row],[Значение]])</f>
        <v>25320</v>
      </c>
      <c r="G2128" s="12">
        <v>45261</v>
      </c>
      <c r="H2128" s="10" t="str">
        <f>IFERROR(VLOOKUP(Таблицаx_2[[#This Row],[id]],prolongations!A:C,2,)," ")</f>
        <v>декабрь 2023</v>
      </c>
      <c r="I2128" s="10">
        <f>IF(Таблицаx_2[[#This Row],[Месяц окончания]]=Таблицаx_2[[#This Row],[Месяц]],Таблицаx_2[[#This Row],[Значения числа]],0)</f>
        <v>0</v>
      </c>
      <c r="J2128" s="8">
        <f>IF(AND(Таблицаx_2[[#This Row],[Месяц окончания]]=Таблицаx_2[[#This Row],[Месяц]],Таблицаx_2[[#This Row],[id]]=A2129,EDATE(Таблицаx_2[[#This Row],[Месяц]],1)=D2129),F2129,0)</f>
        <v>0</v>
      </c>
      <c r="K2128" s="8">
        <f>IF(AND(Таблицаx_2[[#This Row],[Месяц окончания]]=Таблицаx_2[[#This Row],[Месяц]],Таблицаx_2[[#This Row],[id]]=A2129,EDATE(Таблицаx_2[[#This Row],[Месяц]],2)=D2129),F2129,0)</f>
        <v>0</v>
      </c>
    </row>
    <row r="2129" spans="1:11" ht="12.75" hidden="1" customHeight="1" x14ac:dyDescent="0.2">
      <c r="A2129" s="8">
        <v>722</v>
      </c>
      <c r="B2129" s="8" t="s">
        <v>47</v>
      </c>
      <c r="C2129" s="8" t="s">
        <v>8</v>
      </c>
      <c r="D2129" s="12">
        <v>45047</v>
      </c>
      <c r="E2129" s="8">
        <v>34815</v>
      </c>
      <c r="F2129" s="10">
        <f>IF(ISTEXT(Таблицаx_2[[#This Row],[Значение]]), 0, Таблицаx_2[[#This Row],[Значение]])</f>
        <v>34815</v>
      </c>
      <c r="G2129" s="12">
        <v>45261</v>
      </c>
      <c r="H2129" s="10" t="str">
        <f>IFERROR(VLOOKUP(Таблицаx_2[[#This Row],[id]],prolongations!A:C,2,)," ")</f>
        <v>декабрь 2023</v>
      </c>
      <c r="I2129" s="10">
        <f>IF(Таблицаx_2[[#This Row],[Месяц окончания]]=Таблицаx_2[[#This Row],[Месяц]],Таблицаx_2[[#This Row],[Значения числа]],0)</f>
        <v>0</v>
      </c>
      <c r="J2129" s="8">
        <f>IF(AND(Таблицаx_2[[#This Row],[Месяц окончания]]=Таблицаx_2[[#This Row],[Месяц]],Таблицаx_2[[#This Row],[id]]=A2130,EDATE(Таблицаx_2[[#This Row],[Месяц]],1)=D2130),F2130,0)</f>
        <v>0</v>
      </c>
      <c r="K2129" s="8">
        <f>IF(AND(Таблицаx_2[[#This Row],[Месяц окончания]]=Таблицаx_2[[#This Row],[Месяц]],Таблицаx_2[[#This Row],[id]]=A2130,EDATE(Таблицаx_2[[#This Row],[Месяц]],2)=D2130),F2130,0)</f>
        <v>0</v>
      </c>
    </row>
    <row r="2130" spans="1:11" ht="12.75" hidden="1" customHeight="1" x14ac:dyDescent="0.2">
      <c r="A2130" s="8">
        <v>722</v>
      </c>
      <c r="B2130" s="8" t="s">
        <v>47</v>
      </c>
      <c r="C2130" s="8" t="s">
        <v>8</v>
      </c>
      <c r="D2130" s="12">
        <v>45078</v>
      </c>
      <c r="E2130" s="8">
        <v>27430</v>
      </c>
      <c r="F2130" s="10">
        <f>IF(ISTEXT(Таблицаx_2[[#This Row],[Значение]]), 0, Таблицаx_2[[#This Row],[Значение]])</f>
        <v>27430</v>
      </c>
      <c r="G2130" s="12">
        <v>45261</v>
      </c>
      <c r="H2130" s="10" t="str">
        <f>IFERROR(VLOOKUP(Таблицаx_2[[#This Row],[id]],prolongations!A:C,2,)," ")</f>
        <v>декабрь 2023</v>
      </c>
      <c r="I2130" s="10">
        <f>IF(Таблицаx_2[[#This Row],[Месяц окончания]]=Таблицаx_2[[#This Row],[Месяц]],Таблицаx_2[[#This Row],[Значения числа]],0)</f>
        <v>0</v>
      </c>
      <c r="J2130" s="8">
        <f>IF(AND(Таблицаx_2[[#This Row],[Месяц окончания]]=Таблицаx_2[[#This Row],[Месяц]],Таблицаx_2[[#This Row],[id]]=A2131,EDATE(Таблицаx_2[[#This Row],[Месяц]],1)=D2131),F2131,0)</f>
        <v>0</v>
      </c>
      <c r="K2130" s="8">
        <f>IF(AND(Таблицаx_2[[#This Row],[Месяц окончания]]=Таблицаx_2[[#This Row],[Месяц]],Таблицаx_2[[#This Row],[id]]=A2131,EDATE(Таблицаx_2[[#This Row],[Месяц]],2)=D2131),F2131,0)</f>
        <v>0</v>
      </c>
    </row>
    <row r="2131" spans="1:11" ht="12.75" hidden="1" customHeight="1" x14ac:dyDescent="0.2">
      <c r="A2131" s="8">
        <v>722</v>
      </c>
      <c r="B2131" s="8" t="s">
        <v>47</v>
      </c>
      <c r="C2131" s="8" t="s">
        <v>8</v>
      </c>
      <c r="D2131" s="12">
        <v>45108</v>
      </c>
      <c r="E2131" s="8">
        <v>15825</v>
      </c>
      <c r="F2131" s="10">
        <f>IF(ISTEXT(Таблицаx_2[[#This Row],[Значение]]), 0, Таблицаx_2[[#This Row],[Значение]])</f>
        <v>15825</v>
      </c>
      <c r="G2131" s="12">
        <v>45261</v>
      </c>
      <c r="H2131" s="10" t="str">
        <f>IFERROR(VLOOKUP(Таблицаx_2[[#This Row],[id]],prolongations!A:C,2,)," ")</f>
        <v>декабрь 2023</v>
      </c>
      <c r="I2131" s="10">
        <f>IF(Таблицаx_2[[#This Row],[Месяц окончания]]=Таблицаx_2[[#This Row],[Месяц]],Таблицаx_2[[#This Row],[Значения числа]],0)</f>
        <v>0</v>
      </c>
      <c r="J2131" s="8">
        <f>IF(AND(Таблицаx_2[[#This Row],[Месяц окончания]]=Таблицаx_2[[#This Row],[Месяц]],Таблицаx_2[[#This Row],[id]]=A2132,EDATE(Таблицаx_2[[#This Row],[Месяц]],1)=D2132),F2132,0)</f>
        <v>0</v>
      </c>
      <c r="K2131" s="8">
        <f>IF(AND(Таблицаx_2[[#This Row],[Месяц окончания]]=Таблицаx_2[[#This Row],[Месяц]],Таблицаx_2[[#This Row],[id]]=A2132,EDATE(Таблицаx_2[[#This Row],[Месяц]],2)=D2132),F2132,0)</f>
        <v>0</v>
      </c>
    </row>
    <row r="2132" spans="1:11" ht="12.75" hidden="1" customHeight="1" x14ac:dyDescent="0.2">
      <c r="A2132" s="8">
        <v>722</v>
      </c>
      <c r="B2132" s="8" t="s">
        <v>47</v>
      </c>
      <c r="C2132" s="8" t="s">
        <v>8</v>
      </c>
      <c r="D2132" s="12">
        <v>45139</v>
      </c>
      <c r="E2132" s="8">
        <v>10550</v>
      </c>
      <c r="F2132" s="10">
        <f>IF(ISTEXT(Таблицаx_2[[#This Row],[Значение]]), 0, Таблицаx_2[[#This Row],[Значение]])</f>
        <v>10550</v>
      </c>
      <c r="G2132" s="12">
        <v>45261</v>
      </c>
      <c r="H2132" s="10" t="str">
        <f>IFERROR(VLOOKUP(Таблицаx_2[[#This Row],[id]],prolongations!A:C,2,)," ")</f>
        <v>декабрь 2023</v>
      </c>
      <c r="I2132" s="10">
        <f>IF(Таблицаx_2[[#This Row],[Месяц окончания]]=Таблицаx_2[[#This Row],[Месяц]],Таблицаx_2[[#This Row],[Значения числа]],0)</f>
        <v>0</v>
      </c>
      <c r="J2132" s="8">
        <f>IF(AND(Таблицаx_2[[#This Row],[Месяц окончания]]=Таблицаx_2[[#This Row],[Месяц]],Таблицаx_2[[#This Row],[id]]=A2133,EDATE(Таблицаx_2[[#This Row],[Месяц]],1)=D2133),F2133,0)</f>
        <v>0</v>
      </c>
      <c r="K2132" s="8">
        <f>IF(AND(Таблицаx_2[[#This Row],[Месяц окончания]]=Таблицаx_2[[#This Row],[Месяц]],Таблицаx_2[[#This Row],[id]]=A2133,EDATE(Таблицаx_2[[#This Row],[Месяц]],2)=D2133),F2133,0)</f>
        <v>0</v>
      </c>
    </row>
    <row r="2133" spans="1:11" ht="12.75" hidden="1" customHeight="1" x14ac:dyDescent="0.2">
      <c r="A2133" s="8">
        <v>722</v>
      </c>
      <c r="B2133" s="8" t="s">
        <v>47</v>
      </c>
      <c r="C2133" s="8" t="s">
        <v>8</v>
      </c>
      <c r="D2133" s="12">
        <v>45170</v>
      </c>
      <c r="E2133" s="8">
        <v>26375</v>
      </c>
      <c r="F2133" s="10">
        <f>IF(ISTEXT(Таблицаx_2[[#This Row],[Значение]]), 0, Таблицаx_2[[#This Row],[Значение]])</f>
        <v>26375</v>
      </c>
      <c r="G2133" s="12">
        <v>45261</v>
      </c>
      <c r="H2133" s="10" t="str">
        <f>IFERROR(VLOOKUP(Таблицаx_2[[#This Row],[id]],prolongations!A:C,2,)," ")</f>
        <v>декабрь 2023</v>
      </c>
      <c r="I2133" s="10">
        <f>IF(Таблицаx_2[[#This Row],[Месяц окончания]]=Таблицаx_2[[#This Row],[Месяц]],Таблицаx_2[[#This Row],[Значения числа]],0)</f>
        <v>0</v>
      </c>
      <c r="J2133" s="8">
        <f>IF(AND(Таблицаx_2[[#This Row],[Месяц окончания]]=Таблицаx_2[[#This Row],[Месяц]],Таблицаx_2[[#This Row],[id]]=A2134,EDATE(Таблицаx_2[[#This Row],[Месяц]],1)=D2134),F2134,0)</f>
        <v>0</v>
      </c>
      <c r="K2133" s="8">
        <f>IF(AND(Таблицаx_2[[#This Row],[Месяц окончания]]=Таблицаx_2[[#This Row],[Месяц]],Таблицаx_2[[#This Row],[id]]=A2134,EDATE(Таблицаx_2[[#This Row],[Месяц]],2)=D2134),F2134,0)</f>
        <v>0</v>
      </c>
    </row>
    <row r="2134" spans="1:11" ht="12.75" hidden="1" customHeight="1" x14ac:dyDescent="0.2">
      <c r="A2134" s="8">
        <v>722</v>
      </c>
      <c r="B2134" s="8" t="s">
        <v>47</v>
      </c>
      <c r="C2134" s="8" t="s">
        <v>8</v>
      </c>
      <c r="D2134" s="12">
        <v>45200</v>
      </c>
      <c r="E2134" s="8">
        <v>29540</v>
      </c>
      <c r="F2134" s="10">
        <f>IF(ISTEXT(Таблицаx_2[[#This Row],[Значение]]), 0, Таблицаx_2[[#This Row],[Значение]])</f>
        <v>29540</v>
      </c>
      <c r="G2134" s="12">
        <v>45261</v>
      </c>
      <c r="H2134" s="10" t="str">
        <f>IFERROR(VLOOKUP(Таблицаx_2[[#This Row],[id]],prolongations!A:C,2,)," ")</f>
        <v>декабрь 2023</v>
      </c>
      <c r="I2134" s="10">
        <f>IF(Таблицаx_2[[#This Row],[Месяц окончания]]=Таблицаx_2[[#This Row],[Месяц]],Таблицаx_2[[#This Row],[Значения числа]],0)</f>
        <v>0</v>
      </c>
      <c r="J2134" s="8">
        <f>IF(AND(Таблицаx_2[[#This Row],[Месяц окончания]]=Таблицаx_2[[#This Row],[Месяц]],Таблицаx_2[[#This Row],[id]]=A2135,EDATE(Таблицаx_2[[#This Row],[Месяц]],1)=D2135),F2135,0)</f>
        <v>0</v>
      </c>
      <c r="K2134" s="8">
        <f>IF(AND(Таблицаx_2[[#This Row],[Месяц окончания]]=Таблицаx_2[[#This Row],[Месяц]],Таблицаx_2[[#This Row],[id]]=A2135,EDATE(Таблицаx_2[[#This Row],[Месяц]],2)=D2135),F2135,0)</f>
        <v>0</v>
      </c>
    </row>
    <row r="2135" spans="1:11" ht="12.75" hidden="1" customHeight="1" x14ac:dyDescent="0.2">
      <c r="A2135" s="8">
        <v>722</v>
      </c>
      <c r="B2135" s="8" t="s">
        <v>47</v>
      </c>
      <c r="C2135" s="8" t="s">
        <v>8</v>
      </c>
      <c r="D2135" s="12">
        <v>45231</v>
      </c>
      <c r="E2135" s="8">
        <v>29540</v>
      </c>
      <c r="F2135" s="10">
        <f>IF(ISTEXT(Таблицаx_2[[#This Row],[Значение]]), 0, Таблицаx_2[[#This Row],[Значение]])</f>
        <v>29540</v>
      </c>
      <c r="G2135" s="12">
        <v>45261</v>
      </c>
      <c r="H2135" s="10" t="str">
        <f>IFERROR(VLOOKUP(Таблицаx_2[[#This Row],[id]],prolongations!A:C,2,)," ")</f>
        <v>декабрь 2023</v>
      </c>
      <c r="I2135" s="10">
        <f>IF(Таблицаx_2[[#This Row],[Месяц окончания]]=Таблицаx_2[[#This Row],[Месяц]],Таблицаx_2[[#This Row],[Значения числа]],0)</f>
        <v>0</v>
      </c>
      <c r="J2135" s="8">
        <f>IF(AND(Таблицаx_2[[#This Row],[Месяц окончания]]=Таблицаx_2[[#This Row],[Месяц]],Таблицаx_2[[#This Row],[id]]=A2136,EDATE(Таблицаx_2[[#This Row],[Месяц]],1)=D2136),F2136,0)</f>
        <v>0</v>
      </c>
      <c r="K2135" s="8">
        <f>IF(AND(Таблицаx_2[[#This Row],[Месяц окончания]]=Таблицаx_2[[#This Row],[Месяц]],Таблицаx_2[[#This Row],[id]]=A2136,EDATE(Таблицаx_2[[#This Row],[Месяц]],2)=D2136),F2136,0)</f>
        <v>0</v>
      </c>
    </row>
    <row r="2136" spans="1:11" ht="12.75" hidden="1" customHeight="1" x14ac:dyDescent="0.2">
      <c r="A2136" s="8">
        <v>722</v>
      </c>
      <c r="B2136" s="8" t="s">
        <v>47</v>
      </c>
      <c r="C2136" s="8" t="s">
        <v>8</v>
      </c>
      <c r="D2136" s="12">
        <v>45261</v>
      </c>
      <c r="E2136" s="8">
        <v>31650</v>
      </c>
      <c r="F2136" s="10">
        <f>IF(ISTEXT(Таблицаx_2[[#This Row],[Значение]]), 0, Таблицаx_2[[#This Row],[Значение]])</f>
        <v>31650</v>
      </c>
      <c r="G2136" s="12">
        <v>45261</v>
      </c>
      <c r="H2136" s="10" t="str">
        <f>IFERROR(VLOOKUP(Таблицаx_2[[#This Row],[id]],prolongations!A:C,2,)," ")</f>
        <v>декабрь 2023</v>
      </c>
      <c r="I2136" s="10">
        <f>IF(Таблицаx_2[[#This Row],[Месяц окончания]]=Таблицаx_2[[#This Row],[Месяц]],Таблицаx_2[[#This Row],[Значения числа]],0)</f>
        <v>31650</v>
      </c>
      <c r="J2136" s="8">
        <f>IF(AND(Таблицаx_2[[#This Row],[Месяц окончания]]=Таблицаx_2[[#This Row],[Месяц]],Таблицаx_2[[#This Row],[id]]=A2137,EDATE(Таблицаx_2[[#This Row],[Месяц]],1)=D2137),F2137,0)</f>
        <v>39800</v>
      </c>
      <c r="K2136" s="8">
        <f>IF(AND(Таблицаx_2[[#This Row],[Месяц окончания]]=Таблицаx_2[[#This Row],[Месяц]],Таблицаx_2[[#This Row],[id]]=A2137,EDATE(Таблицаx_2[[#This Row],[Месяц]],2)=D2137),F2137,0)</f>
        <v>0</v>
      </c>
    </row>
    <row r="2137" spans="1:11" ht="12.75" hidden="1" customHeight="1" x14ac:dyDescent="0.2">
      <c r="A2137" s="8">
        <v>722</v>
      </c>
      <c r="B2137" s="8" t="s">
        <v>47</v>
      </c>
      <c r="C2137" s="8" t="s">
        <v>8</v>
      </c>
      <c r="D2137" s="12">
        <v>45292</v>
      </c>
      <c r="E2137" s="8">
        <v>39800</v>
      </c>
      <c r="F2137" s="10">
        <f>IF(ISTEXT(Таблицаx_2[[#This Row],[Значение]]), 0, Таблицаx_2[[#This Row],[Значение]])</f>
        <v>39800</v>
      </c>
      <c r="G2137" s="12">
        <v>45261</v>
      </c>
      <c r="H2137" s="10" t="str">
        <f>IFERROR(VLOOKUP(Таблицаx_2[[#This Row],[id]],prolongations!A:C,2,)," ")</f>
        <v>декабрь 2023</v>
      </c>
      <c r="I2137" s="10">
        <f>IF(Таблицаx_2[[#This Row],[Месяц окончания]]=Таблицаx_2[[#This Row],[Месяц]],Таблицаx_2[[#This Row],[Значения числа]],0)</f>
        <v>0</v>
      </c>
      <c r="J2137" s="8">
        <f>IF(AND(Таблицаx_2[[#This Row],[Месяц окончания]]=Таблицаx_2[[#This Row],[Месяц]],Таблицаx_2[[#This Row],[id]]=A2138,EDATE(Таблицаx_2[[#This Row],[Месяц]],1)=D2138),F2138,0)</f>
        <v>0</v>
      </c>
      <c r="K2137" s="8">
        <f>IF(AND(Таблицаx_2[[#This Row],[Месяц окончания]]=Таблицаx_2[[#This Row],[Месяц]],Таблицаx_2[[#This Row],[id]]=A2138,EDATE(Таблицаx_2[[#This Row],[Месяц]],2)=D2138),F2138,0)</f>
        <v>0</v>
      </c>
    </row>
    <row r="2138" spans="1:11" ht="12.75" hidden="1" customHeight="1" x14ac:dyDescent="0.2">
      <c r="A2138" s="8">
        <v>722</v>
      </c>
      <c r="B2138" s="8" t="s">
        <v>47</v>
      </c>
      <c r="C2138" s="8" t="s">
        <v>8</v>
      </c>
      <c r="D2138" s="12">
        <v>45323</v>
      </c>
      <c r="E2138" s="8">
        <v>43700</v>
      </c>
      <c r="F2138" s="10">
        <f>IF(ISTEXT(Таблицаx_2[[#This Row],[Значение]]), 0, Таблицаx_2[[#This Row],[Значение]])</f>
        <v>43700</v>
      </c>
      <c r="G2138" s="12">
        <v>45261</v>
      </c>
      <c r="H2138" s="10" t="str">
        <f>IFERROR(VLOOKUP(Таблицаx_2[[#This Row],[id]],prolongations!A:C,2,)," ")</f>
        <v>декабрь 2023</v>
      </c>
      <c r="I2138" s="10">
        <f>IF(Таблицаx_2[[#This Row],[Месяц окончания]]=Таблицаx_2[[#This Row],[Месяц]],Таблицаx_2[[#This Row],[Значения числа]],0)</f>
        <v>0</v>
      </c>
      <c r="J2138" s="8">
        <f>IF(AND(Таблицаx_2[[#This Row],[Месяц окончания]]=Таблицаx_2[[#This Row],[Месяц]],Таблицаx_2[[#This Row],[id]]=A2139,EDATE(Таблицаx_2[[#This Row],[Месяц]],1)=D2139),F2139,0)</f>
        <v>0</v>
      </c>
      <c r="K2138" s="8">
        <f>IF(AND(Таблицаx_2[[#This Row],[Месяц окончания]]=Таблицаx_2[[#This Row],[Месяц]],Таблицаx_2[[#This Row],[id]]=A2139,EDATE(Таблицаx_2[[#This Row],[Месяц]],2)=D2139),F2139,0)</f>
        <v>0</v>
      </c>
    </row>
    <row r="2139" spans="1:11" ht="12.75" hidden="1" customHeight="1" x14ac:dyDescent="0.2">
      <c r="A2139" s="8">
        <v>743</v>
      </c>
      <c r="B2139" s="8" t="s">
        <v>45</v>
      </c>
      <c r="C2139" s="8" t="s">
        <v>10</v>
      </c>
      <c r="D2139" s="12">
        <v>44958</v>
      </c>
      <c r="E2139" s="8">
        <v>28377.5</v>
      </c>
      <c r="F2139" s="10">
        <f>IF(ISTEXT(Таблицаx_2[[#This Row],[Значение]]), 0, Таблицаx_2[[#This Row],[Значение]])</f>
        <v>28377.5</v>
      </c>
      <c r="G2139" s="12">
        <v>45017</v>
      </c>
      <c r="H2139" s="10" t="str">
        <f>IFERROR(VLOOKUP(Таблицаx_2[[#This Row],[id]],prolongations!A:C,2,)," ")</f>
        <v>апрель 2023</v>
      </c>
      <c r="I2139" s="10">
        <f>IF(Таблицаx_2[[#This Row],[Месяц окончания]]=Таблицаx_2[[#This Row],[Месяц]],Таблицаx_2[[#This Row],[Значения числа]],0)</f>
        <v>0</v>
      </c>
      <c r="J2139" s="8">
        <f>IF(AND(Таблицаx_2[[#This Row],[Месяц окончания]]=Таблицаx_2[[#This Row],[Месяц]],Таблицаx_2[[#This Row],[id]]=A2140,EDATE(Таблицаx_2[[#This Row],[Месяц]],1)=D2140),F2140,0)</f>
        <v>0</v>
      </c>
      <c r="K2139" s="8">
        <f>IF(AND(Таблицаx_2[[#This Row],[Месяц окончания]]=Таблицаx_2[[#This Row],[Месяц]],Таблицаx_2[[#This Row],[id]]=A2140,EDATE(Таблицаx_2[[#This Row],[Месяц]],2)=D2140),F2140,0)</f>
        <v>0</v>
      </c>
    </row>
    <row r="2140" spans="1:11" ht="12.75" hidden="1" customHeight="1" x14ac:dyDescent="0.2">
      <c r="A2140" s="8">
        <v>743</v>
      </c>
      <c r="B2140" s="8" t="s">
        <v>45</v>
      </c>
      <c r="C2140" s="8" t="s">
        <v>10</v>
      </c>
      <c r="D2140" s="12">
        <v>44986</v>
      </c>
      <c r="E2140" s="8">
        <v>25377.5</v>
      </c>
      <c r="F2140" s="10">
        <f>IF(ISTEXT(Таблицаx_2[[#This Row],[Значение]]), 0, Таблицаx_2[[#This Row],[Значение]])</f>
        <v>25377.5</v>
      </c>
      <c r="G2140" s="12">
        <v>45017</v>
      </c>
      <c r="H2140" s="10" t="str">
        <f>IFERROR(VLOOKUP(Таблицаx_2[[#This Row],[id]],prolongations!A:C,2,)," ")</f>
        <v>апрель 2023</v>
      </c>
      <c r="I2140" s="10">
        <f>IF(Таблицаx_2[[#This Row],[Месяц окончания]]=Таблицаx_2[[#This Row],[Месяц]],Таблицаx_2[[#This Row],[Значения числа]],0)</f>
        <v>0</v>
      </c>
      <c r="J2140" s="8">
        <f>IF(AND(Таблицаx_2[[#This Row],[Месяц окончания]]=Таблицаx_2[[#This Row],[Месяц]],Таблицаx_2[[#This Row],[id]]=A2141,EDATE(Таблицаx_2[[#This Row],[Месяц]],1)=D2141),F2141,0)</f>
        <v>0</v>
      </c>
      <c r="K2140" s="8">
        <f>IF(AND(Таблицаx_2[[#This Row],[Месяц окончания]]=Таблицаx_2[[#This Row],[Месяц]],Таблицаx_2[[#This Row],[id]]=A2141,EDATE(Таблицаx_2[[#This Row],[Месяц]],2)=D2141),F2141,0)</f>
        <v>0</v>
      </c>
    </row>
    <row r="2141" spans="1:11" ht="12.75" hidden="1" customHeight="1" x14ac:dyDescent="0.2">
      <c r="A2141" s="8">
        <v>743</v>
      </c>
      <c r="B2141" s="8" t="s">
        <v>45</v>
      </c>
      <c r="C2141" s="8" t="s">
        <v>10</v>
      </c>
      <c r="D2141" s="12">
        <v>45017</v>
      </c>
      <c r="E2141" s="8">
        <v>25377.5</v>
      </c>
      <c r="F2141" s="10">
        <f>IF(ISTEXT(Таблицаx_2[[#This Row],[Значение]]), 0, Таблицаx_2[[#This Row],[Значение]])</f>
        <v>25377.5</v>
      </c>
      <c r="G2141" s="12">
        <v>45017</v>
      </c>
      <c r="H2141" s="10" t="str">
        <f>IFERROR(VLOOKUP(Таблицаx_2[[#This Row],[id]],prolongations!A:C,2,)," ")</f>
        <v>апрель 2023</v>
      </c>
      <c r="I2141" s="10">
        <f>IF(Таблицаx_2[[#This Row],[Месяц окончания]]=Таблицаx_2[[#This Row],[Месяц]],Таблицаx_2[[#This Row],[Значения числа]],0)</f>
        <v>25377.5</v>
      </c>
      <c r="J2141" s="8">
        <f>IF(AND(Таблицаx_2[[#This Row],[Месяц окончания]]=Таблицаx_2[[#This Row],[Месяц]],Таблицаx_2[[#This Row],[id]]=A2142,EDATE(Таблицаx_2[[#This Row],[Месяц]],1)=D2142),F2142,0)</f>
        <v>25377.5</v>
      </c>
      <c r="K2141" s="8">
        <f>IF(AND(Таблицаx_2[[#This Row],[Месяц окончания]]=Таблицаx_2[[#This Row],[Месяц]],Таблицаx_2[[#This Row],[id]]=A2142,EDATE(Таблицаx_2[[#This Row],[Месяц]],2)=D2142),F2142,0)</f>
        <v>0</v>
      </c>
    </row>
    <row r="2142" spans="1:11" ht="12.75" hidden="1" customHeight="1" x14ac:dyDescent="0.2">
      <c r="A2142" s="8">
        <v>743</v>
      </c>
      <c r="B2142" s="8" t="s">
        <v>45</v>
      </c>
      <c r="C2142" s="8" t="s">
        <v>10</v>
      </c>
      <c r="D2142" s="12">
        <v>45047</v>
      </c>
      <c r="E2142" s="8">
        <v>25377.5</v>
      </c>
      <c r="F2142" s="10">
        <f>IF(ISTEXT(Таблицаx_2[[#This Row],[Значение]]), 0, Таблицаx_2[[#This Row],[Значение]])</f>
        <v>25377.5</v>
      </c>
      <c r="G2142" s="12">
        <v>45017</v>
      </c>
      <c r="H2142" s="10" t="str">
        <f>IFERROR(VLOOKUP(Таблицаx_2[[#This Row],[id]],prolongations!A:C,2,)," ")</f>
        <v>апрель 2023</v>
      </c>
      <c r="I2142" s="10">
        <f>IF(Таблицаx_2[[#This Row],[Месяц окончания]]=Таблицаx_2[[#This Row],[Месяц]],Таблицаx_2[[#This Row],[Значения числа]],0)</f>
        <v>0</v>
      </c>
      <c r="J2142" s="8">
        <f>IF(AND(Таблицаx_2[[#This Row],[Месяц окончания]]=Таблицаx_2[[#This Row],[Месяц]],Таблицаx_2[[#This Row],[id]]=A2143,EDATE(Таблицаx_2[[#This Row],[Месяц]],1)=D2143),F2143,0)</f>
        <v>0</v>
      </c>
      <c r="K2142" s="8">
        <f>IF(AND(Таблицаx_2[[#This Row],[Месяц окончания]]=Таблицаx_2[[#This Row],[Месяц]],Таблицаx_2[[#This Row],[id]]=A2143,EDATE(Таблицаx_2[[#This Row],[Месяц]],2)=D2143),F2143,0)</f>
        <v>0</v>
      </c>
    </row>
    <row r="2143" spans="1:11" ht="12.75" hidden="1" customHeight="1" x14ac:dyDescent="0.2">
      <c r="A2143" s="8">
        <v>743</v>
      </c>
      <c r="B2143" s="8" t="s">
        <v>45</v>
      </c>
      <c r="C2143" s="8" t="s">
        <v>10</v>
      </c>
      <c r="D2143" s="12">
        <v>45078</v>
      </c>
      <c r="E2143" s="8">
        <v>25377.5</v>
      </c>
      <c r="F2143" s="10">
        <f>IF(ISTEXT(Таблицаx_2[[#This Row],[Значение]]), 0, Таблицаx_2[[#This Row],[Значение]])</f>
        <v>25377.5</v>
      </c>
      <c r="G2143" s="12">
        <v>45017</v>
      </c>
      <c r="H2143" s="10" t="str">
        <f>IFERROR(VLOOKUP(Таблицаx_2[[#This Row],[id]],prolongations!A:C,2,)," ")</f>
        <v>апрель 2023</v>
      </c>
      <c r="I2143" s="10">
        <f>IF(Таблицаx_2[[#This Row],[Месяц окончания]]=Таблицаx_2[[#This Row],[Месяц]],Таблицаx_2[[#This Row],[Значения числа]],0)</f>
        <v>0</v>
      </c>
      <c r="J2143" s="8">
        <f>IF(AND(Таблицаx_2[[#This Row],[Месяц окончания]]=Таблицаx_2[[#This Row],[Месяц]],Таблицаx_2[[#This Row],[id]]=A2144,EDATE(Таблицаx_2[[#This Row],[Месяц]],1)=D2144),F2144,0)</f>
        <v>0</v>
      </c>
      <c r="K2143" s="8">
        <f>IF(AND(Таблицаx_2[[#This Row],[Месяц окончания]]=Таблицаx_2[[#This Row],[Месяц]],Таблицаx_2[[#This Row],[id]]=A2144,EDATE(Таблицаx_2[[#This Row],[Месяц]],2)=D2144),F2144,0)</f>
        <v>0</v>
      </c>
    </row>
    <row r="2144" spans="1:11" ht="12.75" hidden="1" customHeight="1" x14ac:dyDescent="0.2">
      <c r="A2144" s="8">
        <v>743</v>
      </c>
      <c r="B2144" s="8" t="s">
        <v>45</v>
      </c>
      <c r="C2144" s="8" t="s">
        <v>10</v>
      </c>
      <c r="D2144" s="12">
        <v>45108</v>
      </c>
      <c r="E2144" s="8">
        <v>25377.5</v>
      </c>
      <c r="F2144" s="10">
        <f>IF(ISTEXT(Таблицаx_2[[#This Row],[Значение]]), 0, Таблицаx_2[[#This Row],[Значение]])</f>
        <v>25377.5</v>
      </c>
      <c r="G2144" s="12">
        <v>45017</v>
      </c>
      <c r="H2144" s="10" t="str">
        <f>IFERROR(VLOOKUP(Таблицаx_2[[#This Row],[id]],prolongations!A:C,2,)," ")</f>
        <v>апрель 2023</v>
      </c>
      <c r="I2144" s="10">
        <f>IF(Таблицаx_2[[#This Row],[Месяц окончания]]=Таблицаx_2[[#This Row],[Месяц]],Таблицаx_2[[#This Row],[Значения числа]],0)</f>
        <v>0</v>
      </c>
      <c r="J2144" s="8">
        <f>IF(AND(Таблицаx_2[[#This Row],[Месяц окончания]]=Таблицаx_2[[#This Row],[Месяц]],Таблицаx_2[[#This Row],[id]]=A2145,EDATE(Таблицаx_2[[#This Row],[Месяц]],1)=D2145),F2145,0)</f>
        <v>0</v>
      </c>
      <c r="K2144" s="8">
        <f>IF(AND(Таблицаx_2[[#This Row],[Месяц окончания]]=Таблицаx_2[[#This Row],[Месяц]],Таблицаx_2[[#This Row],[id]]=A2145,EDATE(Таблицаx_2[[#This Row],[Месяц]],2)=D2145),F2145,0)</f>
        <v>0</v>
      </c>
    </row>
    <row r="2145" spans="1:11" ht="12.75" hidden="1" customHeight="1" x14ac:dyDescent="0.2">
      <c r="A2145" s="8">
        <v>743</v>
      </c>
      <c r="B2145" s="8" t="s">
        <v>45</v>
      </c>
      <c r="C2145" s="8" t="s">
        <v>10</v>
      </c>
      <c r="D2145" s="12">
        <v>45139</v>
      </c>
      <c r="E2145" s="8">
        <v>27100</v>
      </c>
      <c r="F2145" s="10">
        <f>IF(ISTEXT(Таблицаx_2[[#This Row],[Значение]]), 0, Таблицаx_2[[#This Row],[Значение]])</f>
        <v>27100</v>
      </c>
      <c r="G2145" s="12">
        <v>45017</v>
      </c>
      <c r="H2145" s="10" t="str">
        <f>IFERROR(VLOOKUP(Таблицаx_2[[#This Row],[id]],prolongations!A:C,2,)," ")</f>
        <v>апрель 2023</v>
      </c>
      <c r="I2145" s="10">
        <f>IF(Таблицаx_2[[#This Row],[Месяц окончания]]=Таблицаx_2[[#This Row],[Месяц]],Таблицаx_2[[#This Row],[Значения числа]],0)</f>
        <v>0</v>
      </c>
      <c r="J2145" s="8">
        <f>IF(AND(Таблицаx_2[[#This Row],[Месяц окончания]]=Таблицаx_2[[#This Row],[Месяц]],Таблицаx_2[[#This Row],[id]]=A2146,EDATE(Таблицаx_2[[#This Row],[Месяц]],1)=D2146),F2146,0)</f>
        <v>0</v>
      </c>
      <c r="K2145" s="8">
        <f>IF(AND(Таблицаx_2[[#This Row],[Месяц окончания]]=Таблицаx_2[[#This Row],[Месяц]],Таблицаx_2[[#This Row],[id]]=A2146,EDATE(Таблицаx_2[[#This Row],[Месяц]],2)=D2146),F2146,0)</f>
        <v>0</v>
      </c>
    </row>
    <row r="2146" spans="1:11" ht="12.75" hidden="1" customHeight="1" x14ac:dyDescent="0.2">
      <c r="A2146" s="8">
        <v>743</v>
      </c>
      <c r="B2146" s="8" t="s">
        <v>45</v>
      </c>
      <c r="C2146" s="8" t="s">
        <v>10</v>
      </c>
      <c r="D2146" s="12">
        <v>45170</v>
      </c>
      <c r="E2146" s="8">
        <v>28050</v>
      </c>
      <c r="F2146" s="10">
        <f>IF(ISTEXT(Таблицаx_2[[#This Row],[Значение]]), 0, Таблицаx_2[[#This Row],[Значение]])</f>
        <v>28050</v>
      </c>
      <c r="G2146" s="12">
        <v>45017</v>
      </c>
      <c r="H2146" s="10" t="str">
        <f>IFERROR(VLOOKUP(Таблицаx_2[[#This Row],[id]],prolongations!A:C,2,)," ")</f>
        <v>апрель 2023</v>
      </c>
      <c r="I2146" s="10">
        <f>IF(Таблицаx_2[[#This Row],[Месяц окончания]]=Таблицаx_2[[#This Row],[Месяц]],Таблицаx_2[[#This Row],[Значения числа]],0)</f>
        <v>0</v>
      </c>
      <c r="J2146" s="8">
        <f>IF(AND(Таблицаx_2[[#This Row],[Месяц окончания]]=Таблицаx_2[[#This Row],[Месяц]],Таблицаx_2[[#This Row],[id]]=A2147,EDATE(Таблицаx_2[[#This Row],[Месяц]],1)=D2147),F2147,0)</f>
        <v>0</v>
      </c>
      <c r="K2146" s="8">
        <f>IF(AND(Таблицаx_2[[#This Row],[Месяц окончания]]=Таблицаx_2[[#This Row],[Месяц]],Таблицаx_2[[#This Row],[id]]=A2147,EDATE(Таблицаx_2[[#This Row],[Месяц]],2)=D2147),F2147,0)</f>
        <v>0</v>
      </c>
    </row>
    <row r="2147" spans="1:11" ht="12.75" hidden="1" customHeight="1" x14ac:dyDescent="0.2">
      <c r="A2147" s="8">
        <v>743</v>
      </c>
      <c r="B2147" s="8" t="s">
        <v>45</v>
      </c>
      <c r="C2147" s="8" t="s">
        <v>10</v>
      </c>
      <c r="D2147" s="12">
        <v>45200</v>
      </c>
      <c r="E2147" s="8">
        <v>28050</v>
      </c>
      <c r="F2147" s="10">
        <f>IF(ISTEXT(Таблицаx_2[[#This Row],[Значение]]), 0, Таблицаx_2[[#This Row],[Значение]])</f>
        <v>28050</v>
      </c>
      <c r="G2147" s="12">
        <v>45017</v>
      </c>
      <c r="H2147" s="10" t="str">
        <f>IFERROR(VLOOKUP(Таблицаx_2[[#This Row],[id]],prolongations!A:C,2,)," ")</f>
        <v>апрель 2023</v>
      </c>
      <c r="I2147" s="10">
        <f>IF(Таблицаx_2[[#This Row],[Месяц окончания]]=Таблицаx_2[[#This Row],[Месяц]],Таблицаx_2[[#This Row],[Значения числа]],0)</f>
        <v>0</v>
      </c>
      <c r="J2147" s="8">
        <f>IF(AND(Таблицаx_2[[#This Row],[Месяц окончания]]=Таблицаx_2[[#This Row],[Месяц]],Таблицаx_2[[#This Row],[id]]=A2148,EDATE(Таблицаx_2[[#This Row],[Месяц]],1)=D2148),F2148,0)</f>
        <v>0</v>
      </c>
      <c r="K2147" s="8">
        <f>IF(AND(Таблицаx_2[[#This Row],[Месяц окончания]]=Таблицаx_2[[#This Row],[Месяц]],Таблицаx_2[[#This Row],[id]]=A2148,EDATE(Таблицаx_2[[#This Row],[Месяц]],2)=D2148),F2148,0)</f>
        <v>0</v>
      </c>
    </row>
    <row r="2148" spans="1:11" ht="12.75" hidden="1" customHeight="1" x14ac:dyDescent="0.2">
      <c r="A2148" s="8">
        <v>743</v>
      </c>
      <c r="B2148" s="8" t="s">
        <v>45</v>
      </c>
      <c r="C2148" s="8" t="s">
        <v>10</v>
      </c>
      <c r="D2148" s="12">
        <v>45231</v>
      </c>
      <c r="E2148" s="8">
        <v>32200</v>
      </c>
      <c r="F2148" s="10">
        <f>IF(ISTEXT(Таблицаx_2[[#This Row],[Значение]]), 0, Таблицаx_2[[#This Row],[Значение]])</f>
        <v>32200</v>
      </c>
      <c r="G2148" s="12">
        <v>45017</v>
      </c>
      <c r="H2148" s="10" t="str">
        <f>IFERROR(VLOOKUP(Таблицаx_2[[#This Row],[id]],prolongations!A:C,2,)," ")</f>
        <v>апрель 2023</v>
      </c>
      <c r="I2148" s="10">
        <f>IF(Таблицаx_2[[#This Row],[Месяц окончания]]=Таблицаx_2[[#This Row],[Месяц]],Таблицаx_2[[#This Row],[Значения числа]],0)</f>
        <v>0</v>
      </c>
      <c r="J2148" s="8">
        <f>IF(AND(Таблицаx_2[[#This Row],[Месяц окончания]]=Таблицаx_2[[#This Row],[Месяц]],Таблицаx_2[[#This Row],[id]]=A2149,EDATE(Таблицаx_2[[#This Row],[Месяц]],1)=D2149),F2149,0)</f>
        <v>0</v>
      </c>
      <c r="K2148" s="8">
        <f>IF(AND(Таблицаx_2[[#This Row],[Месяц окончания]]=Таблицаx_2[[#This Row],[Месяц]],Таблицаx_2[[#This Row],[id]]=A2149,EDATE(Таблицаx_2[[#This Row],[Месяц]],2)=D2149),F2149,0)</f>
        <v>0</v>
      </c>
    </row>
    <row r="2149" spans="1:11" ht="12.75" hidden="1" customHeight="1" x14ac:dyDescent="0.2">
      <c r="A2149" s="8">
        <v>743</v>
      </c>
      <c r="B2149" s="8" t="s">
        <v>45</v>
      </c>
      <c r="C2149" s="8" t="s">
        <v>10</v>
      </c>
      <c r="D2149" s="12">
        <v>45261</v>
      </c>
      <c r="E2149" s="8">
        <v>33400</v>
      </c>
      <c r="F2149" s="10">
        <f>IF(ISTEXT(Таблицаx_2[[#This Row],[Значение]]), 0, Таблицаx_2[[#This Row],[Значение]])</f>
        <v>33400</v>
      </c>
      <c r="G2149" s="12">
        <v>45017</v>
      </c>
      <c r="H2149" s="10" t="str">
        <f>IFERROR(VLOOKUP(Таблицаx_2[[#This Row],[id]],prolongations!A:C,2,)," ")</f>
        <v>апрель 2023</v>
      </c>
      <c r="I2149" s="10">
        <f>IF(Таблицаx_2[[#This Row],[Месяц окончания]]=Таблицаx_2[[#This Row],[Месяц]],Таблицаx_2[[#This Row],[Значения числа]],0)</f>
        <v>0</v>
      </c>
      <c r="J2149" s="8">
        <f>IF(AND(Таблицаx_2[[#This Row],[Месяц окончания]]=Таблицаx_2[[#This Row],[Месяц]],Таблицаx_2[[#This Row],[id]]=A2150,EDATE(Таблицаx_2[[#This Row],[Месяц]],1)=D2150),F2150,0)</f>
        <v>0</v>
      </c>
      <c r="K2149" s="8">
        <f>IF(AND(Таблицаx_2[[#This Row],[Месяц окончания]]=Таблицаx_2[[#This Row],[Месяц]],Таблицаx_2[[#This Row],[id]]=A2150,EDATE(Таблицаx_2[[#This Row],[Месяц]],2)=D2150),F2150,0)</f>
        <v>0</v>
      </c>
    </row>
    <row r="2150" spans="1:11" ht="12.75" hidden="1" customHeight="1" x14ac:dyDescent="0.2">
      <c r="A2150" s="8">
        <v>743</v>
      </c>
      <c r="B2150" s="8" t="s">
        <v>45</v>
      </c>
      <c r="C2150" s="8" t="s">
        <v>10</v>
      </c>
      <c r="D2150" s="12">
        <v>45292</v>
      </c>
      <c r="E2150" s="8">
        <v>33400</v>
      </c>
      <c r="F2150" s="10">
        <f>IF(ISTEXT(Таблицаx_2[[#This Row],[Значение]]), 0, Таблицаx_2[[#This Row],[Значение]])</f>
        <v>33400</v>
      </c>
      <c r="G2150" s="12">
        <v>45017</v>
      </c>
      <c r="H2150" s="10" t="str">
        <f>IFERROR(VLOOKUP(Таблицаx_2[[#This Row],[id]],prolongations!A:C,2,)," ")</f>
        <v>апрель 2023</v>
      </c>
      <c r="I2150" s="10">
        <f>IF(Таблицаx_2[[#This Row],[Месяц окончания]]=Таблицаx_2[[#This Row],[Месяц]],Таблицаx_2[[#This Row],[Значения числа]],0)</f>
        <v>0</v>
      </c>
      <c r="J2150" s="8">
        <f>IF(AND(Таблицаx_2[[#This Row],[Месяц окончания]]=Таблицаx_2[[#This Row],[Месяц]],Таблицаx_2[[#This Row],[id]]=A2151,EDATE(Таблицаx_2[[#This Row],[Месяц]],1)=D2151),F2151,0)</f>
        <v>0</v>
      </c>
      <c r="K2150" s="8">
        <f>IF(AND(Таблицаx_2[[#This Row],[Месяц окончания]]=Таблицаx_2[[#This Row],[Месяц]],Таблицаx_2[[#This Row],[id]]=A2151,EDATE(Таблицаx_2[[#This Row],[Месяц]],2)=D2151),F2151,0)</f>
        <v>0</v>
      </c>
    </row>
    <row r="2151" spans="1:11" ht="12.75" hidden="1" customHeight="1" x14ac:dyDescent="0.2">
      <c r="A2151" s="8">
        <v>743</v>
      </c>
      <c r="B2151" s="8" t="s">
        <v>45</v>
      </c>
      <c r="C2151" s="8" t="s">
        <v>10</v>
      </c>
      <c r="D2151" s="12">
        <v>45323</v>
      </c>
      <c r="E2151" s="8">
        <v>33400</v>
      </c>
      <c r="F2151" s="10">
        <f>IF(ISTEXT(Таблицаx_2[[#This Row],[Значение]]), 0, Таблицаx_2[[#This Row],[Значение]])</f>
        <v>33400</v>
      </c>
      <c r="G2151" s="12">
        <v>45017</v>
      </c>
      <c r="H2151" s="10" t="str">
        <f>IFERROR(VLOOKUP(Таблицаx_2[[#This Row],[id]],prolongations!A:C,2,)," ")</f>
        <v>апрель 2023</v>
      </c>
      <c r="I2151" s="10">
        <f>IF(Таблицаx_2[[#This Row],[Месяц окончания]]=Таблицаx_2[[#This Row],[Месяц]],Таблицаx_2[[#This Row],[Значения числа]],0)</f>
        <v>0</v>
      </c>
      <c r="J2151" s="8">
        <f>IF(AND(Таблицаx_2[[#This Row],[Месяц окончания]]=Таблицаx_2[[#This Row],[Месяц]],Таблицаx_2[[#This Row],[id]]=A2152,EDATE(Таблицаx_2[[#This Row],[Месяц]],1)=D2152),F2152,0)</f>
        <v>0</v>
      </c>
      <c r="K2151" s="8">
        <f>IF(AND(Таблицаx_2[[#This Row],[Месяц окончания]]=Таблицаx_2[[#This Row],[Месяц]],Таблицаx_2[[#This Row],[id]]=A2152,EDATE(Таблицаx_2[[#This Row],[Месяц]],2)=D2152),F2152,0)</f>
        <v>0</v>
      </c>
    </row>
    <row r="2152" spans="1:11" ht="12.75" hidden="1" customHeight="1" x14ac:dyDescent="0.2">
      <c r="A2152" s="8">
        <v>743</v>
      </c>
      <c r="B2152" s="8" t="s">
        <v>47</v>
      </c>
      <c r="C2152" s="8" t="s">
        <v>10</v>
      </c>
      <c r="D2152" s="12">
        <v>44958</v>
      </c>
      <c r="E2152" s="8">
        <v>28377.5</v>
      </c>
      <c r="F2152" s="10">
        <f>IF(ISTEXT(Таблицаx_2[[#This Row],[Значение]]), 0, Таблицаx_2[[#This Row],[Значение]])</f>
        <v>28377.5</v>
      </c>
      <c r="G2152" s="12">
        <v>45017</v>
      </c>
      <c r="H2152" s="10" t="str">
        <f>IFERROR(VLOOKUP(Таблицаx_2[[#This Row],[id]],prolongations!A:C,2,)," ")</f>
        <v>апрель 2023</v>
      </c>
      <c r="I2152" s="10">
        <f>IF(Таблицаx_2[[#This Row],[Месяц окончания]]=Таблицаx_2[[#This Row],[Месяц]],Таблицаx_2[[#This Row],[Значения числа]],0)</f>
        <v>0</v>
      </c>
      <c r="J2152" s="8">
        <f>IF(AND(Таблицаx_2[[#This Row],[Месяц окончания]]=Таблицаx_2[[#This Row],[Месяц]],Таблицаx_2[[#This Row],[id]]=A2153,EDATE(Таблицаx_2[[#This Row],[Месяц]],1)=D2153),F2153,0)</f>
        <v>0</v>
      </c>
      <c r="K2152" s="8">
        <f>IF(AND(Таблицаx_2[[#This Row],[Месяц окончания]]=Таблицаx_2[[#This Row],[Месяц]],Таблицаx_2[[#This Row],[id]]=A2153,EDATE(Таблицаx_2[[#This Row],[Месяц]],2)=D2153),F2153,0)</f>
        <v>0</v>
      </c>
    </row>
    <row r="2153" spans="1:11" ht="12.75" hidden="1" customHeight="1" x14ac:dyDescent="0.2">
      <c r="A2153" s="8">
        <v>743</v>
      </c>
      <c r="B2153" s="8" t="s">
        <v>47</v>
      </c>
      <c r="C2153" s="8" t="s">
        <v>10</v>
      </c>
      <c r="D2153" s="12">
        <v>44986</v>
      </c>
      <c r="E2153" s="8">
        <v>25377.5</v>
      </c>
      <c r="F2153" s="10">
        <f>IF(ISTEXT(Таблицаx_2[[#This Row],[Значение]]), 0, Таблицаx_2[[#This Row],[Значение]])</f>
        <v>25377.5</v>
      </c>
      <c r="G2153" s="12">
        <v>45017</v>
      </c>
      <c r="H2153" s="10" t="str">
        <f>IFERROR(VLOOKUP(Таблицаx_2[[#This Row],[id]],prolongations!A:C,2,)," ")</f>
        <v>апрель 2023</v>
      </c>
      <c r="I2153" s="10">
        <f>IF(Таблицаx_2[[#This Row],[Месяц окончания]]=Таблицаx_2[[#This Row],[Месяц]],Таблицаx_2[[#This Row],[Значения числа]],0)</f>
        <v>0</v>
      </c>
      <c r="J2153" s="8">
        <f>IF(AND(Таблицаx_2[[#This Row],[Месяц окончания]]=Таблицаx_2[[#This Row],[Месяц]],Таблицаx_2[[#This Row],[id]]=A2154,EDATE(Таблицаx_2[[#This Row],[Месяц]],1)=D2154),F2154,0)</f>
        <v>0</v>
      </c>
      <c r="K2153" s="8">
        <f>IF(AND(Таблицаx_2[[#This Row],[Месяц окончания]]=Таблицаx_2[[#This Row],[Месяц]],Таблицаx_2[[#This Row],[id]]=A2154,EDATE(Таблицаx_2[[#This Row],[Месяц]],2)=D2154),F2154,0)</f>
        <v>0</v>
      </c>
    </row>
    <row r="2154" spans="1:11" ht="12.75" hidden="1" customHeight="1" x14ac:dyDescent="0.2">
      <c r="A2154" s="8">
        <v>743</v>
      </c>
      <c r="B2154" s="8" t="s">
        <v>47</v>
      </c>
      <c r="C2154" s="8" t="s">
        <v>10</v>
      </c>
      <c r="D2154" s="12">
        <v>45017</v>
      </c>
      <c r="E2154" s="8">
        <v>25377.5</v>
      </c>
      <c r="F2154" s="10">
        <f>IF(ISTEXT(Таблицаx_2[[#This Row],[Значение]]), 0, Таблицаx_2[[#This Row],[Значение]])</f>
        <v>25377.5</v>
      </c>
      <c r="G2154" s="12">
        <v>45017</v>
      </c>
      <c r="H2154" s="10" t="str">
        <f>IFERROR(VLOOKUP(Таблицаx_2[[#This Row],[id]],prolongations!A:C,2,)," ")</f>
        <v>апрель 2023</v>
      </c>
      <c r="I2154" s="10">
        <f>IF(Таблицаx_2[[#This Row],[Месяц окончания]]=Таблицаx_2[[#This Row],[Месяц]],Таблицаx_2[[#This Row],[Значения числа]],0)</f>
        <v>25377.5</v>
      </c>
      <c r="J2154" s="8">
        <f>IF(AND(Таблицаx_2[[#This Row],[Месяц окончания]]=Таблицаx_2[[#This Row],[Месяц]],Таблицаx_2[[#This Row],[id]]=A2155,EDATE(Таблицаx_2[[#This Row],[Месяц]],1)=D2155),F2155,0)</f>
        <v>25377.5</v>
      </c>
      <c r="K2154" s="8">
        <f>IF(AND(Таблицаx_2[[#This Row],[Месяц окончания]]=Таблицаx_2[[#This Row],[Месяц]],Таблицаx_2[[#This Row],[id]]=A2155,EDATE(Таблицаx_2[[#This Row],[Месяц]],2)=D2155),F2155,0)</f>
        <v>0</v>
      </c>
    </row>
    <row r="2155" spans="1:11" ht="12.75" hidden="1" customHeight="1" x14ac:dyDescent="0.2">
      <c r="A2155" s="8">
        <v>743</v>
      </c>
      <c r="B2155" s="8" t="s">
        <v>47</v>
      </c>
      <c r="C2155" s="8" t="s">
        <v>10</v>
      </c>
      <c r="D2155" s="12">
        <v>45047</v>
      </c>
      <c r="E2155" s="8">
        <v>25377.5</v>
      </c>
      <c r="F2155" s="10">
        <f>IF(ISTEXT(Таблицаx_2[[#This Row],[Значение]]), 0, Таблицаx_2[[#This Row],[Значение]])</f>
        <v>25377.5</v>
      </c>
      <c r="G2155" s="12">
        <v>45017</v>
      </c>
      <c r="H2155" s="10" t="str">
        <f>IFERROR(VLOOKUP(Таблицаx_2[[#This Row],[id]],prolongations!A:C,2,)," ")</f>
        <v>апрель 2023</v>
      </c>
      <c r="I2155" s="10">
        <f>IF(Таблицаx_2[[#This Row],[Месяц окончания]]=Таблицаx_2[[#This Row],[Месяц]],Таблицаx_2[[#This Row],[Значения числа]],0)</f>
        <v>0</v>
      </c>
      <c r="J2155" s="8">
        <f>IF(AND(Таблицаx_2[[#This Row],[Месяц окончания]]=Таблицаx_2[[#This Row],[Месяц]],Таблицаx_2[[#This Row],[id]]=A2156,EDATE(Таблицаx_2[[#This Row],[Месяц]],1)=D2156),F2156,0)</f>
        <v>0</v>
      </c>
      <c r="K2155" s="8">
        <f>IF(AND(Таблицаx_2[[#This Row],[Месяц окончания]]=Таблицаx_2[[#This Row],[Месяц]],Таблицаx_2[[#This Row],[id]]=A2156,EDATE(Таблицаx_2[[#This Row],[Месяц]],2)=D2156),F2156,0)</f>
        <v>0</v>
      </c>
    </row>
    <row r="2156" spans="1:11" ht="12.75" hidden="1" customHeight="1" x14ac:dyDescent="0.2">
      <c r="A2156" s="8">
        <v>743</v>
      </c>
      <c r="B2156" s="8" t="s">
        <v>47</v>
      </c>
      <c r="C2156" s="8" t="s">
        <v>10</v>
      </c>
      <c r="D2156" s="12">
        <v>45078</v>
      </c>
      <c r="E2156" s="8">
        <v>25377.5</v>
      </c>
      <c r="F2156" s="10">
        <f>IF(ISTEXT(Таблицаx_2[[#This Row],[Значение]]), 0, Таблицаx_2[[#This Row],[Значение]])</f>
        <v>25377.5</v>
      </c>
      <c r="G2156" s="12">
        <v>45017</v>
      </c>
      <c r="H2156" s="10" t="str">
        <f>IFERROR(VLOOKUP(Таблицаx_2[[#This Row],[id]],prolongations!A:C,2,)," ")</f>
        <v>апрель 2023</v>
      </c>
      <c r="I2156" s="10">
        <f>IF(Таблицаx_2[[#This Row],[Месяц окончания]]=Таблицаx_2[[#This Row],[Месяц]],Таблицаx_2[[#This Row],[Значения числа]],0)</f>
        <v>0</v>
      </c>
      <c r="J2156" s="8">
        <f>IF(AND(Таблицаx_2[[#This Row],[Месяц окончания]]=Таблицаx_2[[#This Row],[Месяц]],Таблицаx_2[[#This Row],[id]]=A2157,EDATE(Таблицаx_2[[#This Row],[Месяц]],1)=D2157),F2157,0)</f>
        <v>0</v>
      </c>
      <c r="K2156" s="8">
        <f>IF(AND(Таблицаx_2[[#This Row],[Месяц окончания]]=Таблицаx_2[[#This Row],[Месяц]],Таблицаx_2[[#This Row],[id]]=A2157,EDATE(Таблицаx_2[[#This Row],[Месяц]],2)=D2157),F2157,0)</f>
        <v>0</v>
      </c>
    </row>
    <row r="2157" spans="1:11" ht="12.75" hidden="1" customHeight="1" x14ac:dyDescent="0.2">
      <c r="A2157" s="8">
        <v>743</v>
      </c>
      <c r="B2157" s="8" t="s">
        <v>47</v>
      </c>
      <c r="C2157" s="8" t="s">
        <v>10</v>
      </c>
      <c r="D2157" s="12">
        <v>45108</v>
      </c>
      <c r="E2157" s="8">
        <v>25377.5</v>
      </c>
      <c r="F2157" s="10">
        <f>IF(ISTEXT(Таблицаx_2[[#This Row],[Значение]]), 0, Таблицаx_2[[#This Row],[Значение]])</f>
        <v>25377.5</v>
      </c>
      <c r="G2157" s="12">
        <v>45017</v>
      </c>
      <c r="H2157" s="10" t="str">
        <f>IFERROR(VLOOKUP(Таблицаx_2[[#This Row],[id]],prolongations!A:C,2,)," ")</f>
        <v>апрель 2023</v>
      </c>
      <c r="I2157" s="10">
        <f>IF(Таблицаx_2[[#This Row],[Месяц окончания]]=Таблицаx_2[[#This Row],[Месяц]],Таблицаx_2[[#This Row],[Значения числа]],0)</f>
        <v>0</v>
      </c>
      <c r="J2157" s="8">
        <f>IF(AND(Таблицаx_2[[#This Row],[Месяц окончания]]=Таблицаx_2[[#This Row],[Месяц]],Таблицаx_2[[#This Row],[id]]=A2158,EDATE(Таблицаx_2[[#This Row],[Месяц]],1)=D2158),F2158,0)</f>
        <v>0</v>
      </c>
      <c r="K2157" s="8">
        <f>IF(AND(Таблицаx_2[[#This Row],[Месяц окончания]]=Таблицаx_2[[#This Row],[Месяц]],Таблицаx_2[[#This Row],[id]]=A2158,EDATE(Таблицаx_2[[#This Row],[Месяц]],2)=D2158),F2158,0)</f>
        <v>0</v>
      </c>
    </row>
    <row r="2158" spans="1:11" ht="12.75" hidden="1" customHeight="1" x14ac:dyDescent="0.2">
      <c r="A2158" s="8">
        <v>743</v>
      </c>
      <c r="B2158" s="8" t="s">
        <v>47</v>
      </c>
      <c r="C2158" s="8" t="s">
        <v>10</v>
      </c>
      <c r="D2158" s="12">
        <v>45139</v>
      </c>
      <c r="E2158" s="8">
        <v>27100</v>
      </c>
      <c r="F2158" s="10">
        <f>IF(ISTEXT(Таблицаx_2[[#This Row],[Значение]]), 0, Таблицаx_2[[#This Row],[Значение]])</f>
        <v>27100</v>
      </c>
      <c r="G2158" s="12">
        <v>45017</v>
      </c>
      <c r="H2158" s="10" t="str">
        <f>IFERROR(VLOOKUP(Таблицаx_2[[#This Row],[id]],prolongations!A:C,2,)," ")</f>
        <v>апрель 2023</v>
      </c>
      <c r="I2158" s="10">
        <f>IF(Таблицаx_2[[#This Row],[Месяц окончания]]=Таблицаx_2[[#This Row],[Месяц]],Таблицаx_2[[#This Row],[Значения числа]],0)</f>
        <v>0</v>
      </c>
      <c r="J2158" s="8">
        <f>IF(AND(Таблицаx_2[[#This Row],[Месяц окончания]]=Таблицаx_2[[#This Row],[Месяц]],Таблицаx_2[[#This Row],[id]]=A2159,EDATE(Таблицаx_2[[#This Row],[Месяц]],1)=D2159),F2159,0)</f>
        <v>0</v>
      </c>
      <c r="K2158" s="8">
        <f>IF(AND(Таблицаx_2[[#This Row],[Месяц окончания]]=Таблицаx_2[[#This Row],[Месяц]],Таблицаx_2[[#This Row],[id]]=A2159,EDATE(Таблицаx_2[[#This Row],[Месяц]],2)=D2159),F2159,0)</f>
        <v>0</v>
      </c>
    </row>
    <row r="2159" spans="1:11" ht="12.75" hidden="1" customHeight="1" x14ac:dyDescent="0.2">
      <c r="A2159" s="8">
        <v>743</v>
      </c>
      <c r="B2159" s="8" t="s">
        <v>47</v>
      </c>
      <c r="C2159" s="8" t="s">
        <v>10</v>
      </c>
      <c r="D2159" s="12">
        <v>45170</v>
      </c>
      <c r="E2159" s="8">
        <v>28050</v>
      </c>
      <c r="F2159" s="10">
        <f>IF(ISTEXT(Таблицаx_2[[#This Row],[Значение]]), 0, Таблицаx_2[[#This Row],[Значение]])</f>
        <v>28050</v>
      </c>
      <c r="G2159" s="12">
        <v>45017</v>
      </c>
      <c r="H2159" s="10" t="str">
        <f>IFERROR(VLOOKUP(Таблицаx_2[[#This Row],[id]],prolongations!A:C,2,)," ")</f>
        <v>апрель 2023</v>
      </c>
      <c r="I2159" s="10">
        <f>IF(Таблицаx_2[[#This Row],[Месяц окончания]]=Таблицаx_2[[#This Row],[Месяц]],Таблицаx_2[[#This Row],[Значения числа]],0)</f>
        <v>0</v>
      </c>
      <c r="J2159" s="8">
        <f>IF(AND(Таблицаx_2[[#This Row],[Месяц окончания]]=Таблицаx_2[[#This Row],[Месяц]],Таблицаx_2[[#This Row],[id]]=A2160,EDATE(Таблицаx_2[[#This Row],[Месяц]],1)=D2160),F2160,0)</f>
        <v>0</v>
      </c>
      <c r="K2159" s="8">
        <f>IF(AND(Таблицаx_2[[#This Row],[Месяц окончания]]=Таблицаx_2[[#This Row],[Месяц]],Таблицаx_2[[#This Row],[id]]=A2160,EDATE(Таблицаx_2[[#This Row],[Месяц]],2)=D2160),F2160,0)</f>
        <v>0</v>
      </c>
    </row>
    <row r="2160" spans="1:11" ht="12.75" hidden="1" customHeight="1" x14ac:dyDescent="0.2">
      <c r="A2160" s="8">
        <v>743</v>
      </c>
      <c r="B2160" s="8" t="s">
        <v>47</v>
      </c>
      <c r="C2160" s="8" t="s">
        <v>10</v>
      </c>
      <c r="D2160" s="12">
        <v>45200</v>
      </c>
      <c r="E2160" s="8">
        <v>28050</v>
      </c>
      <c r="F2160" s="10">
        <f>IF(ISTEXT(Таблицаx_2[[#This Row],[Значение]]), 0, Таблицаx_2[[#This Row],[Значение]])</f>
        <v>28050</v>
      </c>
      <c r="G2160" s="12">
        <v>45017</v>
      </c>
      <c r="H2160" s="10" t="str">
        <f>IFERROR(VLOOKUP(Таблицаx_2[[#This Row],[id]],prolongations!A:C,2,)," ")</f>
        <v>апрель 2023</v>
      </c>
      <c r="I2160" s="10">
        <f>IF(Таблицаx_2[[#This Row],[Месяц окончания]]=Таблицаx_2[[#This Row],[Месяц]],Таблицаx_2[[#This Row],[Значения числа]],0)</f>
        <v>0</v>
      </c>
      <c r="J2160" s="8">
        <f>IF(AND(Таблицаx_2[[#This Row],[Месяц окончания]]=Таблицаx_2[[#This Row],[Месяц]],Таблицаx_2[[#This Row],[id]]=A2161,EDATE(Таблицаx_2[[#This Row],[Месяц]],1)=D2161),F2161,0)</f>
        <v>0</v>
      </c>
      <c r="K2160" s="8">
        <f>IF(AND(Таблицаx_2[[#This Row],[Месяц окончания]]=Таблицаx_2[[#This Row],[Месяц]],Таблицаx_2[[#This Row],[id]]=A2161,EDATE(Таблицаx_2[[#This Row],[Месяц]],2)=D2161),F2161,0)</f>
        <v>0</v>
      </c>
    </row>
    <row r="2161" spans="1:11" ht="12.75" hidden="1" customHeight="1" x14ac:dyDescent="0.2">
      <c r="A2161" s="8">
        <v>743</v>
      </c>
      <c r="B2161" s="8" t="s">
        <v>47</v>
      </c>
      <c r="C2161" s="8" t="s">
        <v>10</v>
      </c>
      <c r="D2161" s="12">
        <v>45231</v>
      </c>
      <c r="E2161" s="8">
        <v>32200</v>
      </c>
      <c r="F2161" s="10">
        <f>IF(ISTEXT(Таблицаx_2[[#This Row],[Значение]]), 0, Таблицаx_2[[#This Row],[Значение]])</f>
        <v>32200</v>
      </c>
      <c r="G2161" s="12">
        <v>45017</v>
      </c>
      <c r="H2161" s="10" t="str">
        <f>IFERROR(VLOOKUP(Таблицаx_2[[#This Row],[id]],prolongations!A:C,2,)," ")</f>
        <v>апрель 2023</v>
      </c>
      <c r="I2161" s="10">
        <f>IF(Таблицаx_2[[#This Row],[Месяц окончания]]=Таблицаx_2[[#This Row],[Месяц]],Таблицаx_2[[#This Row],[Значения числа]],0)</f>
        <v>0</v>
      </c>
      <c r="J2161" s="8">
        <f>IF(AND(Таблицаx_2[[#This Row],[Месяц окончания]]=Таблицаx_2[[#This Row],[Месяц]],Таблицаx_2[[#This Row],[id]]=A2162,EDATE(Таблицаx_2[[#This Row],[Месяц]],1)=D2162),F2162,0)</f>
        <v>0</v>
      </c>
      <c r="K2161" s="8">
        <f>IF(AND(Таблицаx_2[[#This Row],[Месяц окончания]]=Таблицаx_2[[#This Row],[Месяц]],Таблицаx_2[[#This Row],[id]]=A2162,EDATE(Таблицаx_2[[#This Row],[Месяц]],2)=D2162),F2162,0)</f>
        <v>0</v>
      </c>
    </row>
    <row r="2162" spans="1:11" ht="12.75" hidden="1" customHeight="1" x14ac:dyDescent="0.2">
      <c r="A2162" s="8">
        <v>743</v>
      </c>
      <c r="B2162" s="8" t="s">
        <v>47</v>
      </c>
      <c r="C2162" s="8" t="s">
        <v>10</v>
      </c>
      <c r="D2162" s="12">
        <v>45261</v>
      </c>
      <c r="E2162" s="8">
        <v>33400</v>
      </c>
      <c r="F2162" s="10">
        <f>IF(ISTEXT(Таблицаx_2[[#This Row],[Значение]]), 0, Таблицаx_2[[#This Row],[Значение]])</f>
        <v>33400</v>
      </c>
      <c r="G2162" s="12">
        <v>45017</v>
      </c>
      <c r="H2162" s="10" t="str">
        <f>IFERROR(VLOOKUP(Таблицаx_2[[#This Row],[id]],prolongations!A:C,2,)," ")</f>
        <v>апрель 2023</v>
      </c>
      <c r="I2162" s="10">
        <f>IF(Таблицаx_2[[#This Row],[Месяц окончания]]=Таблицаx_2[[#This Row],[Месяц]],Таблицаx_2[[#This Row],[Значения числа]],0)</f>
        <v>0</v>
      </c>
      <c r="J2162" s="8">
        <f>IF(AND(Таблицаx_2[[#This Row],[Месяц окончания]]=Таблицаx_2[[#This Row],[Месяц]],Таблицаx_2[[#This Row],[id]]=A2163,EDATE(Таблицаx_2[[#This Row],[Месяц]],1)=D2163),F2163,0)</f>
        <v>0</v>
      </c>
      <c r="K2162" s="8">
        <f>IF(AND(Таблицаx_2[[#This Row],[Месяц окончания]]=Таблицаx_2[[#This Row],[Месяц]],Таблицаx_2[[#This Row],[id]]=A2163,EDATE(Таблицаx_2[[#This Row],[Месяц]],2)=D2163),F2163,0)</f>
        <v>0</v>
      </c>
    </row>
    <row r="2163" spans="1:11" ht="12.75" hidden="1" customHeight="1" x14ac:dyDescent="0.2">
      <c r="A2163" s="8">
        <v>743</v>
      </c>
      <c r="B2163" s="8" t="s">
        <v>47</v>
      </c>
      <c r="C2163" s="8" t="s">
        <v>10</v>
      </c>
      <c r="D2163" s="12">
        <v>45292</v>
      </c>
      <c r="E2163" s="8">
        <v>33400</v>
      </c>
      <c r="F2163" s="10">
        <f>IF(ISTEXT(Таблицаx_2[[#This Row],[Значение]]), 0, Таблицаx_2[[#This Row],[Значение]])</f>
        <v>33400</v>
      </c>
      <c r="G2163" s="12">
        <v>45017</v>
      </c>
      <c r="H2163" s="10" t="str">
        <f>IFERROR(VLOOKUP(Таблицаx_2[[#This Row],[id]],prolongations!A:C,2,)," ")</f>
        <v>апрель 2023</v>
      </c>
      <c r="I2163" s="10">
        <f>IF(Таблицаx_2[[#This Row],[Месяц окончания]]=Таблицаx_2[[#This Row],[Месяц]],Таблицаx_2[[#This Row],[Значения числа]],0)</f>
        <v>0</v>
      </c>
      <c r="J2163" s="8">
        <f>IF(AND(Таблицаx_2[[#This Row],[Месяц окончания]]=Таблицаx_2[[#This Row],[Месяц]],Таблицаx_2[[#This Row],[id]]=A2164,EDATE(Таблицаx_2[[#This Row],[Месяц]],1)=D2164),F2164,0)</f>
        <v>0</v>
      </c>
      <c r="K2163" s="8">
        <f>IF(AND(Таблицаx_2[[#This Row],[Месяц окончания]]=Таблицаx_2[[#This Row],[Месяц]],Таблицаx_2[[#This Row],[id]]=A2164,EDATE(Таблицаx_2[[#This Row],[Месяц]],2)=D2164),F2164,0)</f>
        <v>0</v>
      </c>
    </row>
    <row r="2164" spans="1:11" ht="12.75" hidden="1" customHeight="1" x14ac:dyDescent="0.2">
      <c r="A2164" s="8">
        <v>743</v>
      </c>
      <c r="B2164" s="8" t="s">
        <v>47</v>
      </c>
      <c r="C2164" s="8" t="s">
        <v>10</v>
      </c>
      <c r="D2164" s="12">
        <v>45323</v>
      </c>
      <c r="E2164" s="8">
        <v>33400</v>
      </c>
      <c r="F2164" s="10">
        <f>IF(ISTEXT(Таблицаx_2[[#This Row],[Значение]]), 0, Таблицаx_2[[#This Row],[Значение]])</f>
        <v>33400</v>
      </c>
      <c r="G2164" s="12">
        <v>45017</v>
      </c>
      <c r="H2164" s="10" t="str">
        <f>IFERROR(VLOOKUP(Таблицаx_2[[#This Row],[id]],prolongations!A:C,2,)," ")</f>
        <v>апрель 2023</v>
      </c>
      <c r="I2164" s="10">
        <f>IF(Таблицаx_2[[#This Row],[Месяц окончания]]=Таблицаx_2[[#This Row],[Месяц]],Таблицаx_2[[#This Row],[Значения числа]],0)</f>
        <v>0</v>
      </c>
      <c r="J2164" s="8">
        <f>IF(AND(Таблицаx_2[[#This Row],[Месяц окончания]]=Таблицаx_2[[#This Row],[Месяц]],Таблицаx_2[[#This Row],[id]]=A2165,EDATE(Таблицаx_2[[#This Row],[Месяц]],1)=D2165),F2165,0)</f>
        <v>0</v>
      </c>
      <c r="K2164" s="8">
        <f>IF(AND(Таблицаx_2[[#This Row],[Месяц окончания]]=Таблицаx_2[[#This Row],[Месяц]],Таблицаx_2[[#This Row],[id]]=A2165,EDATE(Таблицаx_2[[#This Row],[Месяц]],2)=D2165),F2165,0)</f>
        <v>0</v>
      </c>
    </row>
    <row r="2165" spans="1:11" ht="12.75" hidden="1" customHeight="1" x14ac:dyDescent="0.2">
      <c r="A2165" s="8">
        <v>915</v>
      </c>
      <c r="B2165" s="8" t="s">
        <v>45</v>
      </c>
      <c r="C2165" s="8" t="s">
        <v>8</v>
      </c>
      <c r="D2165" s="12">
        <v>45108</v>
      </c>
      <c r="E2165" s="8">
        <v>220027.2</v>
      </c>
      <c r="F2165" s="10">
        <f>IF(ISTEXT(Таблицаx_2[[#This Row],[Значение]]), 0, Таблицаx_2[[#This Row],[Значение]])</f>
        <v>220027.2</v>
      </c>
      <c r="G2165" s="12">
        <v>45261</v>
      </c>
      <c r="H2165" s="10" t="str">
        <f>IFERROR(VLOOKUP(Таблицаx_2[[#This Row],[id]],prolongations!A:C,2,)," ")</f>
        <v>декабрь 2023</v>
      </c>
      <c r="I2165" s="10">
        <f>IF(Таблицаx_2[[#This Row],[Месяц окончания]]=Таблицаx_2[[#This Row],[Месяц]],Таблицаx_2[[#This Row],[Значения числа]],0)</f>
        <v>0</v>
      </c>
      <c r="J2165" s="8">
        <f>IF(AND(Таблицаx_2[[#This Row],[Месяц окончания]]=Таблицаx_2[[#This Row],[Месяц]],Таблицаx_2[[#This Row],[id]]=A2166,EDATE(Таблицаx_2[[#This Row],[Месяц]],1)=D2166),F2166,0)</f>
        <v>0</v>
      </c>
      <c r="K2165" s="8">
        <f>IF(AND(Таблицаx_2[[#This Row],[Месяц окончания]]=Таблицаx_2[[#This Row],[Месяц]],Таблицаx_2[[#This Row],[id]]=A2166,EDATE(Таблицаx_2[[#This Row],[Месяц]],2)=D2166),F2166,0)</f>
        <v>0</v>
      </c>
    </row>
    <row r="2166" spans="1:11" ht="12.75" hidden="1" customHeight="1" x14ac:dyDescent="0.2">
      <c r="A2166" s="8">
        <v>915</v>
      </c>
      <c r="B2166" s="8" t="s">
        <v>45</v>
      </c>
      <c r="C2166" s="8" t="s">
        <v>8</v>
      </c>
      <c r="D2166" s="12">
        <v>45139</v>
      </c>
      <c r="E2166" s="8">
        <v>229268.6</v>
      </c>
      <c r="F2166" s="10">
        <f>IF(ISTEXT(Таблицаx_2[[#This Row],[Значение]]), 0, Таблицаx_2[[#This Row],[Значение]])</f>
        <v>229268.6</v>
      </c>
      <c r="G2166" s="12">
        <v>45261</v>
      </c>
      <c r="H2166" s="10" t="str">
        <f>IFERROR(VLOOKUP(Таблицаx_2[[#This Row],[id]],prolongations!A:C,2,)," ")</f>
        <v>декабрь 2023</v>
      </c>
      <c r="I2166" s="10">
        <f>IF(Таблицаx_2[[#This Row],[Месяц окончания]]=Таблицаx_2[[#This Row],[Месяц]],Таблицаx_2[[#This Row],[Значения числа]],0)</f>
        <v>0</v>
      </c>
      <c r="J2166" s="8">
        <f>IF(AND(Таблицаx_2[[#This Row],[Месяц окончания]]=Таблицаx_2[[#This Row],[Месяц]],Таблицаx_2[[#This Row],[id]]=A2167,EDATE(Таблицаx_2[[#This Row],[Месяц]],1)=D2167),F2167,0)</f>
        <v>0</v>
      </c>
      <c r="K2166" s="8">
        <f>IF(AND(Таблицаx_2[[#This Row],[Месяц окончания]]=Таблицаx_2[[#This Row],[Месяц]],Таблицаx_2[[#This Row],[id]]=A2167,EDATE(Таблицаx_2[[#This Row],[Месяц]],2)=D2167),F2167,0)</f>
        <v>0</v>
      </c>
    </row>
    <row r="2167" spans="1:11" ht="12.75" hidden="1" customHeight="1" x14ac:dyDescent="0.2">
      <c r="A2167" s="8">
        <v>915</v>
      </c>
      <c r="B2167" s="8" t="s">
        <v>45</v>
      </c>
      <c r="C2167" s="8" t="s">
        <v>8</v>
      </c>
      <c r="D2167" s="12">
        <v>45170</v>
      </c>
      <c r="E2167" s="8">
        <v>229121.4</v>
      </c>
      <c r="F2167" s="10">
        <f>IF(ISTEXT(Таблицаx_2[[#This Row],[Значение]]), 0, Таблицаx_2[[#This Row],[Значение]])</f>
        <v>229121.4</v>
      </c>
      <c r="G2167" s="12">
        <v>45261</v>
      </c>
      <c r="H2167" s="10" t="str">
        <f>IFERROR(VLOOKUP(Таблицаx_2[[#This Row],[id]],prolongations!A:C,2,)," ")</f>
        <v>декабрь 2023</v>
      </c>
      <c r="I2167" s="10">
        <f>IF(Таблицаx_2[[#This Row],[Месяц окончания]]=Таблицаx_2[[#This Row],[Месяц]],Таблицаx_2[[#This Row],[Значения числа]],0)</f>
        <v>0</v>
      </c>
      <c r="J2167" s="8">
        <f>IF(AND(Таблицаx_2[[#This Row],[Месяц окончания]]=Таблицаx_2[[#This Row],[Месяц]],Таблицаx_2[[#This Row],[id]]=A2168,EDATE(Таблицаx_2[[#This Row],[Месяц]],1)=D2168),F2168,0)</f>
        <v>0</v>
      </c>
      <c r="K2167" s="8">
        <f>IF(AND(Таблицаx_2[[#This Row],[Месяц окончания]]=Таблицаx_2[[#This Row],[Месяц]],Таблицаx_2[[#This Row],[id]]=A2168,EDATE(Таблицаx_2[[#This Row],[Месяц]],2)=D2168),F2168,0)</f>
        <v>0</v>
      </c>
    </row>
    <row r="2168" spans="1:11" ht="12.75" hidden="1" customHeight="1" x14ac:dyDescent="0.2">
      <c r="A2168" s="8">
        <v>915</v>
      </c>
      <c r="B2168" s="8" t="s">
        <v>45</v>
      </c>
      <c r="C2168" s="8" t="s">
        <v>8</v>
      </c>
      <c r="D2168" s="12">
        <v>45200</v>
      </c>
      <c r="E2168" s="8">
        <v>175025.4</v>
      </c>
      <c r="F2168" s="10">
        <f>IF(ISTEXT(Таблицаx_2[[#This Row],[Значение]]), 0, Таблицаx_2[[#This Row],[Значение]])</f>
        <v>175025.4</v>
      </c>
      <c r="G2168" s="12">
        <v>45261</v>
      </c>
      <c r="H2168" s="10" t="str">
        <f>IFERROR(VLOOKUP(Таблицаx_2[[#This Row],[id]],prolongations!A:C,2,)," ")</f>
        <v>декабрь 2023</v>
      </c>
      <c r="I2168" s="10">
        <f>IF(Таблицаx_2[[#This Row],[Месяц окончания]]=Таблицаx_2[[#This Row],[Месяц]],Таблицаx_2[[#This Row],[Значения числа]],0)</f>
        <v>0</v>
      </c>
      <c r="J2168" s="8">
        <f>IF(AND(Таблицаx_2[[#This Row],[Месяц окончания]]=Таблицаx_2[[#This Row],[Месяц]],Таблицаx_2[[#This Row],[id]]=A2169,EDATE(Таблицаx_2[[#This Row],[Месяц]],1)=D2169),F2169,0)</f>
        <v>0</v>
      </c>
      <c r="K2168" s="8">
        <f>IF(AND(Таблицаx_2[[#This Row],[Месяц окончания]]=Таблицаx_2[[#This Row],[Месяц]],Таблицаx_2[[#This Row],[id]]=A2169,EDATE(Таблицаx_2[[#This Row],[Месяц]],2)=D2169),F2169,0)</f>
        <v>0</v>
      </c>
    </row>
    <row r="2169" spans="1:11" ht="12.75" hidden="1" customHeight="1" x14ac:dyDescent="0.2">
      <c r="A2169" s="8">
        <v>915</v>
      </c>
      <c r="B2169" s="8" t="s">
        <v>45</v>
      </c>
      <c r="C2169" s="8" t="s">
        <v>8</v>
      </c>
      <c r="D2169" s="12">
        <v>45231</v>
      </c>
      <c r="E2169" s="8">
        <v>172748.4</v>
      </c>
      <c r="F2169" s="10">
        <f>IF(ISTEXT(Таблицаx_2[[#This Row],[Значение]]), 0, Таблицаx_2[[#This Row],[Значение]])</f>
        <v>172748.4</v>
      </c>
      <c r="G2169" s="12">
        <v>45261</v>
      </c>
      <c r="H2169" s="10" t="str">
        <f>IFERROR(VLOOKUP(Таблицаx_2[[#This Row],[id]],prolongations!A:C,2,)," ")</f>
        <v>декабрь 2023</v>
      </c>
      <c r="I2169" s="10">
        <f>IF(Таблицаx_2[[#This Row],[Месяц окончания]]=Таблицаx_2[[#This Row],[Месяц]],Таблицаx_2[[#This Row],[Значения числа]],0)</f>
        <v>0</v>
      </c>
      <c r="J2169" s="8">
        <f>IF(AND(Таблицаx_2[[#This Row],[Месяц окончания]]=Таблицаx_2[[#This Row],[Месяц]],Таблицаx_2[[#This Row],[id]]=A2170,EDATE(Таблицаx_2[[#This Row],[Месяц]],1)=D2170),F2170,0)</f>
        <v>0</v>
      </c>
      <c r="K2169" s="8">
        <f>IF(AND(Таблицаx_2[[#This Row],[Месяц окончания]]=Таблицаx_2[[#This Row],[Месяц]],Таблицаx_2[[#This Row],[id]]=A2170,EDATE(Таблицаx_2[[#This Row],[Месяц]],2)=D2170),F2170,0)</f>
        <v>0</v>
      </c>
    </row>
    <row r="2170" spans="1:11" ht="12.75" hidden="1" customHeight="1" x14ac:dyDescent="0.2">
      <c r="A2170" s="8">
        <v>915</v>
      </c>
      <c r="B2170" s="8" t="s">
        <v>45</v>
      </c>
      <c r="C2170" s="8" t="s">
        <v>8</v>
      </c>
      <c r="D2170" s="12">
        <v>45261</v>
      </c>
      <c r="E2170" s="8">
        <v>172467.8</v>
      </c>
      <c r="F2170" s="10">
        <f>IF(ISTEXT(Таблицаx_2[[#This Row],[Значение]]), 0, Таблицаx_2[[#This Row],[Значение]])</f>
        <v>172467.8</v>
      </c>
      <c r="G2170" s="12">
        <v>45261</v>
      </c>
      <c r="H2170" s="10" t="str">
        <f>IFERROR(VLOOKUP(Таблицаx_2[[#This Row],[id]],prolongations!A:C,2,)," ")</f>
        <v>декабрь 2023</v>
      </c>
      <c r="I2170" s="10">
        <f>IF(Таблицаx_2[[#This Row],[Месяц окончания]]=Таблицаx_2[[#This Row],[Месяц]],Таблицаx_2[[#This Row],[Значения числа]],0)</f>
        <v>172467.8</v>
      </c>
      <c r="J2170" s="8">
        <f>IF(AND(Таблицаx_2[[#This Row],[Месяц окончания]]=Таблицаx_2[[#This Row],[Месяц]],Таблицаx_2[[#This Row],[id]]=A2171,EDATE(Таблицаx_2[[#This Row],[Месяц]],1)=D2171),F2171,0)</f>
        <v>0</v>
      </c>
      <c r="K2170" s="8">
        <f>IF(AND(Таблицаx_2[[#This Row],[Месяц окончания]]=Таблицаx_2[[#This Row],[Месяц]],Таблицаx_2[[#This Row],[id]]=A2171,EDATE(Таблицаx_2[[#This Row],[Месяц]],2)=D2171),F2171,0)</f>
        <v>0</v>
      </c>
    </row>
    <row r="2171" spans="1:11" ht="12.75" hidden="1" customHeight="1" x14ac:dyDescent="0.2">
      <c r="A2171" s="8">
        <v>915</v>
      </c>
      <c r="B2171" s="8" t="s">
        <v>47</v>
      </c>
      <c r="C2171" s="8" t="s">
        <v>8</v>
      </c>
      <c r="D2171" s="12">
        <v>45108</v>
      </c>
      <c r="E2171" s="8" t="s">
        <v>48</v>
      </c>
      <c r="F2171" s="10">
        <f>IF(ISTEXT(Таблицаx_2[[#This Row],[Значение]]), 0, Таблицаx_2[[#This Row],[Значение]])</f>
        <v>0</v>
      </c>
      <c r="G2171" s="12">
        <v>45261</v>
      </c>
      <c r="H2171" s="10" t="str">
        <f>IFERROR(VLOOKUP(Таблицаx_2[[#This Row],[id]],prolongations!A:C,2,)," ")</f>
        <v>декабрь 2023</v>
      </c>
      <c r="I2171" s="10">
        <f>IF(Таблицаx_2[[#This Row],[Месяц окончания]]=Таблицаx_2[[#This Row],[Месяц]],Таблицаx_2[[#This Row],[Значения числа]],0)</f>
        <v>0</v>
      </c>
      <c r="J2171" s="8">
        <f>IF(AND(Таблицаx_2[[#This Row],[Месяц окончания]]=Таблицаx_2[[#This Row],[Месяц]],Таблицаx_2[[#This Row],[id]]=A2172,EDATE(Таблицаx_2[[#This Row],[Месяц]],1)=D2172),F2172,0)</f>
        <v>0</v>
      </c>
      <c r="K2171" s="8">
        <f>IF(AND(Таблицаx_2[[#This Row],[Месяц окончания]]=Таблицаx_2[[#This Row],[Месяц]],Таблицаx_2[[#This Row],[id]]=A2172,EDATE(Таблицаx_2[[#This Row],[Месяц]],2)=D2172),F2172,0)</f>
        <v>0</v>
      </c>
    </row>
    <row r="2172" spans="1:11" ht="12.75" hidden="1" customHeight="1" x14ac:dyDescent="0.2">
      <c r="A2172" s="8">
        <v>915</v>
      </c>
      <c r="B2172" s="8" t="s">
        <v>47</v>
      </c>
      <c r="C2172" s="8" t="s">
        <v>8</v>
      </c>
      <c r="D2172" s="12">
        <v>45139</v>
      </c>
      <c r="E2172" s="8">
        <v>2535.1</v>
      </c>
      <c r="F2172" s="10">
        <f>IF(ISTEXT(Таблицаx_2[[#This Row],[Значение]]), 0, Таблицаx_2[[#This Row],[Значение]])</f>
        <v>2535.1</v>
      </c>
      <c r="G2172" s="12">
        <v>45261</v>
      </c>
      <c r="H2172" s="10" t="str">
        <f>IFERROR(VLOOKUP(Таблицаx_2[[#This Row],[id]],prolongations!A:C,2,)," ")</f>
        <v>декабрь 2023</v>
      </c>
      <c r="I2172" s="10">
        <f>IF(Таблицаx_2[[#This Row],[Месяц окончания]]=Таблицаx_2[[#This Row],[Месяц]],Таблицаx_2[[#This Row],[Значения числа]],0)</f>
        <v>0</v>
      </c>
      <c r="J2172" s="8">
        <f>IF(AND(Таблицаx_2[[#This Row],[Месяц окончания]]=Таблицаx_2[[#This Row],[Месяц]],Таблицаx_2[[#This Row],[id]]=A2173,EDATE(Таблицаx_2[[#This Row],[Месяц]],1)=D2173),F2173,0)</f>
        <v>0</v>
      </c>
      <c r="K2172" s="8">
        <f>IF(AND(Таблицаx_2[[#This Row],[Месяц окончания]]=Таблицаx_2[[#This Row],[Месяц]],Таблицаx_2[[#This Row],[id]]=A2173,EDATE(Таблицаx_2[[#This Row],[Месяц]],2)=D2173),F2173,0)</f>
        <v>0</v>
      </c>
    </row>
    <row r="2173" spans="1:11" ht="12.75" hidden="1" customHeight="1" x14ac:dyDescent="0.2">
      <c r="A2173" s="8">
        <v>915</v>
      </c>
      <c r="B2173" s="8" t="s">
        <v>47</v>
      </c>
      <c r="C2173" s="8" t="s">
        <v>8</v>
      </c>
      <c r="D2173" s="12">
        <v>45170</v>
      </c>
      <c r="E2173" s="8">
        <v>2538.3000000000002</v>
      </c>
      <c r="F2173" s="10">
        <f>IF(ISTEXT(Таблицаx_2[[#This Row],[Значение]]), 0, Таблицаx_2[[#This Row],[Значение]])</f>
        <v>2538.3000000000002</v>
      </c>
      <c r="G2173" s="12">
        <v>45261</v>
      </c>
      <c r="H2173" s="10" t="str">
        <f>IFERROR(VLOOKUP(Таблицаx_2[[#This Row],[id]],prolongations!A:C,2,)," ")</f>
        <v>декабрь 2023</v>
      </c>
      <c r="I2173" s="10">
        <f>IF(Таблицаx_2[[#This Row],[Месяц окончания]]=Таблицаx_2[[#This Row],[Месяц]],Таблицаx_2[[#This Row],[Значения числа]],0)</f>
        <v>0</v>
      </c>
      <c r="J2173" s="8">
        <f>IF(AND(Таблицаx_2[[#This Row],[Месяц окончания]]=Таблицаx_2[[#This Row],[Месяц]],Таблицаx_2[[#This Row],[id]]=A2174,EDATE(Таблицаx_2[[#This Row],[Месяц]],1)=D2174),F2174,0)</f>
        <v>0</v>
      </c>
      <c r="K2173" s="8">
        <f>IF(AND(Таблицаx_2[[#This Row],[Месяц окончания]]=Таблицаx_2[[#This Row],[Месяц]],Таблицаx_2[[#This Row],[id]]=A2174,EDATE(Таблицаx_2[[#This Row],[Месяц]],2)=D2174),F2174,0)</f>
        <v>0</v>
      </c>
    </row>
    <row r="2174" spans="1:11" ht="12.75" hidden="1" customHeight="1" x14ac:dyDescent="0.2">
      <c r="A2174" s="8">
        <v>915</v>
      </c>
      <c r="B2174" s="8" t="s">
        <v>47</v>
      </c>
      <c r="C2174" s="8" t="s">
        <v>8</v>
      </c>
      <c r="D2174" s="12">
        <v>45200</v>
      </c>
      <c r="E2174" s="8" t="s">
        <v>48</v>
      </c>
      <c r="F2174" s="10">
        <f>IF(ISTEXT(Таблицаx_2[[#This Row],[Значение]]), 0, Таблицаx_2[[#This Row],[Значение]])</f>
        <v>0</v>
      </c>
      <c r="G2174" s="12">
        <v>45261</v>
      </c>
      <c r="H2174" s="10" t="str">
        <f>IFERROR(VLOOKUP(Таблицаx_2[[#This Row],[id]],prolongations!A:C,2,)," ")</f>
        <v>декабрь 2023</v>
      </c>
      <c r="I2174" s="10">
        <f>IF(Таблицаx_2[[#This Row],[Месяц окончания]]=Таблицаx_2[[#This Row],[Месяц]],Таблицаx_2[[#This Row],[Значения числа]],0)</f>
        <v>0</v>
      </c>
      <c r="J2174" s="8">
        <f>IF(AND(Таблицаx_2[[#This Row],[Месяц окончания]]=Таблицаx_2[[#This Row],[Месяц]],Таблицаx_2[[#This Row],[id]]=A2175,EDATE(Таблицаx_2[[#This Row],[Месяц]],1)=D2175),F2175,0)</f>
        <v>0</v>
      </c>
      <c r="K2174" s="8">
        <f>IF(AND(Таблицаx_2[[#This Row],[Месяц окончания]]=Таблицаx_2[[#This Row],[Месяц]],Таблицаx_2[[#This Row],[id]]=A2175,EDATE(Таблицаx_2[[#This Row],[Месяц]],2)=D2175),F2175,0)</f>
        <v>0</v>
      </c>
    </row>
    <row r="2175" spans="1:11" ht="12.75" hidden="1" customHeight="1" x14ac:dyDescent="0.2">
      <c r="A2175" s="8">
        <v>915</v>
      </c>
      <c r="B2175" s="8" t="s">
        <v>47</v>
      </c>
      <c r="C2175" s="8" t="s">
        <v>8</v>
      </c>
      <c r="D2175" s="12">
        <v>45231</v>
      </c>
      <c r="E2175" s="8">
        <v>2228</v>
      </c>
      <c r="F2175" s="10">
        <f>IF(ISTEXT(Таблицаx_2[[#This Row],[Значение]]), 0, Таблицаx_2[[#This Row],[Значение]])</f>
        <v>2228</v>
      </c>
      <c r="G2175" s="12">
        <v>45261</v>
      </c>
      <c r="H2175" s="10" t="str">
        <f>IFERROR(VLOOKUP(Таблицаx_2[[#This Row],[id]],prolongations!A:C,2,)," ")</f>
        <v>декабрь 2023</v>
      </c>
      <c r="I2175" s="10">
        <f>IF(Таблицаx_2[[#This Row],[Месяц окончания]]=Таблицаx_2[[#This Row],[Месяц]],Таблицаx_2[[#This Row],[Значения числа]],0)</f>
        <v>0</v>
      </c>
      <c r="J2175" s="8">
        <f>IF(AND(Таблицаx_2[[#This Row],[Месяц окончания]]=Таблицаx_2[[#This Row],[Месяц]],Таблицаx_2[[#This Row],[id]]=A2176,EDATE(Таблицаx_2[[#This Row],[Месяц]],1)=D2176),F2176,0)</f>
        <v>0</v>
      </c>
      <c r="K2175" s="8">
        <f>IF(AND(Таблицаx_2[[#This Row],[Месяц окончания]]=Таблицаx_2[[#This Row],[Месяц]],Таблицаx_2[[#This Row],[id]]=A2176,EDATE(Таблицаx_2[[#This Row],[Месяц]],2)=D2176),F2176,0)</f>
        <v>0</v>
      </c>
    </row>
    <row r="2176" spans="1:11" ht="12.75" hidden="1" customHeight="1" x14ac:dyDescent="0.2">
      <c r="A2176" s="8">
        <v>915</v>
      </c>
      <c r="B2176" s="8" t="s">
        <v>47</v>
      </c>
      <c r="C2176" s="8" t="s">
        <v>8</v>
      </c>
      <c r="D2176" s="12">
        <v>45261</v>
      </c>
      <c r="E2176" s="8">
        <v>3210.2</v>
      </c>
      <c r="F2176" s="10">
        <f>IF(ISTEXT(Таблицаx_2[[#This Row],[Значение]]), 0, Таблицаx_2[[#This Row],[Значение]])</f>
        <v>3210.2</v>
      </c>
      <c r="G2176" s="12">
        <v>45261</v>
      </c>
      <c r="H2176" s="10" t="str">
        <f>IFERROR(VLOOKUP(Таблицаx_2[[#This Row],[id]],prolongations!A:C,2,)," ")</f>
        <v>декабрь 2023</v>
      </c>
      <c r="I2176" s="10">
        <f>IF(Таблицаx_2[[#This Row],[Месяц окончания]]=Таблицаx_2[[#This Row],[Месяц]],Таблицаx_2[[#This Row],[Значения числа]],0)</f>
        <v>3210.2</v>
      </c>
      <c r="J2176" s="8">
        <f>IF(AND(Таблицаx_2[[#This Row],[Месяц окончания]]=Таблицаx_2[[#This Row],[Месяц]],Таблицаx_2[[#This Row],[id]]=A2177,EDATE(Таблицаx_2[[#This Row],[Месяц]],1)=D2177),F2177,0)</f>
        <v>0</v>
      </c>
      <c r="K2176" s="8">
        <f>IF(AND(Таблицаx_2[[#This Row],[Месяц окончания]]=Таблицаx_2[[#This Row],[Месяц]],Таблицаx_2[[#This Row],[id]]=A2177,EDATE(Таблицаx_2[[#This Row],[Месяц]],2)=D2177),F2177,0)</f>
        <v>0</v>
      </c>
    </row>
    <row r="2177" spans="1:11" ht="12.75" hidden="1" customHeight="1" x14ac:dyDescent="0.2">
      <c r="A2177" s="8">
        <v>917</v>
      </c>
      <c r="B2177" s="8" t="s">
        <v>45</v>
      </c>
      <c r="C2177" s="8" t="s">
        <v>8</v>
      </c>
      <c r="D2177" s="12">
        <v>45108</v>
      </c>
      <c r="E2177" s="8">
        <v>74300</v>
      </c>
      <c r="F2177" s="10">
        <f>IF(ISTEXT(Таблицаx_2[[#This Row],[Значение]]), 0, Таблицаx_2[[#This Row],[Значение]])</f>
        <v>74300</v>
      </c>
      <c r="G2177" s="12">
        <v>45261</v>
      </c>
      <c r="H2177" s="10" t="str">
        <f>IFERROR(VLOOKUP(Таблицаx_2[[#This Row],[id]],prolongations!A:C,2,)," ")</f>
        <v>декабрь 2023</v>
      </c>
      <c r="I2177" s="10">
        <f>IF(Таблицаx_2[[#This Row],[Месяц окончания]]=Таблицаx_2[[#This Row],[Месяц]],Таблицаx_2[[#This Row],[Значения числа]],0)</f>
        <v>0</v>
      </c>
      <c r="J2177" s="8">
        <f>IF(AND(Таблицаx_2[[#This Row],[Месяц окончания]]=Таблицаx_2[[#This Row],[Месяц]],Таблицаx_2[[#This Row],[id]]=A2178,EDATE(Таблицаx_2[[#This Row],[Месяц]],1)=D2178),F2178,0)</f>
        <v>0</v>
      </c>
      <c r="K2177" s="8">
        <f>IF(AND(Таблицаx_2[[#This Row],[Месяц окончания]]=Таблицаx_2[[#This Row],[Месяц]],Таблицаx_2[[#This Row],[id]]=A2178,EDATE(Таблицаx_2[[#This Row],[Месяц]],2)=D2178),F2178,0)</f>
        <v>0</v>
      </c>
    </row>
    <row r="2178" spans="1:11" ht="12.75" hidden="1" customHeight="1" x14ac:dyDescent="0.2">
      <c r="A2178" s="8">
        <v>917</v>
      </c>
      <c r="B2178" s="8" t="s">
        <v>45</v>
      </c>
      <c r="C2178" s="8" t="s">
        <v>8</v>
      </c>
      <c r="D2178" s="12">
        <v>45139</v>
      </c>
      <c r="E2178" s="8">
        <v>62900</v>
      </c>
      <c r="F2178" s="10">
        <f>IF(ISTEXT(Таблицаx_2[[#This Row],[Значение]]), 0, Таблицаx_2[[#This Row],[Значение]])</f>
        <v>62900</v>
      </c>
      <c r="G2178" s="12">
        <v>45261</v>
      </c>
      <c r="H2178" s="10" t="str">
        <f>IFERROR(VLOOKUP(Таблицаx_2[[#This Row],[id]],prolongations!A:C,2,)," ")</f>
        <v>декабрь 2023</v>
      </c>
      <c r="I2178" s="10">
        <f>IF(Таблицаx_2[[#This Row],[Месяц окончания]]=Таблицаx_2[[#This Row],[Месяц]],Таблицаx_2[[#This Row],[Значения числа]],0)</f>
        <v>0</v>
      </c>
      <c r="J2178" s="8">
        <f>IF(AND(Таблицаx_2[[#This Row],[Месяц окончания]]=Таблицаx_2[[#This Row],[Месяц]],Таблицаx_2[[#This Row],[id]]=A2179,EDATE(Таблицаx_2[[#This Row],[Месяц]],1)=D2179),F2179,0)</f>
        <v>0</v>
      </c>
      <c r="K2178" s="8">
        <f>IF(AND(Таблицаx_2[[#This Row],[Месяц окончания]]=Таблицаx_2[[#This Row],[Месяц]],Таблицаx_2[[#This Row],[id]]=A2179,EDATE(Таблицаx_2[[#This Row],[Месяц]],2)=D2179),F2179,0)</f>
        <v>0</v>
      </c>
    </row>
    <row r="2179" spans="1:11" ht="12.75" hidden="1" customHeight="1" x14ac:dyDescent="0.2">
      <c r="A2179" s="8">
        <v>917</v>
      </c>
      <c r="B2179" s="8" t="s">
        <v>45</v>
      </c>
      <c r="C2179" s="8" t="s">
        <v>8</v>
      </c>
      <c r="D2179" s="12">
        <v>45170</v>
      </c>
      <c r="E2179" s="8">
        <v>38700</v>
      </c>
      <c r="F2179" s="10">
        <f>IF(ISTEXT(Таблицаx_2[[#This Row],[Значение]]), 0, Таблицаx_2[[#This Row],[Значение]])</f>
        <v>38700</v>
      </c>
      <c r="G2179" s="12">
        <v>45261</v>
      </c>
      <c r="H2179" s="10" t="str">
        <f>IFERROR(VLOOKUP(Таблицаx_2[[#This Row],[id]],prolongations!A:C,2,)," ")</f>
        <v>декабрь 2023</v>
      </c>
      <c r="I2179" s="10">
        <f>IF(Таблицаx_2[[#This Row],[Месяц окончания]]=Таблицаx_2[[#This Row],[Месяц]],Таблицаx_2[[#This Row],[Значения числа]],0)</f>
        <v>0</v>
      </c>
      <c r="J2179" s="8">
        <f>IF(AND(Таблицаx_2[[#This Row],[Месяц окончания]]=Таблицаx_2[[#This Row],[Месяц]],Таблицаx_2[[#This Row],[id]]=A2180,EDATE(Таблицаx_2[[#This Row],[Месяц]],1)=D2180),F2180,0)</f>
        <v>0</v>
      </c>
      <c r="K2179" s="8">
        <f>IF(AND(Таблицаx_2[[#This Row],[Месяц окончания]]=Таблицаx_2[[#This Row],[Месяц]],Таблицаx_2[[#This Row],[id]]=A2180,EDATE(Таблицаx_2[[#This Row],[Месяц]],2)=D2180),F2180,0)</f>
        <v>0</v>
      </c>
    </row>
    <row r="2180" spans="1:11" ht="12.75" hidden="1" customHeight="1" x14ac:dyDescent="0.2">
      <c r="A2180" s="8">
        <v>917</v>
      </c>
      <c r="B2180" s="8" t="s">
        <v>45</v>
      </c>
      <c r="C2180" s="8" t="s">
        <v>8</v>
      </c>
      <c r="D2180" s="12">
        <v>45200</v>
      </c>
      <c r="E2180" s="8">
        <v>47900</v>
      </c>
      <c r="F2180" s="10">
        <f>IF(ISTEXT(Таблицаx_2[[#This Row],[Значение]]), 0, Таблицаx_2[[#This Row],[Значение]])</f>
        <v>47900</v>
      </c>
      <c r="G2180" s="12">
        <v>45261</v>
      </c>
      <c r="H2180" s="10" t="str">
        <f>IFERROR(VLOOKUP(Таблицаx_2[[#This Row],[id]],prolongations!A:C,2,)," ")</f>
        <v>декабрь 2023</v>
      </c>
      <c r="I2180" s="10">
        <f>IF(Таблицаx_2[[#This Row],[Месяц окончания]]=Таблицаx_2[[#This Row],[Месяц]],Таблицаx_2[[#This Row],[Значения числа]],0)</f>
        <v>0</v>
      </c>
      <c r="J2180" s="8">
        <f>IF(AND(Таблицаx_2[[#This Row],[Месяц окончания]]=Таблицаx_2[[#This Row],[Месяц]],Таблицаx_2[[#This Row],[id]]=A2181,EDATE(Таблицаx_2[[#This Row],[Месяц]],1)=D2181),F2181,0)</f>
        <v>0</v>
      </c>
      <c r="K2180" s="8">
        <f>IF(AND(Таблицаx_2[[#This Row],[Месяц окончания]]=Таблицаx_2[[#This Row],[Месяц]],Таблицаx_2[[#This Row],[id]]=A2181,EDATE(Таблицаx_2[[#This Row],[Месяц]],2)=D2181),F2181,0)</f>
        <v>0</v>
      </c>
    </row>
    <row r="2181" spans="1:11" ht="12.75" hidden="1" customHeight="1" x14ac:dyDescent="0.2">
      <c r="A2181" s="8">
        <v>917</v>
      </c>
      <c r="B2181" s="8" t="s">
        <v>45</v>
      </c>
      <c r="C2181" s="8" t="s">
        <v>8</v>
      </c>
      <c r="D2181" s="12">
        <v>45231</v>
      </c>
      <c r="E2181" s="8">
        <v>52600</v>
      </c>
      <c r="F2181" s="10">
        <f>IF(ISTEXT(Таблицаx_2[[#This Row],[Значение]]), 0, Таблицаx_2[[#This Row],[Значение]])</f>
        <v>52600</v>
      </c>
      <c r="G2181" s="12">
        <v>45261</v>
      </c>
      <c r="H2181" s="10" t="str">
        <f>IFERROR(VLOOKUP(Таблицаx_2[[#This Row],[id]],prolongations!A:C,2,)," ")</f>
        <v>декабрь 2023</v>
      </c>
      <c r="I2181" s="10">
        <f>IF(Таблицаx_2[[#This Row],[Месяц окончания]]=Таблицаx_2[[#This Row],[Месяц]],Таблицаx_2[[#This Row],[Значения числа]],0)</f>
        <v>0</v>
      </c>
      <c r="J2181" s="8">
        <f>IF(AND(Таблицаx_2[[#This Row],[Месяц окончания]]=Таблицаx_2[[#This Row],[Месяц]],Таблицаx_2[[#This Row],[id]]=A2182,EDATE(Таблицаx_2[[#This Row],[Месяц]],1)=D2182),F2182,0)</f>
        <v>0</v>
      </c>
      <c r="K2181" s="8">
        <f>IF(AND(Таблицаx_2[[#This Row],[Месяц окончания]]=Таблицаx_2[[#This Row],[Месяц]],Таблицаx_2[[#This Row],[id]]=A2182,EDATE(Таблицаx_2[[#This Row],[Месяц]],2)=D2182),F2182,0)</f>
        <v>0</v>
      </c>
    </row>
    <row r="2182" spans="1:11" ht="12.75" hidden="1" customHeight="1" x14ac:dyDescent="0.2">
      <c r="A2182" s="8">
        <v>917</v>
      </c>
      <c r="B2182" s="8" t="s">
        <v>45</v>
      </c>
      <c r="C2182" s="8" t="s">
        <v>8</v>
      </c>
      <c r="D2182" s="12">
        <v>45261</v>
      </c>
      <c r="E2182" s="8">
        <v>54700</v>
      </c>
      <c r="F2182" s="10">
        <f>IF(ISTEXT(Таблицаx_2[[#This Row],[Значение]]), 0, Таблицаx_2[[#This Row],[Значение]])</f>
        <v>54700</v>
      </c>
      <c r="G2182" s="12">
        <v>45261</v>
      </c>
      <c r="H2182" s="10" t="str">
        <f>IFERROR(VLOOKUP(Таблицаx_2[[#This Row],[id]],prolongations!A:C,2,)," ")</f>
        <v>декабрь 2023</v>
      </c>
      <c r="I2182" s="10">
        <f>IF(Таблицаx_2[[#This Row],[Месяц окончания]]=Таблицаx_2[[#This Row],[Месяц]],Таблицаx_2[[#This Row],[Значения числа]],0)</f>
        <v>54700</v>
      </c>
      <c r="J2182" s="8">
        <f>IF(AND(Таблицаx_2[[#This Row],[Месяц окончания]]=Таблицаx_2[[#This Row],[Месяц]],Таблицаx_2[[#This Row],[id]]=A2183,EDATE(Таблицаx_2[[#This Row],[Месяц]],1)=D2183),F2183,0)</f>
        <v>0</v>
      </c>
      <c r="K2182" s="8">
        <f>IF(AND(Таблицаx_2[[#This Row],[Месяц окончания]]=Таблицаx_2[[#This Row],[Месяц]],Таблицаx_2[[#This Row],[id]]=A2183,EDATE(Таблицаx_2[[#This Row],[Месяц]],2)=D2183),F2183,0)</f>
        <v>0</v>
      </c>
    </row>
    <row r="2183" spans="1:11" ht="12.75" hidden="1" customHeight="1" x14ac:dyDescent="0.2">
      <c r="A2183" s="8">
        <v>918</v>
      </c>
      <c r="B2183" s="8" t="s">
        <v>45</v>
      </c>
      <c r="C2183" s="8" t="s">
        <v>8</v>
      </c>
      <c r="D2183" s="12">
        <v>45108</v>
      </c>
      <c r="E2183" s="8">
        <v>46500</v>
      </c>
      <c r="F2183" s="10">
        <f>IF(ISTEXT(Таблицаx_2[[#This Row],[Значение]]), 0, Таблицаx_2[[#This Row],[Значение]])</f>
        <v>46500</v>
      </c>
      <c r="G2183" s="12">
        <v>45261</v>
      </c>
      <c r="H2183" s="10" t="str">
        <f>IFERROR(VLOOKUP(Таблицаx_2[[#This Row],[id]],prolongations!A:C,2,)," ")</f>
        <v>декабрь 2023</v>
      </c>
      <c r="I2183" s="10">
        <f>IF(Таблицаx_2[[#This Row],[Месяц окончания]]=Таблицаx_2[[#This Row],[Месяц]],Таблицаx_2[[#This Row],[Значения числа]],0)</f>
        <v>0</v>
      </c>
      <c r="J2183" s="8">
        <f>IF(AND(Таблицаx_2[[#This Row],[Месяц окончания]]=Таблицаx_2[[#This Row],[Месяц]],Таблицаx_2[[#This Row],[id]]=A2184,EDATE(Таблицаx_2[[#This Row],[Месяц]],1)=D2184),F2184,0)</f>
        <v>0</v>
      </c>
      <c r="K2183" s="8">
        <f>IF(AND(Таблицаx_2[[#This Row],[Месяц окончания]]=Таблицаx_2[[#This Row],[Месяц]],Таблицаx_2[[#This Row],[id]]=A2184,EDATE(Таблицаx_2[[#This Row],[Месяц]],2)=D2184),F2184,0)</f>
        <v>0</v>
      </c>
    </row>
    <row r="2184" spans="1:11" ht="12.75" hidden="1" customHeight="1" x14ac:dyDescent="0.2">
      <c r="A2184" s="8">
        <v>918</v>
      </c>
      <c r="B2184" s="8" t="s">
        <v>45</v>
      </c>
      <c r="C2184" s="8" t="s">
        <v>8</v>
      </c>
      <c r="D2184" s="12">
        <v>45139</v>
      </c>
      <c r="E2184" s="8">
        <v>77500</v>
      </c>
      <c r="F2184" s="10">
        <f>IF(ISTEXT(Таблицаx_2[[#This Row],[Значение]]), 0, Таблицаx_2[[#This Row],[Значение]])</f>
        <v>77500</v>
      </c>
      <c r="G2184" s="12">
        <v>45261</v>
      </c>
      <c r="H2184" s="10" t="str">
        <f>IFERROR(VLOOKUP(Таблицаx_2[[#This Row],[id]],prolongations!A:C,2,)," ")</f>
        <v>декабрь 2023</v>
      </c>
      <c r="I2184" s="10">
        <f>IF(Таблицаx_2[[#This Row],[Месяц окончания]]=Таблицаx_2[[#This Row],[Месяц]],Таблицаx_2[[#This Row],[Значения числа]],0)</f>
        <v>0</v>
      </c>
      <c r="J2184" s="8">
        <f>IF(AND(Таблицаx_2[[#This Row],[Месяц окончания]]=Таблицаx_2[[#This Row],[Месяц]],Таблицаx_2[[#This Row],[id]]=A2185,EDATE(Таблицаx_2[[#This Row],[Месяц]],1)=D2185),F2185,0)</f>
        <v>0</v>
      </c>
      <c r="K2184" s="8">
        <f>IF(AND(Таблицаx_2[[#This Row],[Месяц окончания]]=Таблицаx_2[[#This Row],[Месяц]],Таблицаx_2[[#This Row],[id]]=A2185,EDATE(Таблицаx_2[[#This Row],[Месяц]],2)=D2185),F2185,0)</f>
        <v>0</v>
      </c>
    </row>
    <row r="2185" spans="1:11" ht="12.75" hidden="1" customHeight="1" x14ac:dyDescent="0.2">
      <c r="A2185" s="8">
        <v>918</v>
      </c>
      <c r="B2185" s="8" t="s">
        <v>45</v>
      </c>
      <c r="C2185" s="8" t="s">
        <v>8</v>
      </c>
      <c r="D2185" s="12">
        <v>45170</v>
      </c>
      <c r="E2185" s="8">
        <v>77500</v>
      </c>
      <c r="F2185" s="10">
        <f>IF(ISTEXT(Таблицаx_2[[#This Row],[Значение]]), 0, Таблицаx_2[[#This Row],[Значение]])</f>
        <v>77500</v>
      </c>
      <c r="G2185" s="12">
        <v>45261</v>
      </c>
      <c r="H2185" s="10" t="str">
        <f>IFERROR(VLOOKUP(Таблицаx_2[[#This Row],[id]],prolongations!A:C,2,)," ")</f>
        <v>декабрь 2023</v>
      </c>
      <c r="I2185" s="10">
        <f>IF(Таблицаx_2[[#This Row],[Месяц окончания]]=Таблицаx_2[[#This Row],[Месяц]],Таблицаx_2[[#This Row],[Значения числа]],0)</f>
        <v>0</v>
      </c>
      <c r="J2185" s="8">
        <f>IF(AND(Таблицаx_2[[#This Row],[Месяц окончания]]=Таблицаx_2[[#This Row],[Месяц]],Таблицаx_2[[#This Row],[id]]=A2186,EDATE(Таблицаx_2[[#This Row],[Месяц]],1)=D2186),F2186,0)</f>
        <v>0</v>
      </c>
      <c r="K2185" s="8">
        <f>IF(AND(Таблицаx_2[[#This Row],[Месяц окончания]]=Таблицаx_2[[#This Row],[Месяц]],Таблицаx_2[[#This Row],[id]]=A2186,EDATE(Таблицаx_2[[#This Row],[Месяц]],2)=D2186),F2186,0)</f>
        <v>0</v>
      </c>
    </row>
    <row r="2186" spans="1:11" ht="12.75" hidden="1" customHeight="1" x14ac:dyDescent="0.2">
      <c r="A2186" s="8">
        <v>918</v>
      </c>
      <c r="B2186" s="8" t="s">
        <v>45</v>
      </c>
      <c r="C2186" s="8" t="s">
        <v>8</v>
      </c>
      <c r="D2186" s="12">
        <v>45200</v>
      </c>
      <c r="E2186" s="8">
        <v>113500</v>
      </c>
      <c r="F2186" s="10">
        <f>IF(ISTEXT(Таблицаx_2[[#This Row],[Значение]]), 0, Таблицаx_2[[#This Row],[Значение]])</f>
        <v>113500</v>
      </c>
      <c r="G2186" s="12">
        <v>45261</v>
      </c>
      <c r="H2186" s="10" t="str">
        <f>IFERROR(VLOOKUP(Таблицаx_2[[#This Row],[id]],prolongations!A:C,2,)," ")</f>
        <v>декабрь 2023</v>
      </c>
      <c r="I2186" s="10">
        <f>IF(Таблицаx_2[[#This Row],[Месяц окончания]]=Таблицаx_2[[#This Row],[Месяц]],Таблицаx_2[[#This Row],[Значения числа]],0)</f>
        <v>0</v>
      </c>
      <c r="J2186" s="8">
        <f>IF(AND(Таблицаx_2[[#This Row],[Месяц окончания]]=Таблицаx_2[[#This Row],[Месяц]],Таблицаx_2[[#This Row],[id]]=A2187,EDATE(Таблицаx_2[[#This Row],[Месяц]],1)=D2187),F2187,0)</f>
        <v>0</v>
      </c>
      <c r="K2186" s="8">
        <f>IF(AND(Таблицаx_2[[#This Row],[Месяц окончания]]=Таблицаx_2[[#This Row],[Месяц]],Таблицаx_2[[#This Row],[id]]=A2187,EDATE(Таблицаx_2[[#This Row],[Месяц]],2)=D2187),F2187,0)</f>
        <v>0</v>
      </c>
    </row>
    <row r="2187" spans="1:11" ht="12.75" hidden="1" customHeight="1" x14ac:dyDescent="0.2">
      <c r="A2187" s="8">
        <v>918</v>
      </c>
      <c r="B2187" s="8" t="s">
        <v>45</v>
      </c>
      <c r="C2187" s="8" t="s">
        <v>8</v>
      </c>
      <c r="D2187" s="12">
        <v>45231</v>
      </c>
      <c r="E2187" s="8">
        <v>77500</v>
      </c>
      <c r="F2187" s="10">
        <f>IF(ISTEXT(Таблицаx_2[[#This Row],[Значение]]), 0, Таблицаx_2[[#This Row],[Значение]])</f>
        <v>77500</v>
      </c>
      <c r="G2187" s="12">
        <v>45261</v>
      </c>
      <c r="H2187" s="10" t="str">
        <f>IFERROR(VLOOKUP(Таблицаx_2[[#This Row],[id]],prolongations!A:C,2,)," ")</f>
        <v>декабрь 2023</v>
      </c>
      <c r="I2187" s="10">
        <f>IF(Таблицаx_2[[#This Row],[Месяц окончания]]=Таблицаx_2[[#This Row],[Месяц]],Таблицаx_2[[#This Row],[Значения числа]],0)</f>
        <v>0</v>
      </c>
      <c r="J2187" s="8">
        <f>IF(AND(Таблицаx_2[[#This Row],[Месяц окончания]]=Таблицаx_2[[#This Row],[Месяц]],Таблицаx_2[[#This Row],[id]]=A2188,EDATE(Таблицаx_2[[#This Row],[Месяц]],1)=D2188),F2188,0)</f>
        <v>0</v>
      </c>
      <c r="K2187" s="8">
        <f>IF(AND(Таблицаx_2[[#This Row],[Месяц окончания]]=Таблицаx_2[[#This Row],[Месяц]],Таблицаx_2[[#This Row],[id]]=A2188,EDATE(Таблицаx_2[[#This Row],[Месяц]],2)=D2188),F2188,0)</f>
        <v>0</v>
      </c>
    </row>
    <row r="2188" spans="1:11" ht="12.75" hidden="1" customHeight="1" x14ac:dyDescent="0.2">
      <c r="A2188" s="8">
        <v>918</v>
      </c>
      <c r="B2188" s="8" t="s">
        <v>45</v>
      </c>
      <c r="C2188" s="8" t="s">
        <v>8</v>
      </c>
      <c r="D2188" s="12">
        <v>45261</v>
      </c>
      <c r="E2188" s="8">
        <v>77500</v>
      </c>
      <c r="F2188" s="10">
        <f>IF(ISTEXT(Таблицаx_2[[#This Row],[Значение]]), 0, Таблицаx_2[[#This Row],[Значение]])</f>
        <v>77500</v>
      </c>
      <c r="G2188" s="12">
        <v>45261</v>
      </c>
      <c r="H2188" s="10" t="str">
        <f>IFERROR(VLOOKUP(Таблицаx_2[[#This Row],[id]],prolongations!A:C,2,)," ")</f>
        <v>декабрь 2023</v>
      </c>
      <c r="I2188" s="10">
        <f>IF(Таблицаx_2[[#This Row],[Месяц окончания]]=Таблицаx_2[[#This Row],[Месяц]],Таблицаx_2[[#This Row],[Значения числа]],0)</f>
        <v>77500</v>
      </c>
      <c r="J2188" s="8">
        <f>IF(AND(Таблицаx_2[[#This Row],[Месяц окончания]]=Таблицаx_2[[#This Row],[Месяц]],Таблицаx_2[[#This Row],[id]]=A2189,EDATE(Таблицаx_2[[#This Row],[Месяц]],1)=D2189),F2189,0)</f>
        <v>0</v>
      </c>
      <c r="K2188" s="8">
        <f>IF(AND(Таблицаx_2[[#This Row],[Месяц окончания]]=Таблицаx_2[[#This Row],[Месяц]],Таблицаx_2[[#This Row],[id]]=A2189,EDATE(Таблицаx_2[[#This Row],[Месяц]],2)=D2189),F2189,0)</f>
        <v>0</v>
      </c>
    </row>
    <row r="2189" spans="1:11" ht="12.75" hidden="1" customHeight="1" x14ac:dyDescent="0.2">
      <c r="A2189" s="8">
        <v>918</v>
      </c>
      <c r="B2189" s="8" t="s">
        <v>47</v>
      </c>
      <c r="C2189" s="8" t="s">
        <v>8</v>
      </c>
      <c r="D2189" s="12">
        <v>45108</v>
      </c>
      <c r="E2189" s="8" t="s">
        <v>48</v>
      </c>
      <c r="F2189" s="10">
        <f>IF(ISTEXT(Таблицаx_2[[#This Row],[Значение]]), 0, Таблицаx_2[[#This Row],[Значение]])</f>
        <v>0</v>
      </c>
      <c r="G2189" s="12">
        <v>45261</v>
      </c>
      <c r="H2189" s="10" t="str">
        <f>IFERROR(VLOOKUP(Таблицаx_2[[#This Row],[id]],prolongations!A:C,2,)," ")</f>
        <v>декабрь 2023</v>
      </c>
      <c r="I2189" s="10">
        <f>IF(Таблицаx_2[[#This Row],[Месяц окончания]]=Таблицаx_2[[#This Row],[Месяц]],Таблицаx_2[[#This Row],[Значения числа]],0)</f>
        <v>0</v>
      </c>
      <c r="J2189" s="8">
        <f>IF(AND(Таблицаx_2[[#This Row],[Месяц окончания]]=Таблицаx_2[[#This Row],[Месяц]],Таблицаx_2[[#This Row],[id]]=A2190,EDATE(Таблицаx_2[[#This Row],[Месяц]],1)=D2190),F2190,0)</f>
        <v>0</v>
      </c>
      <c r="K2189" s="8">
        <f>IF(AND(Таблицаx_2[[#This Row],[Месяц окончания]]=Таблицаx_2[[#This Row],[Месяц]],Таблицаx_2[[#This Row],[id]]=A2190,EDATE(Таблицаx_2[[#This Row],[Месяц]],2)=D2190),F2190,0)</f>
        <v>0</v>
      </c>
    </row>
    <row r="2190" spans="1:11" ht="12.75" hidden="1" customHeight="1" x14ac:dyDescent="0.2">
      <c r="A2190" s="8">
        <v>918</v>
      </c>
      <c r="B2190" s="8" t="s">
        <v>47</v>
      </c>
      <c r="C2190" s="8" t="s">
        <v>8</v>
      </c>
      <c r="D2190" s="12">
        <v>45139</v>
      </c>
      <c r="E2190" s="8" t="s">
        <v>48</v>
      </c>
      <c r="F2190" s="10">
        <f>IF(ISTEXT(Таблицаx_2[[#This Row],[Значение]]), 0, Таблицаx_2[[#This Row],[Значение]])</f>
        <v>0</v>
      </c>
      <c r="G2190" s="12">
        <v>45261</v>
      </c>
      <c r="H2190" s="10" t="str">
        <f>IFERROR(VLOOKUP(Таблицаx_2[[#This Row],[id]],prolongations!A:C,2,)," ")</f>
        <v>декабрь 2023</v>
      </c>
      <c r="I2190" s="10">
        <f>IF(Таблицаx_2[[#This Row],[Месяц окончания]]=Таблицаx_2[[#This Row],[Месяц]],Таблицаx_2[[#This Row],[Значения числа]],0)</f>
        <v>0</v>
      </c>
      <c r="J2190" s="8">
        <f>IF(AND(Таблицаx_2[[#This Row],[Месяц окончания]]=Таблицаx_2[[#This Row],[Месяц]],Таблицаx_2[[#This Row],[id]]=A2191,EDATE(Таблицаx_2[[#This Row],[Месяц]],1)=D2191),F2191,0)</f>
        <v>0</v>
      </c>
      <c r="K2190" s="8">
        <f>IF(AND(Таблицаx_2[[#This Row],[Месяц окончания]]=Таблицаx_2[[#This Row],[Месяц]],Таблицаx_2[[#This Row],[id]]=A2191,EDATE(Таблицаx_2[[#This Row],[Месяц]],2)=D2191),F2191,0)</f>
        <v>0</v>
      </c>
    </row>
    <row r="2191" spans="1:11" ht="12.75" hidden="1" customHeight="1" x14ac:dyDescent="0.2">
      <c r="A2191" s="8">
        <v>918</v>
      </c>
      <c r="B2191" s="8" t="s">
        <v>47</v>
      </c>
      <c r="C2191" s="8" t="s">
        <v>8</v>
      </c>
      <c r="D2191" s="12">
        <v>45170</v>
      </c>
      <c r="E2191" s="8">
        <v>104404.98</v>
      </c>
      <c r="F2191" s="10">
        <f>IF(ISTEXT(Таблицаx_2[[#This Row],[Значение]]), 0, Таблицаx_2[[#This Row],[Значение]])</f>
        <v>104404.98</v>
      </c>
      <c r="G2191" s="12">
        <v>45261</v>
      </c>
      <c r="H2191" s="10" t="str">
        <f>IFERROR(VLOOKUP(Таблицаx_2[[#This Row],[id]],prolongations!A:C,2,)," ")</f>
        <v>декабрь 2023</v>
      </c>
      <c r="I2191" s="10">
        <f>IF(Таблицаx_2[[#This Row],[Месяц окончания]]=Таблицаx_2[[#This Row],[Месяц]],Таблицаx_2[[#This Row],[Значения числа]],0)</f>
        <v>0</v>
      </c>
      <c r="J2191" s="8">
        <f>IF(AND(Таблицаx_2[[#This Row],[Месяц окончания]]=Таблицаx_2[[#This Row],[Месяц]],Таблицаx_2[[#This Row],[id]]=A2192,EDATE(Таблицаx_2[[#This Row],[Месяц]],1)=D2192),F2192,0)</f>
        <v>0</v>
      </c>
      <c r="K2191" s="8">
        <f>IF(AND(Таблицаx_2[[#This Row],[Месяц окончания]]=Таблицаx_2[[#This Row],[Месяц]],Таблицаx_2[[#This Row],[id]]=A2192,EDATE(Таблицаx_2[[#This Row],[Месяц]],2)=D2192),F2192,0)</f>
        <v>0</v>
      </c>
    </row>
    <row r="2192" spans="1:11" ht="12.75" hidden="1" customHeight="1" x14ac:dyDescent="0.2">
      <c r="A2192" s="8">
        <v>918</v>
      </c>
      <c r="B2192" s="8" t="s">
        <v>47</v>
      </c>
      <c r="C2192" s="8" t="s">
        <v>8</v>
      </c>
      <c r="D2192" s="12">
        <v>45200</v>
      </c>
      <c r="E2192" s="8" t="s">
        <v>48</v>
      </c>
      <c r="F2192" s="10">
        <f>IF(ISTEXT(Таблицаx_2[[#This Row],[Значение]]), 0, Таблицаx_2[[#This Row],[Значение]])</f>
        <v>0</v>
      </c>
      <c r="G2192" s="12">
        <v>45261</v>
      </c>
      <c r="H2192" s="10" t="str">
        <f>IFERROR(VLOOKUP(Таблицаx_2[[#This Row],[id]],prolongations!A:C,2,)," ")</f>
        <v>декабрь 2023</v>
      </c>
      <c r="I2192" s="10">
        <f>IF(Таблицаx_2[[#This Row],[Месяц окончания]]=Таблицаx_2[[#This Row],[Месяц]],Таблицаx_2[[#This Row],[Значения числа]],0)</f>
        <v>0</v>
      </c>
      <c r="J2192" s="8">
        <f>IF(AND(Таблицаx_2[[#This Row],[Месяц окончания]]=Таблицаx_2[[#This Row],[Месяц]],Таблицаx_2[[#This Row],[id]]=A2193,EDATE(Таблицаx_2[[#This Row],[Месяц]],1)=D2193),F2193,0)</f>
        <v>0</v>
      </c>
      <c r="K2192" s="8">
        <f>IF(AND(Таблицаx_2[[#This Row],[Месяц окончания]]=Таблицаx_2[[#This Row],[Месяц]],Таблицаx_2[[#This Row],[id]]=A2193,EDATE(Таблицаx_2[[#This Row],[Месяц]],2)=D2193),F2193,0)</f>
        <v>0</v>
      </c>
    </row>
    <row r="2193" spans="1:11" ht="12.75" hidden="1" customHeight="1" x14ac:dyDescent="0.2">
      <c r="A2193" s="8">
        <v>918</v>
      </c>
      <c r="B2193" s="8" t="s">
        <v>47</v>
      </c>
      <c r="C2193" s="8" t="s">
        <v>8</v>
      </c>
      <c r="D2193" s="12">
        <v>45231</v>
      </c>
      <c r="E2193" s="8">
        <v>5595</v>
      </c>
      <c r="F2193" s="10">
        <f>IF(ISTEXT(Таблицаx_2[[#This Row],[Значение]]), 0, Таблицаx_2[[#This Row],[Значение]])</f>
        <v>5595</v>
      </c>
      <c r="G2193" s="12">
        <v>45261</v>
      </c>
      <c r="H2193" s="10" t="str">
        <f>IFERROR(VLOOKUP(Таблицаx_2[[#This Row],[id]],prolongations!A:C,2,)," ")</f>
        <v>декабрь 2023</v>
      </c>
      <c r="I2193" s="10">
        <f>IF(Таблицаx_2[[#This Row],[Месяц окончания]]=Таблицаx_2[[#This Row],[Месяц]],Таблицаx_2[[#This Row],[Значения числа]],0)</f>
        <v>0</v>
      </c>
      <c r="J2193" s="8">
        <f>IF(AND(Таблицаx_2[[#This Row],[Месяц окончания]]=Таблицаx_2[[#This Row],[Месяц]],Таблицаx_2[[#This Row],[id]]=A2194,EDATE(Таблицаx_2[[#This Row],[Месяц]],1)=D2194),F2194,0)</f>
        <v>0</v>
      </c>
      <c r="K2193" s="8">
        <f>IF(AND(Таблицаx_2[[#This Row],[Месяц окончания]]=Таблицаx_2[[#This Row],[Месяц]],Таблицаx_2[[#This Row],[id]]=A2194,EDATE(Таблицаx_2[[#This Row],[Месяц]],2)=D2194),F2194,0)</f>
        <v>0</v>
      </c>
    </row>
    <row r="2194" spans="1:11" ht="12.75" hidden="1" customHeight="1" x14ac:dyDescent="0.2">
      <c r="A2194" s="8">
        <v>918</v>
      </c>
      <c r="B2194" s="8" t="s">
        <v>47</v>
      </c>
      <c r="C2194" s="8" t="s">
        <v>8</v>
      </c>
      <c r="D2194" s="12">
        <v>45261</v>
      </c>
      <c r="E2194" s="8" t="s">
        <v>48</v>
      </c>
      <c r="F2194" s="10">
        <f>IF(ISTEXT(Таблицаx_2[[#This Row],[Значение]]), 0, Таблицаx_2[[#This Row],[Значение]])</f>
        <v>0</v>
      </c>
      <c r="G2194" s="12">
        <v>45261</v>
      </c>
      <c r="H2194" s="10" t="str">
        <f>IFERROR(VLOOKUP(Таблицаx_2[[#This Row],[id]],prolongations!A:C,2,)," ")</f>
        <v>декабрь 2023</v>
      </c>
      <c r="I2194" s="10">
        <f>IF(Таблицаx_2[[#This Row],[Месяц окончания]]=Таблицаx_2[[#This Row],[Месяц]],Таблицаx_2[[#This Row],[Значения числа]],0)</f>
        <v>0</v>
      </c>
      <c r="J2194" s="8">
        <f>IF(AND(Таблицаx_2[[#This Row],[Месяц окончания]]=Таблицаx_2[[#This Row],[Месяц]],Таблицаx_2[[#This Row],[id]]=A2195,EDATE(Таблицаx_2[[#This Row],[Месяц]],1)=D2195),F2195,0)</f>
        <v>0</v>
      </c>
      <c r="K2194" s="8">
        <f>IF(AND(Таблицаx_2[[#This Row],[Месяц окончания]]=Таблицаx_2[[#This Row],[Месяц]],Таблицаx_2[[#This Row],[id]]=A2195,EDATE(Таблицаx_2[[#This Row],[Месяц]],2)=D2195),F2195,0)</f>
        <v>0</v>
      </c>
    </row>
    <row r="2195" spans="1:11" ht="12.75" hidden="1" customHeight="1" x14ac:dyDescent="0.2">
      <c r="A2195" s="8">
        <v>1006</v>
      </c>
      <c r="B2195" s="8"/>
      <c r="C2195" s="8" t="s">
        <v>10</v>
      </c>
      <c r="D2195" s="12">
        <v>45200</v>
      </c>
      <c r="E2195" s="8">
        <v>145195</v>
      </c>
      <c r="F2195" s="10">
        <f>IF(ISTEXT(Таблицаx_2[[#This Row],[Значение]]), 0, Таблицаx_2[[#This Row],[Значение]])</f>
        <v>145195</v>
      </c>
      <c r="G2195" s="12">
        <v>45261</v>
      </c>
      <c r="H2195" s="10" t="str">
        <f>IFERROR(VLOOKUP(Таблицаx_2[[#This Row],[id]],prolongations!A:C,2,)," ")</f>
        <v>декабрь 2023</v>
      </c>
      <c r="I2195" s="10">
        <f>IF(Таблицаx_2[[#This Row],[Месяц окончания]]=Таблицаx_2[[#This Row],[Месяц]],Таблицаx_2[[#This Row],[Значения числа]],0)</f>
        <v>0</v>
      </c>
      <c r="J2195" s="8">
        <f>IF(AND(Таблицаx_2[[#This Row],[Месяц окончания]]=Таблицаx_2[[#This Row],[Месяц]],Таблицаx_2[[#This Row],[id]]=A2196,EDATE(Таблицаx_2[[#This Row],[Месяц]],1)=D2196),F2196,0)</f>
        <v>0</v>
      </c>
      <c r="K2195" s="8">
        <f>IF(AND(Таблицаx_2[[#This Row],[Месяц окончания]]=Таблицаx_2[[#This Row],[Месяц]],Таблицаx_2[[#This Row],[id]]=A2196,EDATE(Таблицаx_2[[#This Row],[Месяц]],2)=D2196),F2196,0)</f>
        <v>0</v>
      </c>
    </row>
    <row r="2196" spans="1:11" ht="12.75" hidden="1" customHeight="1" x14ac:dyDescent="0.2">
      <c r="A2196" s="8">
        <v>1006</v>
      </c>
      <c r="B2196" s="8"/>
      <c r="C2196" s="8" t="s">
        <v>10</v>
      </c>
      <c r="D2196" s="12">
        <v>45231</v>
      </c>
      <c r="E2196" s="8">
        <v>140495</v>
      </c>
      <c r="F2196" s="10">
        <f>IF(ISTEXT(Таблицаx_2[[#This Row],[Значение]]), 0, Таблицаx_2[[#This Row],[Значение]])</f>
        <v>140495</v>
      </c>
      <c r="G2196" s="12">
        <v>45261</v>
      </c>
      <c r="H2196" s="10" t="str">
        <f>IFERROR(VLOOKUP(Таблицаx_2[[#This Row],[id]],prolongations!A:C,2,)," ")</f>
        <v>декабрь 2023</v>
      </c>
      <c r="I2196" s="10">
        <f>IF(Таблицаx_2[[#This Row],[Месяц окончания]]=Таблицаx_2[[#This Row],[Месяц]],Таблицаx_2[[#This Row],[Значения числа]],0)</f>
        <v>0</v>
      </c>
      <c r="J2196" s="8">
        <f>IF(AND(Таблицаx_2[[#This Row],[Месяц окончания]]=Таблицаx_2[[#This Row],[Месяц]],Таблицаx_2[[#This Row],[id]]=A2197,EDATE(Таблицаx_2[[#This Row],[Месяц]],1)=D2197),F2197,0)</f>
        <v>0</v>
      </c>
      <c r="K2196" s="8">
        <f>IF(AND(Таблицаx_2[[#This Row],[Месяц окончания]]=Таблицаx_2[[#This Row],[Месяц]],Таблицаx_2[[#This Row],[id]]=A2197,EDATE(Таблицаx_2[[#This Row],[Месяц]],2)=D2197),F2197,0)</f>
        <v>0</v>
      </c>
    </row>
    <row r="2197" spans="1:11" ht="12.75" hidden="1" customHeight="1" x14ac:dyDescent="0.2">
      <c r="A2197" s="8">
        <v>1006</v>
      </c>
      <c r="B2197" s="8"/>
      <c r="C2197" s="8" t="s">
        <v>10</v>
      </c>
      <c r="D2197" s="12">
        <v>45261</v>
      </c>
      <c r="E2197" s="8">
        <v>140495</v>
      </c>
      <c r="F2197" s="10">
        <f>IF(ISTEXT(Таблицаx_2[[#This Row],[Значение]]), 0, Таблицаx_2[[#This Row],[Значение]])</f>
        <v>140495</v>
      </c>
      <c r="G2197" s="12">
        <v>45261</v>
      </c>
      <c r="H2197" s="10" t="str">
        <f>IFERROR(VLOOKUP(Таблицаx_2[[#This Row],[id]],prolongations!A:C,2,)," ")</f>
        <v>декабрь 2023</v>
      </c>
      <c r="I2197" s="10">
        <f>IF(Таблицаx_2[[#This Row],[Месяц окончания]]=Таблицаx_2[[#This Row],[Месяц]],Таблицаx_2[[#This Row],[Значения числа]],0)</f>
        <v>140495</v>
      </c>
      <c r="J2197" s="8">
        <f>IF(AND(Таблицаx_2[[#This Row],[Месяц окончания]]=Таблицаx_2[[#This Row],[Месяц]],Таблицаx_2[[#This Row],[id]]=A2198,EDATE(Таблицаx_2[[#This Row],[Месяц]],1)=D2198),F2198,0)</f>
        <v>0</v>
      </c>
      <c r="K2197" s="8">
        <f>IF(AND(Таблицаx_2[[#This Row],[Месяц окончания]]=Таблицаx_2[[#This Row],[Месяц]],Таблицаx_2[[#This Row],[id]]=A2198,EDATE(Таблицаx_2[[#This Row],[Месяц]],2)=D2198),F2198,0)</f>
        <v>0</v>
      </c>
    </row>
    <row r="2198" spans="1:11" ht="12.75" hidden="1" customHeight="1" x14ac:dyDescent="0.2">
      <c r="A2198" s="8">
        <v>979</v>
      </c>
      <c r="B2198" s="8" t="s">
        <v>45</v>
      </c>
      <c r="C2198" s="8" t="s">
        <v>6</v>
      </c>
      <c r="D2198" s="12">
        <v>45200</v>
      </c>
      <c r="E2198" s="8">
        <v>211131</v>
      </c>
      <c r="F2198" s="10">
        <f>IF(ISTEXT(Таблицаx_2[[#This Row],[Значение]]), 0, Таблицаx_2[[#This Row],[Значение]])</f>
        <v>211131</v>
      </c>
      <c r="G2198" s="12">
        <v>45261</v>
      </c>
      <c r="H2198" s="10" t="str">
        <f>IFERROR(VLOOKUP(Таблицаx_2[[#This Row],[id]],prolongations!A:C,2,)," ")</f>
        <v>декабрь 2023</v>
      </c>
      <c r="I2198" s="10">
        <f>IF(Таблицаx_2[[#This Row],[Месяц окончания]]=Таблицаx_2[[#This Row],[Месяц]],Таблицаx_2[[#This Row],[Значения числа]],0)</f>
        <v>0</v>
      </c>
      <c r="J2198" s="8">
        <f>IF(AND(Таблицаx_2[[#This Row],[Месяц окончания]]=Таблицаx_2[[#This Row],[Месяц]],Таблицаx_2[[#This Row],[id]]=A2199,EDATE(Таблицаx_2[[#This Row],[Месяц]],1)=D2199),F2199,0)</f>
        <v>0</v>
      </c>
      <c r="K2198" s="8">
        <f>IF(AND(Таблицаx_2[[#This Row],[Месяц окончания]]=Таблицаx_2[[#This Row],[Месяц]],Таблицаx_2[[#This Row],[id]]=A2199,EDATE(Таблицаx_2[[#This Row],[Месяц]],2)=D2199),F2199,0)</f>
        <v>0</v>
      </c>
    </row>
    <row r="2199" spans="1:11" ht="12.75" hidden="1" customHeight="1" x14ac:dyDescent="0.2">
      <c r="A2199" s="8">
        <v>979</v>
      </c>
      <c r="B2199" s="8" t="s">
        <v>45</v>
      </c>
      <c r="C2199" s="8" t="s">
        <v>6</v>
      </c>
      <c r="D2199" s="12">
        <v>45231</v>
      </c>
      <c r="E2199" s="8">
        <v>219636</v>
      </c>
      <c r="F2199" s="10">
        <f>IF(ISTEXT(Таблицаx_2[[#This Row],[Значение]]), 0, Таблицаx_2[[#This Row],[Значение]])</f>
        <v>219636</v>
      </c>
      <c r="G2199" s="12">
        <v>45261</v>
      </c>
      <c r="H2199" s="10" t="str">
        <f>IFERROR(VLOOKUP(Таблицаx_2[[#This Row],[id]],prolongations!A:C,2,)," ")</f>
        <v>декабрь 2023</v>
      </c>
      <c r="I2199" s="10">
        <f>IF(Таблицаx_2[[#This Row],[Месяц окончания]]=Таблицаx_2[[#This Row],[Месяц]],Таблицаx_2[[#This Row],[Значения числа]],0)</f>
        <v>0</v>
      </c>
      <c r="J2199" s="8">
        <f>IF(AND(Таблицаx_2[[#This Row],[Месяц окончания]]=Таблицаx_2[[#This Row],[Месяц]],Таблицаx_2[[#This Row],[id]]=A2200,EDATE(Таблицаx_2[[#This Row],[Месяц]],1)=D2200),F2200,0)</f>
        <v>0</v>
      </c>
      <c r="K2199" s="8">
        <f>IF(AND(Таблицаx_2[[#This Row],[Месяц окончания]]=Таблицаx_2[[#This Row],[Месяц]],Таблицаx_2[[#This Row],[id]]=A2200,EDATE(Таблицаx_2[[#This Row],[Месяц]],2)=D2200),F2200,0)</f>
        <v>0</v>
      </c>
    </row>
    <row r="2200" spans="1:11" ht="12.75" hidden="1" customHeight="1" x14ac:dyDescent="0.2">
      <c r="A2200" s="8">
        <v>979</v>
      </c>
      <c r="B2200" s="8" t="s">
        <v>45</v>
      </c>
      <c r="C2200" s="8" t="s">
        <v>6</v>
      </c>
      <c r="D2200" s="12">
        <v>45261</v>
      </c>
      <c r="E2200" s="8">
        <v>230067</v>
      </c>
      <c r="F2200" s="10">
        <f>IF(ISTEXT(Таблицаx_2[[#This Row],[Значение]]), 0, Таблицаx_2[[#This Row],[Значение]])</f>
        <v>230067</v>
      </c>
      <c r="G2200" s="12">
        <v>45261</v>
      </c>
      <c r="H2200" s="10" t="str">
        <f>IFERROR(VLOOKUP(Таблицаx_2[[#This Row],[id]],prolongations!A:C,2,)," ")</f>
        <v>декабрь 2023</v>
      </c>
      <c r="I2200" s="10">
        <f>IF(Таблицаx_2[[#This Row],[Месяц окончания]]=Таблицаx_2[[#This Row],[Месяц]],Таблицаx_2[[#This Row],[Значения числа]],0)</f>
        <v>230067</v>
      </c>
      <c r="J2200" s="8">
        <f>IF(AND(Таблицаx_2[[#This Row],[Месяц окончания]]=Таблицаx_2[[#This Row],[Месяц]],Таблицаx_2[[#This Row],[id]]=A2201,EDATE(Таблицаx_2[[#This Row],[Месяц]],1)=D2201),F2201,0)</f>
        <v>0</v>
      </c>
      <c r="K2200" s="8">
        <f>IF(AND(Таблицаx_2[[#This Row],[Месяц окончания]]=Таблицаx_2[[#This Row],[Месяц]],Таблицаx_2[[#This Row],[id]]=A2201,EDATE(Таблицаx_2[[#This Row],[Месяц]],2)=D2201),F2201,0)</f>
        <v>0</v>
      </c>
    </row>
    <row r="2201" spans="1:11" ht="12.75" hidden="1" customHeight="1" x14ac:dyDescent="0.2">
      <c r="A2201" s="8">
        <v>979</v>
      </c>
      <c r="B2201" s="8" t="s">
        <v>47</v>
      </c>
      <c r="C2201" s="8" t="s">
        <v>6</v>
      </c>
      <c r="D2201" s="12">
        <v>45200</v>
      </c>
      <c r="E2201" s="8">
        <v>20671.84</v>
      </c>
      <c r="F2201" s="10">
        <f>IF(ISTEXT(Таблицаx_2[[#This Row],[Значение]]), 0, Таблицаx_2[[#This Row],[Значение]])</f>
        <v>20671.84</v>
      </c>
      <c r="G2201" s="12">
        <v>45261</v>
      </c>
      <c r="H2201" s="10" t="str">
        <f>IFERROR(VLOOKUP(Таблицаx_2[[#This Row],[id]],prolongations!A:C,2,)," ")</f>
        <v>декабрь 2023</v>
      </c>
      <c r="I2201" s="10">
        <f>IF(Таблицаx_2[[#This Row],[Месяц окончания]]=Таблицаx_2[[#This Row],[Месяц]],Таблицаx_2[[#This Row],[Значения числа]],0)</f>
        <v>0</v>
      </c>
      <c r="J2201" s="8">
        <f>IF(AND(Таблицаx_2[[#This Row],[Месяц окончания]]=Таблицаx_2[[#This Row],[Месяц]],Таблицаx_2[[#This Row],[id]]=A2202,EDATE(Таблицаx_2[[#This Row],[Месяц]],1)=D2202),F2202,0)</f>
        <v>0</v>
      </c>
      <c r="K2201" s="8">
        <f>IF(AND(Таблицаx_2[[#This Row],[Месяц окончания]]=Таблицаx_2[[#This Row],[Месяц]],Таблицаx_2[[#This Row],[id]]=A2202,EDATE(Таблицаx_2[[#This Row],[Месяц]],2)=D2202),F2202,0)</f>
        <v>0</v>
      </c>
    </row>
    <row r="2202" spans="1:11" ht="12.75" hidden="1" customHeight="1" x14ac:dyDescent="0.2">
      <c r="A2202" s="8">
        <v>979</v>
      </c>
      <c r="B2202" s="8" t="s">
        <v>47</v>
      </c>
      <c r="C2202" s="8" t="s">
        <v>6</v>
      </c>
      <c r="D2202" s="12">
        <v>45231</v>
      </c>
      <c r="E2202" s="8">
        <v>24458.97</v>
      </c>
      <c r="F2202" s="10">
        <f>IF(ISTEXT(Таблицаx_2[[#This Row],[Значение]]), 0, Таблицаx_2[[#This Row],[Значение]])</f>
        <v>24458.97</v>
      </c>
      <c r="G2202" s="12">
        <v>45261</v>
      </c>
      <c r="H2202" s="10" t="str">
        <f>IFERROR(VLOOKUP(Таблицаx_2[[#This Row],[id]],prolongations!A:C,2,)," ")</f>
        <v>декабрь 2023</v>
      </c>
      <c r="I2202" s="10">
        <f>IF(Таблицаx_2[[#This Row],[Месяц окончания]]=Таблицаx_2[[#This Row],[Месяц]],Таблицаx_2[[#This Row],[Значения числа]],0)</f>
        <v>0</v>
      </c>
      <c r="J2202" s="8">
        <f>IF(AND(Таблицаx_2[[#This Row],[Месяц окончания]]=Таблицаx_2[[#This Row],[Месяц]],Таблицаx_2[[#This Row],[id]]=A2203,EDATE(Таблицаx_2[[#This Row],[Месяц]],1)=D2203),F2203,0)</f>
        <v>0</v>
      </c>
      <c r="K2202" s="8">
        <f>IF(AND(Таблицаx_2[[#This Row],[Месяц окончания]]=Таблицаx_2[[#This Row],[Месяц]],Таблицаx_2[[#This Row],[id]]=A2203,EDATE(Таблицаx_2[[#This Row],[Месяц]],2)=D2203),F2203,0)</f>
        <v>0</v>
      </c>
    </row>
    <row r="2203" spans="1:11" ht="12.75" hidden="1" customHeight="1" x14ac:dyDescent="0.2">
      <c r="A2203" s="8">
        <v>979</v>
      </c>
      <c r="B2203" s="8" t="s">
        <v>47</v>
      </c>
      <c r="C2203" s="8" t="s">
        <v>6</v>
      </c>
      <c r="D2203" s="12">
        <v>45261</v>
      </c>
      <c r="E2203" s="8">
        <v>24869.21</v>
      </c>
      <c r="F2203" s="10">
        <f>IF(ISTEXT(Таблицаx_2[[#This Row],[Значение]]), 0, Таблицаx_2[[#This Row],[Значение]])</f>
        <v>24869.21</v>
      </c>
      <c r="G2203" s="12">
        <v>45261</v>
      </c>
      <c r="H2203" s="10" t="str">
        <f>IFERROR(VLOOKUP(Таблицаx_2[[#This Row],[id]],prolongations!A:C,2,)," ")</f>
        <v>декабрь 2023</v>
      </c>
      <c r="I2203" s="10">
        <f>IF(Таблицаx_2[[#This Row],[Месяц окончания]]=Таблицаx_2[[#This Row],[Месяц]],Таблицаx_2[[#This Row],[Значения числа]],0)</f>
        <v>24869.21</v>
      </c>
      <c r="J2203" s="8">
        <f>IF(AND(Таблицаx_2[[#This Row],[Месяц окончания]]=Таблицаx_2[[#This Row],[Месяц]],Таблицаx_2[[#This Row],[id]]=A2204,EDATE(Таблицаx_2[[#This Row],[Месяц]],1)=D2204),F2204,0)</f>
        <v>0</v>
      </c>
      <c r="K2203" s="8">
        <f>IF(AND(Таблицаx_2[[#This Row],[Месяц окончания]]=Таблицаx_2[[#This Row],[Месяц]],Таблицаx_2[[#This Row],[id]]=A2204,EDATE(Таблицаx_2[[#This Row],[Месяц]],2)=D2204),F2204,0)</f>
        <v>0</v>
      </c>
    </row>
    <row r="2204" spans="1:11" ht="12.75" hidden="1" customHeight="1" x14ac:dyDescent="0.2">
      <c r="A2204" s="8">
        <v>190</v>
      </c>
      <c r="B2204" s="8"/>
      <c r="C2204" s="8" t="s">
        <v>4</v>
      </c>
      <c r="D2204" s="12">
        <v>44866</v>
      </c>
      <c r="E2204" s="8">
        <v>149080</v>
      </c>
      <c r="F2204" s="10">
        <f>IF(ISTEXT(Таблицаx_2[[#This Row],[Значение]]), 0, Таблицаx_2[[#This Row],[Значение]])</f>
        <v>149080</v>
      </c>
      <c r="G2204" s="12">
        <v>44958</v>
      </c>
      <c r="H2204" s="10" t="str">
        <f>IFERROR(VLOOKUP(Таблицаx_2[[#This Row],[id]],prolongations!A:C,2,)," ")</f>
        <v>февраль 2023</v>
      </c>
      <c r="I2204" s="10">
        <f>IF(Таблицаx_2[[#This Row],[Месяц окончания]]=Таблицаx_2[[#This Row],[Месяц]],Таблицаx_2[[#This Row],[Значения числа]],0)</f>
        <v>0</v>
      </c>
      <c r="J2204" s="8">
        <f>IF(AND(Таблицаx_2[[#This Row],[Месяц окончания]]=Таблицаx_2[[#This Row],[Месяц]],Таблицаx_2[[#This Row],[id]]=A2205,EDATE(Таблицаx_2[[#This Row],[Месяц]],1)=D2205),F2205,0)</f>
        <v>0</v>
      </c>
      <c r="K2204" s="8">
        <f>IF(AND(Таблицаx_2[[#This Row],[Месяц окончания]]=Таблицаx_2[[#This Row],[Месяц]],Таблицаx_2[[#This Row],[id]]=A2205,EDATE(Таблицаx_2[[#This Row],[Месяц]],2)=D2205),F2205,0)</f>
        <v>0</v>
      </c>
    </row>
    <row r="2205" spans="1:11" ht="12.75" hidden="1" customHeight="1" x14ac:dyDescent="0.2">
      <c r="A2205" s="8">
        <v>190</v>
      </c>
      <c r="B2205" s="8"/>
      <c r="C2205" s="8" t="s">
        <v>4</v>
      </c>
      <c r="D2205" s="12">
        <v>44896</v>
      </c>
      <c r="E2205" s="8">
        <v>149100</v>
      </c>
      <c r="F2205" s="10">
        <f>IF(ISTEXT(Таблицаx_2[[#This Row],[Значение]]), 0, Таблицаx_2[[#This Row],[Значение]])</f>
        <v>149100</v>
      </c>
      <c r="G2205" s="12">
        <v>44958</v>
      </c>
      <c r="H2205" s="10" t="str">
        <f>IFERROR(VLOOKUP(Таблицаx_2[[#This Row],[id]],prolongations!A:C,2,)," ")</f>
        <v>февраль 2023</v>
      </c>
      <c r="I2205" s="10">
        <f>IF(Таблицаx_2[[#This Row],[Месяц окончания]]=Таблицаx_2[[#This Row],[Месяц]],Таблицаx_2[[#This Row],[Значения числа]],0)</f>
        <v>0</v>
      </c>
      <c r="J2205" s="8">
        <f>IF(AND(Таблицаx_2[[#This Row],[Месяц окончания]]=Таблицаx_2[[#This Row],[Месяц]],Таблицаx_2[[#This Row],[id]]=A2206,EDATE(Таблицаx_2[[#This Row],[Месяц]],1)=D2206),F2206,0)</f>
        <v>0</v>
      </c>
      <c r="K2205" s="8">
        <f>IF(AND(Таблицаx_2[[#This Row],[Месяц окончания]]=Таблицаx_2[[#This Row],[Месяц]],Таблицаx_2[[#This Row],[id]]=A2206,EDATE(Таблицаx_2[[#This Row],[Месяц]],2)=D2206),F2206,0)</f>
        <v>0</v>
      </c>
    </row>
    <row r="2206" spans="1:11" ht="12.75" hidden="1" customHeight="1" x14ac:dyDescent="0.2">
      <c r="A2206" s="8">
        <v>190</v>
      </c>
      <c r="B2206" s="8"/>
      <c r="C2206" s="8" t="s">
        <v>4</v>
      </c>
      <c r="D2206" s="12">
        <v>44927</v>
      </c>
      <c r="E2206" s="8">
        <v>177595</v>
      </c>
      <c r="F2206" s="10">
        <f>IF(ISTEXT(Таблицаx_2[[#This Row],[Значение]]), 0, Таблицаx_2[[#This Row],[Значение]])</f>
        <v>177595</v>
      </c>
      <c r="G2206" s="12">
        <v>44958</v>
      </c>
      <c r="H2206" s="10" t="str">
        <f>IFERROR(VLOOKUP(Таблицаx_2[[#This Row],[id]],prolongations!A:C,2,)," ")</f>
        <v>февраль 2023</v>
      </c>
      <c r="I2206" s="10">
        <f>IF(Таблицаx_2[[#This Row],[Месяц окончания]]=Таблицаx_2[[#This Row],[Месяц]],Таблицаx_2[[#This Row],[Значения числа]],0)</f>
        <v>0</v>
      </c>
      <c r="J2206" s="8">
        <f>IF(AND(Таблицаx_2[[#This Row],[Месяц окончания]]=Таблицаx_2[[#This Row],[Месяц]],Таблицаx_2[[#This Row],[id]]=A2207,EDATE(Таблицаx_2[[#This Row],[Месяц]],1)=D2207),F2207,0)</f>
        <v>0</v>
      </c>
      <c r="K2206" s="8">
        <f>IF(AND(Таблицаx_2[[#This Row],[Месяц окончания]]=Таблицаx_2[[#This Row],[Месяц]],Таблицаx_2[[#This Row],[id]]=A2207,EDATE(Таблицаx_2[[#This Row],[Месяц]],2)=D2207),F2207,0)</f>
        <v>0</v>
      </c>
    </row>
    <row r="2207" spans="1:11" ht="12.75" hidden="1" customHeight="1" x14ac:dyDescent="0.2">
      <c r="A2207" s="8">
        <v>190</v>
      </c>
      <c r="B2207" s="8"/>
      <c r="C2207" s="8" t="s">
        <v>4</v>
      </c>
      <c r="D2207" s="12">
        <v>44958</v>
      </c>
      <c r="E2207" s="8">
        <v>171260</v>
      </c>
      <c r="F2207" s="10">
        <f>IF(ISTEXT(Таблицаx_2[[#This Row],[Значение]]), 0, Таблицаx_2[[#This Row],[Значение]])</f>
        <v>171260</v>
      </c>
      <c r="G2207" s="12">
        <v>44958</v>
      </c>
      <c r="H2207" s="10" t="str">
        <f>IFERROR(VLOOKUP(Таблицаx_2[[#This Row],[id]],prolongations!A:C,2,)," ")</f>
        <v>февраль 2023</v>
      </c>
      <c r="I2207" s="10">
        <f>IF(Таблицаx_2[[#This Row],[Месяц окончания]]=Таблицаx_2[[#This Row],[Месяц]],Таблицаx_2[[#This Row],[Значения числа]],0)</f>
        <v>171260</v>
      </c>
      <c r="J2207" s="8">
        <f>IF(AND(Таблицаx_2[[#This Row],[Месяц окончания]]=Таблицаx_2[[#This Row],[Месяц]],Таблицаx_2[[#This Row],[id]]=A2208,EDATE(Таблицаx_2[[#This Row],[Месяц]],1)=D2208),F2208,0)</f>
        <v>150220</v>
      </c>
      <c r="K2207" s="8">
        <f>IF(AND(Таблицаx_2[[#This Row],[Месяц окончания]]=Таблицаx_2[[#This Row],[Месяц]],Таблицаx_2[[#This Row],[id]]=A2208,EDATE(Таблицаx_2[[#This Row],[Месяц]],2)=D2208),F2208,0)</f>
        <v>0</v>
      </c>
    </row>
    <row r="2208" spans="1:11" ht="12.75" hidden="1" customHeight="1" x14ac:dyDescent="0.2">
      <c r="A2208" s="8">
        <v>190</v>
      </c>
      <c r="B2208" s="8"/>
      <c r="C2208" s="8" t="s">
        <v>4</v>
      </c>
      <c r="D2208" s="12">
        <v>44986</v>
      </c>
      <c r="E2208" s="8">
        <v>150220</v>
      </c>
      <c r="F2208" s="10">
        <f>IF(ISTEXT(Таблицаx_2[[#This Row],[Значение]]), 0, Таблицаx_2[[#This Row],[Значение]])</f>
        <v>150220</v>
      </c>
      <c r="G2208" s="12">
        <v>44958</v>
      </c>
      <c r="H2208" s="10" t="str">
        <f>IFERROR(VLOOKUP(Таблицаx_2[[#This Row],[id]],prolongations!A:C,2,)," ")</f>
        <v>февраль 2023</v>
      </c>
      <c r="I2208" s="10">
        <f>IF(Таблицаx_2[[#This Row],[Месяц окончания]]=Таблицаx_2[[#This Row],[Месяц]],Таблицаx_2[[#This Row],[Значения числа]],0)</f>
        <v>0</v>
      </c>
      <c r="J2208" s="8">
        <f>IF(AND(Таблицаx_2[[#This Row],[Месяц окончания]]=Таблицаx_2[[#This Row],[Месяц]],Таблицаx_2[[#This Row],[id]]=A2209,EDATE(Таблицаx_2[[#This Row],[Месяц]],1)=D2209),F2209,0)</f>
        <v>0</v>
      </c>
      <c r="K2208" s="8">
        <f>IF(AND(Таблицаx_2[[#This Row],[Месяц окончания]]=Таблицаx_2[[#This Row],[Месяц]],Таблицаx_2[[#This Row],[id]]=A2209,EDATE(Таблицаx_2[[#This Row],[Месяц]],2)=D2209),F2209,0)</f>
        <v>0</v>
      </c>
    </row>
    <row r="2209" spans="1:11" ht="12.75" hidden="1" customHeight="1" x14ac:dyDescent="0.2">
      <c r="A2209" s="8">
        <v>190</v>
      </c>
      <c r="B2209" s="8"/>
      <c r="C2209" s="8" t="s">
        <v>4</v>
      </c>
      <c r="D2209" s="12">
        <v>45017</v>
      </c>
      <c r="E2209" s="8">
        <v>148220</v>
      </c>
      <c r="F2209" s="10">
        <f>IF(ISTEXT(Таблицаx_2[[#This Row],[Значение]]), 0, Таблицаx_2[[#This Row],[Значение]])</f>
        <v>148220</v>
      </c>
      <c r="G2209" s="12">
        <v>44958</v>
      </c>
      <c r="H2209" s="10" t="str">
        <f>IFERROR(VLOOKUP(Таблицаx_2[[#This Row],[id]],prolongations!A:C,2,)," ")</f>
        <v>февраль 2023</v>
      </c>
      <c r="I2209" s="10">
        <f>IF(Таблицаx_2[[#This Row],[Месяц окончания]]=Таблицаx_2[[#This Row],[Месяц]],Таблицаx_2[[#This Row],[Значения числа]],0)</f>
        <v>0</v>
      </c>
      <c r="J2209" s="8">
        <f>IF(AND(Таблицаx_2[[#This Row],[Месяц окончания]]=Таблицаx_2[[#This Row],[Месяц]],Таблицаx_2[[#This Row],[id]]=A2210,EDATE(Таблицаx_2[[#This Row],[Месяц]],1)=D2210),F2210,0)</f>
        <v>0</v>
      </c>
      <c r="K2209" s="8">
        <f>IF(AND(Таблицаx_2[[#This Row],[Месяц окончания]]=Таблицаx_2[[#This Row],[Месяц]],Таблицаx_2[[#This Row],[id]]=A2210,EDATE(Таблицаx_2[[#This Row],[Месяц]],2)=D2210),F2210,0)</f>
        <v>0</v>
      </c>
    </row>
    <row r="2210" spans="1:11" ht="12.75" hidden="1" customHeight="1" x14ac:dyDescent="0.2">
      <c r="A2210" s="8">
        <v>190</v>
      </c>
      <c r="B2210" s="8"/>
      <c r="C2210" s="8" t="s">
        <v>4</v>
      </c>
      <c r="D2210" s="12">
        <v>45047</v>
      </c>
      <c r="E2210" s="8">
        <v>152695</v>
      </c>
      <c r="F2210" s="10">
        <f>IF(ISTEXT(Таблицаx_2[[#This Row],[Значение]]), 0, Таблицаx_2[[#This Row],[Значение]])</f>
        <v>152695</v>
      </c>
      <c r="G2210" s="12">
        <v>44958</v>
      </c>
      <c r="H2210" s="10" t="str">
        <f>IFERROR(VLOOKUP(Таблицаx_2[[#This Row],[id]],prolongations!A:C,2,)," ")</f>
        <v>февраль 2023</v>
      </c>
      <c r="I2210" s="10">
        <f>IF(Таблицаx_2[[#This Row],[Месяц окончания]]=Таблицаx_2[[#This Row],[Месяц]],Таблицаx_2[[#This Row],[Значения числа]],0)</f>
        <v>0</v>
      </c>
      <c r="J2210" s="8">
        <f>IF(AND(Таблицаx_2[[#This Row],[Месяц окончания]]=Таблицаx_2[[#This Row],[Месяц]],Таблицаx_2[[#This Row],[id]]=A2211,EDATE(Таблицаx_2[[#This Row],[Месяц]],1)=D2211),F2211,0)</f>
        <v>0</v>
      </c>
      <c r="K2210" s="8">
        <f>IF(AND(Таблицаx_2[[#This Row],[Месяц окончания]]=Таблицаx_2[[#This Row],[Месяц]],Таблицаx_2[[#This Row],[id]]=A2211,EDATE(Таблицаx_2[[#This Row],[Месяц]],2)=D2211),F2211,0)</f>
        <v>0</v>
      </c>
    </row>
    <row r="2211" spans="1:11" ht="12.75" hidden="1" customHeight="1" x14ac:dyDescent="0.2">
      <c r="A2211" s="8">
        <v>190</v>
      </c>
      <c r="B2211" s="8"/>
      <c r="C2211" s="8" t="s">
        <v>4</v>
      </c>
      <c r="D2211" s="12">
        <v>45078</v>
      </c>
      <c r="E2211" s="8">
        <v>152695</v>
      </c>
      <c r="F2211" s="10">
        <f>IF(ISTEXT(Таблицаx_2[[#This Row],[Значение]]), 0, Таблицаx_2[[#This Row],[Значение]])</f>
        <v>152695</v>
      </c>
      <c r="G2211" s="12">
        <v>44958</v>
      </c>
      <c r="H2211" s="10" t="str">
        <f>IFERROR(VLOOKUP(Таблицаx_2[[#This Row],[id]],prolongations!A:C,2,)," ")</f>
        <v>февраль 2023</v>
      </c>
      <c r="I2211" s="10">
        <f>IF(Таблицаx_2[[#This Row],[Месяц окончания]]=Таблицаx_2[[#This Row],[Месяц]],Таблицаx_2[[#This Row],[Значения числа]],0)</f>
        <v>0</v>
      </c>
      <c r="J2211" s="8">
        <f>IF(AND(Таблицаx_2[[#This Row],[Месяц окончания]]=Таблицаx_2[[#This Row],[Месяц]],Таблицаx_2[[#This Row],[id]]=A2212,EDATE(Таблицаx_2[[#This Row],[Месяц]],1)=D2212),F2212,0)</f>
        <v>0</v>
      </c>
      <c r="K2211" s="8">
        <f>IF(AND(Таблицаx_2[[#This Row],[Месяц окончания]]=Таблицаx_2[[#This Row],[Месяц]],Таблицаx_2[[#This Row],[id]]=A2212,EDATE(Таблицаx_2[[#This Row],[Месяц]],2)=D2212),F2212,0)</f>
        <v>0</v>
      </c>
    </row>
    <row r="2212" spans="1:11" ht="12.75" hidden="1" customHeight="1" x14ac:dyDescent="0.2">
      <c r="A2212" s="8">
        <v>190</v>
      </c>
      <c r="B2212" s="8"/>
      <c r="C2212" s="8" t="s">
        <v>4</v>
      </c>
      <c r="D2212" s="12">
        <v>45108</v>
      </c>
      <c r="E2212" s="8">
        <v>152695</v>
      </c>
      <c r="F2212" s="10">
        <f>IF(ISTEXT(Таблицаx_2[[#This Row],[Значение]]), 0, Таблицаx_2[[#This Row],[Значение]])</f>
        <v>152695</v>
      </c>
      <c r="G2212" s="12">
        <v>44958</v>
      </c>
      <c r="H2212" s="10" t="str">
        <f>IFERROR(VLOOKUP(Таблицаx_2[[#This Row],[id]],prolongations!A:C,2,)," ")</f>
        <v>февраль 2023</v>
      </c>
      <c r="I2212" s="10">
        <f>IF(Таблицаx_2[[#This Row],[Месяц окончания]]=Таблицаx_2[[#This Row],[Месяц]],Таблицаx_2[[#This Row],[Значения числа]],0)</f>
        <v>0</v>
      </c>
      <c r="J2212" s="8">
        <f>IF(AND(Таблицаx_2[[#This Row],[Месяц окончания]]=Таблицаx_2[[#This Row],[Месяц]],Таблицаx_2[[#This Row],[id]]=A2213,EDATE(Таблицаx_2[[#This Row],[Месяц]],1)=D2213),F2213,0)</f>
        <v>0</v>
      </c>
      <c r="K2212" s="8">
        <f>IF(AND(Таблицаx_2[[#This Row],[Месяц окончания]]=Таблицаx_2[[#This Row],[Месяц]],Таблицаx_2[[#This Row],[id]]=A2213,EDATE(Таблицаx_2[[#This Row],[Месяц]],2)=D2213),F2213,0)</f>
        <v>0</v>
      </c>
    </row>
    <row r="2213" spans="1:11" ht="12.75" hidden="1" customHeight="1" x14ac:dyDescent="0.2">
      <c r="A2213" s="8">
        <v>190</v>
      </c>
      <c r="B2213" s="8"/>
      <c r="C2213" s="8" t="s">
        <v>4</v>
      </c>
      <c r="D2213" s="12">
        <v>45139</v>
      </c>
      <c r="E2213" s="8">
        <v>152970</v>
      </c>
      <c r="F2213" s="10">
        <f>IF(ISTEXT(Таблицаx_2[[#This Row],[Значение]]), 0, Таблицаx_2[[#This Row],[Значение]])</f>
        <v>152970</v>
      </c>
      <c r="G2213" s="12">
        <v>44958</v>
      </c>
      <c r="H2213" s="10" t="str">
        <f>IFERROR(VLOOKUP(Таблицаx_2[[#This Row],[id]],prolongations!A:C,2,)," ")</f>
        <v>февраль 2023</v>
      </c>
      <c r="I2213" s="10">
        <f>IF(Таблицаx_2[[#This Row],[Месяц окончания]]=Таблицаx_2[[#This Row],[Месяц]],Таблицаx_2[[#This Row],[Значения числа]],0)</f>
        <v>0</v>
      </c>
      <c r="J2213" s="8">
        <f>IF(AND(Таблицаx_2[[#This Row],[Месяц окончания]]=Таблицаx_2[[#This Row],[Месяц]],Таблицаx_2[[#This Row],[id]]=A2214,EDATE(Таблицаx_2[[#This Row],[Месяц]],1)=D2214),F2214,0)</f>
        <v>0</v>
      </c>
      <c r="K2213" s="8">
        <f>IF(AND(Таблицаx_2[[#This Row],[Месяц окончания]]=Таблицаx_2[[#This Row],[Месяц]],Таблицаx_2[[#This Row],[id]]=A2214,EDATE(Таблицаx_2[[#This Row],[Месяц]],2)=D2214),F2214,0)</f>
        <v>0</v>
      </c>
    </row>
    <row r="2214" spans="1:11" ht="12.75" hidden="1" customHeight="1" x14ac:dyDescent="0.2">
      <c r="A2214" s="8">
        <v>190</v>
      </c>
      <c r="B2214" s="8"/>
      <c r="C2214" s="8" t="s">
        <v>4</v>
      </c>
      <c r="D2214" s="12">
        <v>45170</v>
      </c>
      <c r="E2214" s="8">
        <v>148815</v>
      </c>
      <c r="F2214" s="10">
        <f>IF(ISTEXT(Таблицаx_2[[#This Row],[Значение]]), 0, Таблицаx_2[[#This Row],[Значение]])</f>
        <v>148815</v>
      </c>
      <c r="G2214" s="12">
        <v>44958</v>
      </c>
      <c r="H2214" s="10" t="str">
        <f>IFERROR(VLOOKUP(Таблицаx_2[[#This Row],[id]],prolongations!A:C,2,)," ")</f>
        <v>февраль 2023</v>
      </c>
      <c r="I2214" s="10">
        <f>IF(Таблицаx_2[[#This Row],[Месяц окончания]]=Таблицаx_2[[#This Row],[Месяц]],Таблицаx_2[[#This Row],[Значения числа]],0)</f>
        <v>0</v>
      </c>
      <c r="J2214" s="8">
        <f>IF(AND(Таблицаx_2[[#This Row],[Месяц окончания]]=Таблицаx_2[[#This Row],[Месяц]],Таблицаx_2[[#This Row],[id]]=A2215,EDATE(Таблицаx_2[[#This Row],[Месяц]],1)=D2215),F2215,0)</f>
        <v>0</v>
      </c>
      <c r="K2214" s="8">
        <f>IF(AND(Таблицаx_2[[#This Row],[Месяц окончания]]=Таблицаx_2[[#This Row],[Месяц]],Таблицаx_2[[#This Row],[id]]=A2215,EDATE(Таблицаx_2[[#This Row],[Месяц]],2)=D2215),F2215,0)</f>
        <v>0</v>
      </c>
    </row>
    <row r="2215" spans="1:11" ht="12.75" hidden="1" customHeight="1" x14ac:dyDescent="0.2">
      <c r="A2215" s="8">
        <v>190</v>
      </c>
      <c r="B2215" s="8"/>
      <c r="C2215" s="8" t="s">
        <v>4</v>
      </c>
      <c r="D2215" s="12">
        <v>45200</v>
      </c>
      <c r="E2215" s="8">
        <v>146475</v>
      </c>
      <c r="F2215" s="10">
        <f>IF(ISTEXT(Таблицаx_2[[#This Row],[Значение]]), 0, Таблицаx_2[[#This Row],[Значение]])</f>
        <v>146475</v>
      </c>
      <c r="G2215" s="12">
        <v>44958</v>
      </c>
      <c r="H2215" s="10" t="str">
        <f>IFERROR(VLOOKUP(Таблицаx_2[[#This Row],[id]],prolongations!A:C,2,)," ")</f>
        <v>февраль 2023</v>
      </c>
      <c r="I2215" s="10">
        <f>IF(Таблицаx_2[[#This Row],[Месяц окончания]]=Таблицаx_2[[#This Row],[Месяц]],Таблицаx_2[[#This Row],[Значения числа]],0)</f>
        <v>0</v>
      </c>
      <c r="J2215" s="8">
        <f>IF(AND(Таблицаx_2[[#This Row],[Месяц окончания]]=Таблицаx_2[[#This Row],[Месяц]],Таблицаx_2[[#This Row],[id]]=A2216,EDATE(Таблицаx_2[[#This Row],[Месяц]],1)=D2216),F2216,0)</f>
        <v>0</v>
      </c>
      <c r="K2215" s="8">
        <f>IF(AND(Таблицаx_2[[#This Row],[Месяц окончания]]=Таблицаx_2[[#This Row],[Месяц]],Таблицаx_2[[#This Row],[id]]=A2216,EDATE(Таблицаx_2[[#This Row],[Месяц]],2)=D2216),F2216,0)</f>
        <v>0</v>
      </c>
    </row>
    <row r="2216" spans="1:11" ht="12.75" hidden="1" customHeight="1" x14ac:dyDescent="0.2">
      <c r="A2216" s="8">
        <v>190</v>
      </c>
      <c r="B2216" s="8"/>
      <c r="C2216" s="8" t="s">
        <v>4</v>
      </c>
      <c r="D2216" s="12">
        <v>45231</v>
      </c>
      <c r="E2216" s="8">
        <v>143580</v>
      </c>
      <c r="F2216" s="10">
        <f>IF(ISTEXT(Таблицаx_2[[#This Row],[Значение]]), 0, Таблицаx_2[[#This Row],[Значение]])</f>
        <v>143580</v>
      </c>
      <c r="G2216" s="12">
        <v>44958</v>
      </c>
      <c r="H2216" s="10" t="str">
        <f>IFERROR(VLOOKUP(Таблицаx_2[[#This Row],[id]],prolongations!A:C,2,)," ")</f>
        <v>февраль 2023</v>
      </c>
      <c r="I2216" s="10">
        <f>IF(Таблицаx_2[[#This Row],[Месяц окончания]]=Таблицаx_2[[#This Row],[Месяц]],Таблицаx_2[[#This Row],[Значения числа]],0)</f>
        <v>0</v>
      </c>
      <c r="J2216" s="8">
        <f>IF(AND(Таблицаx_2[[#This Row],[Месяц окончания]]=Таблицаx_2[[#This Row],[Месяц]],Таблицаx_2[[#This Row],[id]]=A2217,EDATE(Таблицаx_2[[#This Row],[Месяц]],1)=D2217),F2217,0)</f>
        <v>0</v>
      </c>
      <c r="K2216" s="8">
        <f>IF(AND(Таблицаx_2[[#This Row],[Месяц окончания]]=Таблицаx_2[[#This Row],[Месяц]],Таблицаx_2[[#This Row],[id]]=A2217,EDATE(Таблицаx_2[[#This Row],[Месяц]],2)=D2217),F2217,0)</f>
        <v>0</v>
      </c>
    </row>
    <row r="2217" spans="1:11" ht="12.75" hidden="1" customHeight="1" x14ac:dyDescent="0.2">
      <c r="A2217" s="8">
        <v>190</v>
      </c>
      <c r="B2217" s="8"/>
      <c r="C2217" s="8" t="s">
        <v>4</v>
      </c>
      <c r="D2217" s="12">
        <v>45261</v>
      </c>
      <c r="E2217" s="8">
        <v>137745</v>
      </c>
      <c r="F2217" s="10">
        <f>IF(ISTEXT(Таблицаx_2[[#This Row],[Значение]]), 0, Таблицаx_2[[#This Row],[Значение]])</f>
        <v>137745</v>
      </c>
      <c r="G2217" s="12">
        <v>44958</v>
      </c>
      <c r="H2217" s="10" t="str">
        <f>IFERROR(VLOOKUP(Таблицаx_2[[#This Row],[id]],prolongations!A:C,2,)," ")</f>
        <v>февраль 2023</v>
      </c>
      <c r="I2217" s="10">
        <f>IF(Таблицаx_2[[#This Row],[Месяц окончания]]=Таблицаx_2[[#This Row],[Месяц]],Таблицаx_2[[#This Row],[Значения числа]],0)</f>
        <v>0</v>
      </c>
      <c r="J2217" s="8">
        <f>IF(AND(Таблицаx_2[[#This Row],[Месяц окончания]]=Таблицаx_2[[#This Row],[Месяц]],Таблицаx_2[[#This Row],[id]]=A2218,EDATE(Таблицаx_2[[#This Row],[Месяц]],1)=D2218),F2218,0)</f>
        <v>0</v>
      </c>
      <c r="K2217" s="8">
        <f>IF(AND(Таблицаx_2[[#This Row],[Месяц окончания]]=Таблицаx_2[[#This Row],[Месяц]],Таблицаx_2[[#This Row],[id]]=A2218,EDATE(Таблицаx_2[[#This Row],[Месяц]],2)=D2218),F2218,0)</f>
        <v>0</v>
      </c>
    </row>
    <row r="2218" spans="1:11" ht="12.75" hidden="1" customHeight="1" x14ac:dyDescent="0.2">
      <c r="A2218" s="8">
        <v>190</v>
      </c>
      <c r="B2218" s="8"/>
      <c r="C2218" s="8" t="s">
        <v>4</v>
      </c>
      <c r="D2218" s="12">
        <v>45292</v>
      </c>
      <c r="E2218" s="8">
        <v>104025</v>
      </c>
      <c r="F2218" s="10">
        <f>IF(ISTEXT(Таблицаx_2[[#This Row],[Значение]]), 0, Таблицаx_2[[#This Row],[Значение]])</f>
        <v>104025</v>
      </c>
      <c r="G2218" s="12">
        <v>44958</v>
      </c>
      <c r="H2218" s="10" t="str">
        <f>IFERROR(VLOOKUP(Таблицаx_2[[#This Row],[id]],prolongations!A:C,2,)," ")</f>
        <v>февраль 2023</v>
      </c>
      <c r="I2218" s="10">
        <f>IF(Таблицаx_2[[#This Row],[Месяц окончания]]=Таблицаx_2[[#This Row],[Месяц]],Таблицаx_2[[#This Row],[Значения числа]],0)</f>
        <v>0</v>
      </c>
      <c r="J2218" s="8">
        <f>IF(AND(Таблицаx_2[[#This Row],[Месяц окончания]]=Таблицаx_2[[#This Row],[Месяц]],Таблицаx_2[[#This Row],[id]]=A2219,EDATE(Таблицаx_2[[#This Row],[Месяц]],1)=D2219),F2219,0)</f>
        <v>0</v>
      </c>
      <c r="K2218" s="8">
        <f>IF(AND(Таблицаx_2[[#This Row],[Месяц окончания]]=Таблицаx_2[[#This Row],[Месяц]],Таблицаx_2[[#This Row],[id]]=A2219,EDATE(Таблицаx_2[[#This Row],[Месяц]],2)=D2219),F2219,0)</f>
        <v>0</v>
      </c>
    </row>
    <row r="2219" spans="1:11" ht="12.75" hidden="1" customHeight="1" x14ac:dyDescent="0.2">
      <c r="A2219" s="8">
        <v>190</v>
      </c>
      <c r="B2219" s="8"/>
      <c r="C2219" s="8" t="s">
        <v>4</v>
      </c>
      <c r="D2219" s="12">
        <v>45323</v>
      </c>
      <c r="E2219" s="8">
        <v>123810</v>
      </c>
      <c r="F2219" s="10">
        <f>IF(ISTEXT(Таблицаx_2[[#This Row],[Значение]]), 0, Таблицаx_2[[#This Row],[Значение]])</f>
        <v>123810</v>
      </c>
      <c r="G2219" s="12">
        <v>44958</v>
      </c>
      <c r="H2219" s="10" t="str">
        <f>IFERROR(VLOOKUP(Таблицаx_2[[#This Row],[id]],prolongations!A:C,2,)," ")</f>
        <v>февраль 2023</v>
      </c>
      <c r="I2219" s="10">
        <f>IF(Таблицаx_2[[#This Row],[Месяц окончания]]=Таблицаx_2[[#This Row],[Месяц]],Таблицаx_2[[#This Row],[Значения числа]],0)</f>
        <v>0</v>
      </c>
      <c r="J2219" s="8">
        <f>IF(AND(Таблицаx_2[[#This Row],[Месяц окончания]]=Таблицаx_2[[#This Row],[Месяц]],Таблицаx_2[[#This Row],[id]]=A2220,EDATE(Таблицаx_2[[#This Row],[Месяц]],1)=D2220),F2220,0)</f>
        <v>0</v>
      </c>
      <c r="K2219" s="8">
        <f>IF(AND(Таблицаx_2[[#This Row],[Месяц окончания]]=Таблицаx_2[[#This Row],[Месяц]],Таблицаx_2[[#This Row],[id]]=A2220,EDATE(Таблицаx_2[[#This Row],[Месяц]],2)=D2220),F2220,0)</f>
        <v>0</v>
      </c>
    </row>
    <row r="2220" spans="1:11" ht="12.75" hidden="1" customHeight="1" x14ac:dyDescent="0.2">
      <c r="A2220" s="8">
        <v>196</v>
      </c>
      <c r="B2220" s="8"/>
      <c r="C2220" s="8" t="s">
        <v>11</v>
      </c>
      <c r="D2220" s="12">
        <v>44866</v>
      </c>
      <c r="E2220" s="8">
        <v>53400</v>
      </c>
      <c r="F2220" s="10">
        <f>IF(ISTEXT(Таблицаx_2[[#This Row],[Значение]]), 0, Таблицаx_2[[#This Row],[Значение]])</f>
        <v>53400</v>
      </c>
      <c r="G2220" s="12">
        <v>44896</v>
      </c>
      <c r="H2220" s="10" t="str">
        <f>IFERROR(VLOOKUP(Таблицаx_2[[#This Row],[id]],prolongations!A:C,2,)," ")</f>
        <v>декабрь 2022</v>
      </c>
      <c r="I2220" s="10">
        <f>IF(Таблицаx_2[[#This Row],[Месяц окончания]]=Таблицаx_2[[#This Row],[Месяц]],Таблицаx_2[[#This Row],[Значения числа]],0)</f>
        <v>0</v>
      </c>
      <c r="J2220" s="8">
        <f>IF(AND(Таблицаx_2[[#This Row],[Месяц окончания]]=Таблицаx_2[[#This Row],[Месяц]],Таблицаx_2[[#This Row],[id]]=A2221,EDATE(Таблицаx_2[[#This Row],[Месяц]],1)=D2221),F2221,0)</f>
        <v>0</v>
      </c>
      <c r="K2220" s="8">
        <f>IF(AND(Таблицаx_2[[#This Row],[Месяц окончания]]=Таблицаx_2[[#This Row],[Месяц]],Таблицаx_2[[#This Row],[id]]=A2221,EDATE(Таблицаx_2[[#This Row],[Месяц]],2)=D2221),F2221,0)</f>
        <v>0</v>
      </c>
    </row>
    <row r="2221" spans="1:11" hidden="1" x14ac:dyDescent="0.2">
      <c r="A2221" s="8">
        <v>196</v>
      </c>
      <c r="B2221" s="8"/>
      <c r="C2221" s="8" t="s">
        <v>11</v>
      </c>
      <c r="D2221" s="12">
        <v>44896</v>
      </c>
      <c r="E2221" s="8">
        <v>48400</v>
      </c>
      <c r="F2221" s="10">
        <f>IF(ISTEXT(Таблицаx_2[[#This Row],[Значение]]), 0, Таблицаx_2[[#This Row],[Значение]])</f>
        <v>48400</v>
      </c>
      <c r="G2221" s="12">
        <v>44896</v>
      </c>
      <c r="H2221" s="10" t="str">
        <f>IFERROR(VLOOKUP(Таблицаx_2[[#This Row],[id]],prolongations!A:C,2,)," ")</f>
        <v>декабрь 2022</v>
      </c>
      <c r="I2221" s="10">
        <f>IF(Таблицаx_2[[#This Row],[Месяц окончания]]=Таблицаx_2[[#This Row],[Месяц]],Таблицаx_2[[#This Row],[Значения числа]],0)</f>
        <v>48400</v>
      </c>
      <c r="J2221" s="8">
        <f>IF(AND(Таблицаx_2[[#This Row],[Месяц окончания]]=Таблицаx_2[[#This Row],[Месяц]],Таблицаx_2[[#This Row],[id]]=A2222,EDATE(Таблицаx_2[[#This Row],[Месяц]],1)=D2222),F2222,0)</f>
        <v>0</v>
      </c>
      <c r="K2221" s="8">
        <f>IF(AND(Таблицаx_2[[#This Row],[Месяц окончания]]=Таблицаx_2[[#This Row],[Месяц]],Таблицаx_2[[#This Row],[id]]=A2222,EDATE(Таблицаx_2[[#This Row],[Месяц]],2)=D2222),F2222,0)</f>
        <v>49350</v>
      </c>
    </row>
    <row r="2222" spans="1:11" ht="12.75" hidden="1" customHeight="1" x14ac:dyDescent="0.2">
      <c r="A2222" s="8">
        <v>196</v>
      </c>
      <c r="B2222" s="8"/>
      <c r="C2222" s="8" t="s">
        <v>11</v>
      </c>
      <c r="D2222" s="12">
        <v>44958</v>
      </c>
      <c r="E2222" s="8">
        <v>49350</v>
      </c>
      <c r="F2222" s="10">
        <f>IF(ISTEXT(Таблицаx_2[[#This Row],[Значение]]), 0, Таблицаx_2[[#This Row],[Значение]])</f>
        <v>49350</v>
      </c>
      <c r="G2222" s="12">
        <v>44896</v>
      </c>
      <c r="H2222" s="10" t="str">
        <f>IFERROR(VLOOKUP(Таблицаx_2[[#This Row],[id]],prolongations!A:C,2,)," ")</f>
        <v>декабрь 2022</v>
      </c>
      <c r="I2222" s="10">
        <f>IF(Таблицаx_2[[#This Row],[Месяц окончания]]=Таблицаx_2[[#This Row],[Месяц]],Таблицаx_2[[#This Row],[Значения числа]],0)</f>
        <v>0</v>
      </c>
      <c r="J2222" s="8">
        <f>IF(AND(Таблицаx_2[[#This Row],[Месяц окончания]]=Таблицаx_2[[#This Row],[Месяц]],Таблицаx_2[[#This Row],[id]]=A2223,EDATE(Таблицаx_2[[#This Row],[Месяц]],1)=D2223),F2223,0)</f>
        <v>0</v>
      </c>
      <c r="K2222" s="8">
        <f>IF(AND(Таблицаx_2[[#This Row],[Месяц окончания]]=Таблицаx_2[[#This Row],[Месяц]],Таблицаx_2[[#This Row],[id]]=A2223,EDATE(Таблицаx_2[[#This Row],[Месяц]],2)=D2223),F2223,0)</f>
        <v>0</v>
      </c>
    </row>
    <row r="2223" spans="1:11" ht="12.75" hidden="1" customHeight="1" x14ac:dyDescent="0.2">
      <c r="A2223" s="8">
        <v>196</v>
      </c>
      <c r="B2223" s="8"/>
      <c r="C2223" s="8" t="s">
        <v>11</v>
      </c>
      <c r="D2223" s="12">
        <v>44986</v>
      </c>
      <c r="E2223" s="8">
        <v>54625</v>
      </c>
      <c r="F2223" s="10">
        <f>IF(ISTEXT(Таблицаx_2[[#This Row],[Значение]]), 0, Таблицаx_2[[#This Row],[Значение]])</f>
        <v>54625</v>
      </c>
      <c r="G2223" s="12">
        <v>44896</v>
      </c>
      <c r="H2223" s="10" t="str">
        <f>IFERROR(VLOOKUP(Таблицаx_2[[#This Row],[id]],prolongations!A:C,2,)," ")</f>
        <v>декабрь 2022</v>
      </c>
      <c r="I2223" s="10">
        <f>IF(Таблицаx_2[[#This Row],[Месяц окончания]]=Таблицаx_2[[#This Row],[Месяц]],Таблицаx_2[[#This Row],[Значения числа]],0)</f>
        <v>0</v>
      </c>
      <c r="J2223" s="8">
        <f>IF(AND(Таблицаx_2[[#This Row],[Месяц окончания]]=Таблицаx_2[[#This Row],[Месяц]],Таблицаx_2[[#This Row],[id]]=A2224,EDATE(Таблицаx_2[[#This Row],[Месяц]],1)=D2224),F2224,0)</f>
        <v>0</v>
      </c>
      <c r="K2223" s="8">
        <f>IF(AND(Таблицаx_2[[#This Row],[Месяц окончания]]=Таблицаx_2[[#This Row],[Месяц]],Таблицаx_2[[#This Row],[id]]=A2224,EDATE(Таблицаx_2[[#This Row],[Месяц]],2)=D2224),F2224,0)</f>
        <v>0</v>
      </c>
    </row>
    <row r="2224" spans="1:11" ht="12.75" hidden="1" customHeight="1" x14ac:dyDescent="0.2">
      <c r="A2224" s="8">
        <v>196</v>
      </c>
      <c r="B2224" s="8"/>
      <c r="C2224" s="8" t="s">
        <v>11</v>
      </c>
      <c r="D2224" s="12">
        <v>45017</v>
      </c>
      <c r="E2224" s="8">
        <v>55470</v>
      </c>
      <c r="F2224" s="10">
        <f>IF(ISTEXT(Таблицаx_2[[#This Row],[Значение]]), 0, Таблицаx_2[[#This Row],[Значение]])</f>
        <v>55470</v>
      </c>
      <c r="G2224" s="12">
        <v>44896</v>
      </c>
      <c r="H2224" s="10" t="str">
        <f>IFERROR(VLOOKUP(Таблицаx_2[[#This Row],[id]],prolongations!A:C,2,)," ")</f>
        <v>декабрь 2022</v>
      </c>
      <c r="I2224" s="10">
        <f>IF(Таблицаx_2[[#This Row],[Месяц окончания]]=Таблицаx_2[[#This Row],[Месяц]],Таблицаx_2[[#This Row],[Значения числа]],0)</f>
        <v>0</v>
      </c>
      <c r="J2224" s="8">
        <f>IF(AND(Таблицаx_2[[#This Row],[Месяц окончания]]=Таблицаx_2[[#This Row],[Месяц]],Таблицаx_2[[#This Row],[id]]=A2225,EDATE(Таблицаx_2[[#This Row],[Месяц]],1)=D2225),F2225,0)</f>
        <v>0</v>
      </c>
      <c r="K2224" s="8">
        <f>IF(AND(Таблицаx_2[[#This Row],[Месяц окончания]]=Таблицаx_2[[#This Row],[Месяц]],Таблицаx_2[[#This Row],[id]]=A2225,EDATE(Таблицаx_2[[#This Row],[Месяц]],2)=D2225),F2225,0)</f>
        <v>0</v>
      </c>
    </row>
    <row r="2225" spans="1:11" ht="12.75" hidden="1" customHeight="1" x14ac:dyDescent="0.2">
      <c r="A2225" s="8">
        <v>196</v>
      </c>
      <c r="B2225" s="8"/>
      <c r="C2225" s="8" t="s">
        <v>11</v>
      </c>
      <c r="D2225" s="12">
        <v>45047</v>
      </c>
      <c r="E2225" s="8">
        <v>53780</v>
      </c>
      <c r="F2225" s="10">
        <f>IF(ISTEXT(Таблицаx_2[[#This Row],[Значение]]), 0, Таблицаx_2[[#This Row],[Значение]])</f>
        <v>53780</v>
      </c>
      <c r="G2225" s="12">
        <v>44896</v>
      </c>
      <c r="H2225" s="10" t="str">
        <f>IFERROR(VLOOKUP(Таблицаx_2[[#This Row],[id]],prolongations!A:C,2,)," ")</f>
        <v>декабрь 2022</v>
      </c>
      <c r="I2225" s="10">
        <f>IF(Таблицаx_2[[#This Row],[Месяц окончания]]=Таблицаx_2[[#This Row],[Месяц]],Таблицаx_2[[#This Row],[Значения числа]],0)</f>
        <v>0</v>
      </c>
      <c r="J2225" s="8">
        <f>IF(AND(Таблицаx_2[[#This Row],[Месяц окончания]]=Таблицаx_2[[#This Row],[Месяц]],Таблицаx_2[[#This Row],[id]]=A2226,EDATE(Таблицаx_2[[#This Row],[Месяц]],1)=D2226),F2226,0)</f>
        <v>0</v>
      </c>
      <c r="K2225" s="8">
        <f>IF(AND(Таблицаx_2[[#This Row],[Месяц окончания]]=Таблицаx_2[[#This Row],[Месяц]],Таблицаx_2[[#This Row],[id]]=A2226,EDATE(Таблицаx_2[[#This Row],[Месяц]],2)=D2226),F2226,0)</f>
        <v>0</v>
      </c>
    </row>
    <row r="2226" spans="1:11" ht="12.75" hidden="1" customHeight="1" x14ac:dyDescent="0.2">
      <c r="A2226" s="8">
        <v>196</v>
      </c>
      <c r="B2226" s="8"/>
      <c r="C2226" s="8" t="s">
        <v>11</v>
      </c>
      <c r="D2226" s="12">
        <v>45078</v>
      </c>
      <c r="E2226" s="8">
        <v>43230</v>
      </c>
      <c r="F2226" s="10">
        <f>IF(ISTEXT(Таблицаx_2[[#This Row],[Значение]]), 0, Таблицаx_2[[#This Row],[Значение]])</f>
        <v>43230</v>
      </c>
      <c r="G2226" s="12">
        <v>44896</v>
      </c>
      <c r="H2226" s="10" t="str">
        <f>IFERROR(VLOOKUP(Таблицаx_2[[#This Row],[id]],prolongations!A:C,2,)," ")</f>
        <v>декабрь 2022</v>
      </c>
      <c r="I2226" s="10">
        <f>IF(Таблицаx_2[[#This Row],[Месяц окончания]]=Таблицаx_2[[#This Row],[Месяц]],Таблицаx_2[[#This Row],[Значения числа]],0)</f>
        <v>0</v>
      </c>
      <c r="J2226" s="8">
        <f>IF(AND(Таблицаx_2[[#This Row],[Месяц окончания]]=Таблицаx_2[[#This Row],[Месяц]],Таблицаx_2[[#This Row],[id]]=A2227,EDATE(Таблицаx_2[[#This Row],[Месяц]],1)=D2227),F2227,0)</f>
        <v>0</v>
      </c>
      <c r="K2226" s="8">
        <f>IF(AND(Таблицаx_2[[#This Row],[Месяц окончания]]=Таблицаx_2[[#This Row],[Месяц]],Таблицаx_2[[#This Row],[id]]=A2227,EDATE(Таблицаx_2[[#This Row],[Месяц]],2)=D2227),F2227,0)</f>
        <v>0</v>
      </c>
    </row>
    <row r="2227" spans="1:11" ht="12.75" hidden="1" customHeight="1" x14ac:dyDescent="0.2">
      <c r="A2227" s="8">
        <v>196</v>
      </c>
      <c r="B2227" s="8"/>
      <c r="C2227" s="8" t="s">
        <v>11</v>
      </c>
      <c r="D2227" s="12">
        <v>45108</v>
      </c>
      <c r="E2227" s="8">
        <v>43230</v>
      </c>
      <c r="F2227" s="10">
        <f>IF(ISTEXT(Таблицаx_2[[#This Row],[Значение]]), 0, Таблицаx_2[[#This Row],[Значение]])</f>
        <v>43230</v>
      </c>
      <c r="G2227" s="12">
        <v>44896</v>
      </c>
      <c r="H2227" s="10" t="str">
        <f>IFERROR(VLOOKUP(Таблицаx_2[[#This Row],[id]],prolongations!A:C,2,)," ")</f>
        <v>декабрь 2022</v>
      </c>
      <c r="I2227" s="10">
        <f>IF(Таблицаx_2[[#This Row],[Месяц окончания]]=Таблицаx_2[[#This Row],[Месяц]],Таблицаx_2[[#This Row],[Значения числа]],0)</f>
        <v>0</v>
      </c>
      <c r="J2227" s="8">
        <f>IF(AND(Таблицаx_2[[#This Row],[Месяц окончания]]=Таблицаx_2[[#This Row],[Месяц]],Таблицаx_2[[#This Row],[id]]=A2228,EDATE(Таблицаx_2[[#This Row],[Месяц]],1)=D2228),F2228,0)</f>
        <v>0</v>
      </c>
      <c r="K2227" s="8">
        <f>IF(AND(Таблицаx_2[[#This Row],[Месяц окончания]]=Таблицаx_2[[#This Row],[Месяц]],Таблицаx_2[[#This Row],[id]]=A2228,EDATE(Таблицаx_2[[#This Row],[Месяц]],2)=D2228),F2228,0)</f>
        <v>0</v>
      </c>
    </row>
    <row r="2228" spans="1:11" ht="12.75" hidden="1" customHeight="1" x14ac:dyDescent="0.2">
      <c r="A2228" s="8">
        <v>196</v>
      </c>
      <c r="B2228" s="8"/>
      <c r="C2228" s="8" t="s">
        <v>11</v>
      </c>
      <c r="D2228" s="12">
        <v>45139</v>
      </c>
      <c r="E2228" s="8">
        <v>43230</v>
      </c>
      <c r="F2228" s="10">
        <f>IF(ISTEXT(Таблицаx_2[[#This Row],[Значение]]), 0, Таблицаx_2[[#This Row],[Значение]])</f>
        <v>43230</v>
      </c>
      <c r="G2228" s="12">
        <v>44896</v>
      </c>
      <c r="H2228" s="10" t="str">
        <f>IFERROR(VLOOKUP(Таблицаx_2[[#This Row],[id]],prolongations!A:C,2,)," ")</f>
        <v>декабрь 2022</v>
      </c>
      <c r="I2228" s="10">
        <f>IF(Таблицаx_2[[#This Row],[Месяц окончания]]=Таблицаx_2[[#This Row],[Месяц]],Таблицаx_2[[#This Row],[Значения числа]],0)</f>
        <v>0</v>
      </c>
      <c r="J2228" s="8">
        <f>IF(AND(Таблицаx_2[[#This Row],[Месяц окончания]]=Таблицаx_2[[#This Row],[Месяц]],Таблицаx_2[[#This Row],[id]]=A2229,EDATE(Таблицаx_2[[#This Row],[Месяц]],1)=D2229),F2229,0)</f>
        <v>0</v>
      </c>
      <c r="K2228" s="8">
        <f>IF(AND(Таблицаx_2[[#This Row],[Месяц окончания]]=Таблицаx_2[[#This Row],[Месяц]],Таблицаx_2[[#This Row],[id]]=A2229,EDATE(Таблицаx_2[[#This Row],[Месяц]],2)=D2229),F2229,0)</f>
        <v>0</v>
      </c>
    </row>
    <row r="2229" spans="1:11" ht="12.75" hidden="1" customHeight="1" x14ac:dyDescent="0.2">
      <c r="A2229" s="8">
        <v>196</v>
      </c>
      <c r="B2229" s="8"/>
      <c r="C2229" s="8" t="s">
        <v>11</v>
      </c>
      <c r="D2229" s="12">
        <v>45170</v>
      </c>
      <c r="E2229" s="8">
        <v>44075</v>
      </c>
      <c r="F2229" s="10">
        <f>IF(ISTEXT(Таблицаx_2[[#This Row],[Значение]]), 0, Таблицаx_2[[#This Row],[Значение]])</f>
        <v>44075</v>
      </c>
      <c r="G2229" s="12">
        <v>44896</v>
      </c>
      <c r="H2229" s="10" t="str">
        <f>IFERROR(VLOOKUP(Таблицаx_2[[#This Row],[id]],prolongations!A:C,2,)," ")</f>
        <v>декабрь 2022</v>
      </c>
      <c r="I2229" s="10">
        <f>IF(Таблицаx_2[[#This Row],[Месяц окончания]]=Таблицаx_2[[#This Row],[Месяц]],Таблицаx_2[[#This Row],[Значения числа]],0)</f>
        <v>0</v>
      </c>
      <c r="J2229" s="8">
        <f>IF(AND(Таблицаx_2[[#This Row],[Месяц окончания]]=Таблицаx_2[[#This Row],[Месяц]],Таблицаx_2[[#This Row],[id]]=A2230,EDATE(Таблицаx_2[[#This Row],[Месяц]],1)=D2230),F2230,0)</f>
        <v>0</v>
      </c>
      <c r="K2229" s="8">
        <f>IF(AND(Таблицаx_2[[#This Row],[Месяц окончания]]=Таблицаx_2[[#This Row],[Месяц]],Таблицаx_2[[#This Row],[id]]=A2230,EDATE(Таблицаx_2[[#This Row],[Месяц]],2)=D2230),F2230,0)</f>
        <v>0</v>
      </c>
    </row>
    <row r="2230" spans="1:11" ht="12.75" hidden="1" customHeight="1" x14ac:dyDescent="0.2">
      <c r="A2230" s="8">
        <v>196</v>
      </c>
      <c r="B2230" s="8"/>
      <c r="C2230" s="8" t="s">
        <v>11</v>
      </c>
      <c r="D2230" s="12">
        <v>45200</v>
      </c>
      <c r="E2230" s="8">
        <v>55470</v>
      </c>
      <c r="F2230" s="10">
        <f>IF(ISTEXT(Таблицаx_2[[#This Row],[Значение]]), 0, Таблицаx_2[[#This Row],[Значение]])</f>
        <v>55470</v>
      </c>
      <c r="G2230" s="12">
        <v>44896</v>
      </c>
      <c r="H2230" s="10" t="str">
        <f>IFERROR(VLOOKUP(Таблицаx_2[[#This Row],[id]],prolongations!A:C,2,)," ")</f>
        <v>декабрь 2022</v>
      </c>
      <c r="I2230" s="10">
        <f>IF(Таблицаx_2[[#This Row],[Месяц окончания]]=Таблицаx_2[[#This Row],[Месяц]],Таблицаx_2[[#This Row],[Значения числа]],0)</f>
        <v>0</v>
      </c>
      <c r="J2230" s="8">
        <f>IF(AND(Таблицаx_2[[#This Row],[Месяц окончания]]=Таблицаx_2[[#This Row],[Месяц]],Таблицаx_2[[#This Row],[id]]=A2231,EDATE(Таблицаx_2[[#This Row],[Месяц]],1)=D2231),F2231,0)</f>
        <v>0</v>
      </c>
      <c r="K2230" s="8">
        <f>IF(AND(Таблицаx_2[[#This Row],[Месяц окончания]]=Таблицаx_2[[#This Row],[Месяц]],Таблицаx_2[[#This Row],[id]]=A2231,EDATE(Таблицаx_2[[#This Row],[Месяц]],2)=D2231),F2231,0)</f>
        <v>0</v>
      </c>
    </row>
    <row r="2231" spans="1:11" ht="12.75" hidden="1" customHeight="1" x14ac:dyDescent="0.2">
      <c r="A2231" s="8">
        <v>196</v>
      </c>
      <c r="B2231" s="8"/>
      <c r="C2231" s="8" t="s">
        <v>11</v>
      </c>
      <c r="D2231" s="12">
        <v>45231</v>
      </c>
      <c r="E2231" s="8">
        <v>26540</v>
      </c>
      <c r="F2231" s="10">
        <f>IF(ISTEXT(Таблицаx_2[[#This Row],[Значение]]), 0, Таблицаx_2[[#This Row],[Значение]])</f>
        <v>26540</v>
      </c>
      <c r="G2231" s="12">
        <v>44896</v>
      </c>
      <c r="H2231" s="10" t="str">
        <f>IFERROR(VLOOKUP(Таблицаx_2[[#This Row],[id]],prolongations!A:C,2,)," ")</f>
        <v>декабрь 2022</v>
      </c>
      <c r="I2231" s="10">
        <f>IF(Таблицаx_2[[#This Row],[Месяц окончания]]=Таблицаx_2[[#This Row],[Месяц]],Таблицаx_2[[#This Row],[Значения числа]],0)</f>
        <v>0</v>
      </c>
      <c r="J2231" s="8">
        <f>IF(AND(Таблицаx_2[[#This Row],[Месяц окончания]]=Таблицаx_2[[#This Row],[Месяц]],Таблицаx_2[[#This Row],[id]]=A2232,EDATE(Таблицаx_2[[#This Row],[Месяц]],1)=D2232),F2232,0)</f>
        <v>0</v>
      </c>
      <c r="K2231" s="8">
        <f>IF(AND(Таблицаx_2[[#This Row],[Месяц окончания]]=Таблицаx_2[[#This Row],[Месяц]],Таблицаx_2[[#This Row],[id]]=A2232,EDATE(Таблицаx_2[[#This Row],[Месяц]],2)=D2232),F2232,0)</f>
        <v>0</v>
      </c>
    </row>
    <row r="2232" spans="1:11" ht="12.75" hidden="1" customHeight="1" x14ac:dyDescent="0.2">
      <c r="A2232" s="8">
        <v>196</v>
      </c>
      <c r="B2232" s="8"/>
      <c r="C2232" s="8" t="s">
        <v>11</v>
      </c>
      <c r="D2232" s="12">
        <v>45261</v>
      </c>
      <c r="E2232" s="8">
        <v>26540</v>
      </c>
      <c r="F2232" s="10">
        <f>IF(ISTEXT(Таблицаx_2[[#This Row],[Значение]]), 0, Таблицаx_2[[#This Row],[Значение]])</f>
        <v>26540</v>
      </c>
      <c r="G2232" s="12">
        <v>44896</v>
      </c>
      <c r="H2232" s="10" t="str">
        <f>IFERROR(VLOOKUP(Таблицаx_2[[#This Row],[id]],prolongations!A:C,2,)," ")</f>
        <v>декабрь 2022</v>
      </c>
      <c r="I2232" s="10">
        <f>IF(Таблицаx_2[[#This Row],[Месяц окончания]]=Таблицаx_2[[#This Row],[Месяц]],Таблицаx_2[[#This Row],[Значения числа]],0)</f>
        <v>0</v>
      </c>
      <c r="J2232" s="8">
        <f>IF(AND(Таблицаx_2[[#This Row],[Месяц окончания]]=Таблицаx_2[[#This Row],[Месяц]],Таблицаx_2[[#This Row],[id]]=A2233,EDATE(Таблицаx_2[[#This Row],[Месяц]],1)=D2233),F2233,0)</f>
        <v>0</v>
      </c>
      <c r="K2232" s="8">
        <f>IF(AND(Таблицаx_2[[#This Row],[Месяц окончания]]=Таблицаx_2[[#This Row],[Месяц]],Таблицаx_2[[#This Row],[id]]=A2233,EDATE(Таблицаx_2[[#This Row],[Месяц]],2)=D2233),F2233,0)</f>
        <v>0</v>
      </c>
    </row>
    <row r="2233" spans="1:11" ht="12.75" hidden="1" customHeight="1" x14ac:dyDescent="0.2">
      <c r="A2233" s="8">
        <v>645</v>
      </c>
      <c r="B2233" s="8"/>
      <c r="C2233" s="8" t="s">
        <v>11</v>
      </c>
      <c r="D2233" s="12">
        <v>44866</v>
      </c>
      <c r="E2233" s="8">
        <v>58060</v>
      </c>
      <c r="F2233" s="10">
        <f>IF(ISTEXT(Таблицаx_2[[#This Row],[Значение]]), 0, Таблицаx_2[[#This Row],[Значение]])</f>
        <v>58060</v>
      </c>
      <c r="G2233" s="12">
        <v>44866</v>
      </c>
      <c r="H2233" s="10" t="str">
        <f>IFERROR(VLOOKUP(Таблицаx_2[[#This Row],[id]],prolongations!A:C,2,)," ")</f>
        <v>ноябрь 2022</v>
      </c>
      <c r="I2233" s="10">
        <f>IF(Таблицаx_2[[#This Row],[Месяц окончания]]=Таблицаx_2[[#This Row],[Месяц]],Таблицаx_2[[#This Row],[Значения числа]],0)</f>
        <v>58060</v>
      </c>
      <c r="J2233" s="8">
        <f>IF(AND(Таблицаx_2[[#This Row],[Месяц окончания]]=Таблицаx_2[[#This Row],[Месяц]],Таблицаx_2[[#This Row],[id]]=A2234,EDATE(Таблицаx_2[[#This Row],[Месяц]],1)=D2234),F2234,0)</f>
        <v>46135</v>
      </c>
      <c r="K2233" s="8">
        <f>IF(AND(Таблицаx_2[[#This Row],[Месяц окончания]]=Таблицаx_2[[#This Row],[Месяц]],Таблицаx_2[[#This Row],[id]]=A2234,EDATE(Таблицаx_2[[#This Row],[Месяц]],2)=D2234),F2234,0)</f>
        <v>0</v>
      </c>
    </row>
    <row r="2234" spans="1:11" ht="12.75" hidden="1" customHeight="1" x14ac:dyDescent="0.2">
      <c r="A2234" s="8">
        <v>645</v>
      </c>
      <c r="B2234" s="8"/>
      <c r="C2234" s="8" t="s">
        <v>11</v>
      </c>
      <c r="D2234" s="12">
        <v>44896</v>
      </c>
      <c r="E2234" s="8">
        <v>46135</v>
      </c>
      <c r="F2234" s="10">
        <f>IF(ISTEXT(Таблицаx_2[[#This Row],[Значение]]), 0, Таблицаx_2[[#This Row],[Значение]])</f>
        <v>46135</v>
      </c>
      <c r="G2234" s="12">
        <v>44866</v>
      </c>
      <c r="H2234" s="10" t="str">
        <f>IFERROR(VLOOKUP(Таблицаx_2[[#This Row],[id]],prolongations!A:C,2,)," ")</f>
        <v>ноябрь 2022</v>
      </c>
      <c r="I2234" s="10">
        <f>IF(Таблицаx_2[[#This Row],[Месяц окончания]]=Таблицаx_2[[#This Row],[Месяц]],Таблицаx_2[[#This Row],[Значения числа]],0)</f>
        <v>0</v>
      </c>
      <c r="J2234" s="8">
        <f>IF(AND(Таблицаx_2[[#This Row],[Месяц окончания]]=Таблицаx_2[[#This Row],[Месяц]],Таблицаx_2[[#This Row],[id]]=A2235,EDATE(Таблицаx_2[[#This Row],[Месяц]],1)=D2235),F2235,0)</f>
        <v>0</v>
      </c>
      <c r="K2234" s="8">
        <f>IF(AND(Таблицаx_2[[#This Row],[Месяц окончания]]=Таблицаx_2[[#This Row],[Месяц]],Таблицаx_2[[#This Row],[id]]=A2235,EDATE(Таблицаx_2[[#This Row],[Месяц]],2)=D2235),F2235,0)</f>
        <v>0</v>
      </c>
    </row>
    <row r="2235" spans="1:11" ht="12.75" hidden="1" customHeight="1" x14ac:dyDescent="0.2">
      <c r="A2235" s="8">
        <v>645</v>
      </c>
      <c r="B2235" s="8"/>
      <c r="C2235" s="8" t="s">
        <v>11</v>
      </c>
      <c r="D2235" s="12">
        <v>44958</v>
      </c>
      <c r="E2235" s="8">
        <v>36590</v>
      </c>
      <c r="F2235" s="10">
        <f>IF(ISTEXT(Таблицаx_2[[#This Row],[Значение]]), 0, Таблицаx_2[[#This Row],[Значение]])</f>
        <v>36590</v>
      </c>
      <c r="G2235" s="12">
        <v>44866</v>
      </c>
      <c r="H2235" s="10" t="str">
        <f>IFERROR(VLOOKUP(Таблицаx_2[[#This Row],[id]],prolongations!A:C,2,)," ")</f>
        <v>ноябрь 2022</v>
      </c>
      <c r="I2235" s="10">
        <f>IF(Таблицаx_2[[#This Row],[Месяц окончания]]=Таблицаx_2[[#This Row],[Месяц]],Таблицаx_2[[#This Row],[Значения числа]],0)</f>
        <v>0</v>
      </c>
      <c r="J2235" s="8">
        <f>IF(AND(Таблицаx_2[[#This Row],[Месяц окончания]]=Таблицаx_2[[#This Row],[Месяц]],Таблицаx_2[[#This Row],[id]]=A2236,EDATE(Таблицаx_2[[#This Row],[Месяц]],1)=D2236),F2236,0)</f>
        <v>0</v>
      </c>
      <c r="K2235" s="8">
        <f>IF(AND(Таблицаx_2[[#This Row],[Месяц окончания]]=Таблицаx_2[[#This Row],[Месяц]],Таблицаx_2[[#This Row],[id]]=A2236,EDATE(Таблицаx_2[[#This Row],[Месяц]],2)=D2236),F2236,0)</f>
        <v>0</v>
      </c>
    </row>
    <row r="2236" spans="1:11" ht="12.75" hidden="1" customHeight="1" x14ac:dyDescent="0.2">
      <c r="A2236" s="8">
        <v>645</v>
      </c>
      <c r="B2236" s="8"/>
      <c r="C2236" s="8" t="s">
        <v>11</v>
      </c>
      <c r="D2236" s="12">
        <v>44986</v>
      </c>
      <c r="E2236" s="8">
        <v>38000</v>
      </c>
      <c r="F2236" s="10">
        <f>IF(ISTEXT(Таблицаx_2[[#This Row],[Значение]]), 0, Таблицаx_2[[#This Row],[Значение]])</f>
        <v>38000</v>
      </c>
      <c r="G2236" s="12">
        <v>44866</v>
      </c>
      <c r="H2236" s="10" t="str">
        <f>IFERROR(VLOOKUP(Таблицаx_2[[#This Row],[id]],prolongations!A:C,2,)," ")</f>
        <v>ноябрь 2022</v>
      </c>
      <c r="I2236" s="10">
        <f>IF(Таблицаx_2[[#This Row],[Месяц окончания]]=Таблицаx_2[[#This Row],[Месяц]],Таблицаx_2[[#This Row],[Значения числа]],0)</f>
        <v>0</v>
      </c>
      <c r="J2236" s="8">
        <f>IF(AND(Таблицаx_2[[#This Row],[Месяц окончания]]=Таблицаx_2[[#This Row],[Месяц]],Таблицаx_2[[#This Row],[id]]=A2237,EDATE(Таблицаx_2[[#This Row],[Месяц]],1)=D2237),F2237,0)</f>
        <v>0</v>
      </c>
      <c r="K2236" s="8">
        <f>IF(AND(Таблицаx_2[[#This Row],[Месяц окончания]]=Таблицаx_2[[#This Row],[Месяц]],Таблицаx_2[[#This Row],[id]]=A2237,EDATE(Таблицаx_2[[#This Row],[Месяц]],2)=D2237),F2237,0)</f>
        <v>0</v>
      </c>
    </row>
    <row r="2237" spans="1:11" ht="12.75" hidden="1" customHeight="1" x14ac:dyDescent="0.2">
      <c r="A2237" s="8">
        <v>645</v>
      </c>
      <c r="B2237" s="8"/>
      <c r="C2237" s="8" t="s">
        <v>11</v>
      </c>
      <c r="D2237" s="12">
        <v>45017</v>
      </c>
      <c r="E2237" s="8">
        <v>36010</v>
      </c>
      <c r="F2237" s="10">
        <f>IF(ISTEXT(Таблицаx_2[[#This Row],[Значение]]), 0, Таблицаx_2[[#This Row],[Значение]])</f>
        <v>36010</v>
      </c>
      <c r="G2237" s="12">
        <v>44866</v>
      </c>
      <c r="H2237" s="10" t="str">
        <f>IFERROR(VLOOKUP(Таблицаx_2[[#This Row],[id]],prolongations!A:C,2,)," ")</f>
        <v>ноябрь 2022</v>
      </c>
      <c r="I2237" s="10">
        <f>IF(Таблицаx_2[[#This Row],[Месяц окончания]]=Таблицаx_2[[#This Row],[Месяц]],Таблицаx_2[[#This Row],[Значения числа]],0)</f>
        <v>0</v>
      </c>
      <c r="J2237" s="8">
        <f>IF(AND(Таблицаx_2[[#This Row],[Месяц окончания]]=Таблицаx_2[[#This Row],[Месяц]],Таблицаx_2[[#This Row],[id]]=A2238,EDATE(Таблицаx_2[[#This Row],[Месяц]],1)=D2238),F2238,0)</f>
        <v>0</v>
      </c>
      <c r="K2237" s="8">
        <f>IF(AND(Таблицаx_2[[#This Row],[Месяц окончания]]=Таблицаx_2[[#This Row],[Месяц]],Таблицаx_2[[#This Row],[id]]=A2238,EDATE(Таблицаx_2[[#This Row],[Месяц]],2)=D2238),F2238,0)</f>
        <v>0</v>
      </c>
    </row>
    <row r="2238" spans="1:11" ht="12.75" hidden="1" customHeight="1" x14ac:dyDescent="0.2">
      <c r="A2238" s="8">
        <v>645</v>
      </c>
      <c r="B2238" s="8"/>
      <c r="C2238" s="8" t="s">
        <v>11</v>
      </c>
      <c r="D2238" s="12">
        <v>45047</v>
      </c>
      <c r="E2238" s="8">
        <v>41225</v>
      </c>
      <c r="F2238" s="10">
        <f>IF(ISTEXT(Таблицаx_2[[#This Row],[Значение]]), 0, Таблицаx_2[[#This Row],[Значение]])</f>
        <v>41225</v>
      </c>
      <c r="G2238" s="12">
        <v>44866</v>
      </c>
      <c r="H2238" s="10" t="str">
        <f>IFERROR(VLOOKUP(Таблицаx_2[[#This Row],[id]],prolongations!A:C,2,)," ")</f>
        <v>ноябрь 2022</v>
      </c>
      <c r="I2238" s="10">
        <f>IF(Таблицаx_2[[#This Row],[Месяц окончания]]=Таблицаx_2[[#This Row],[Месяц]],Таблицаx_2[[#This Row],[Значения числа]],0)</f>
        <v>0</v>
      </c>
      <c r="J2238" s="8">
        <f>IF(AND(Таблицаx_2[[#This Row],[Месяц окончания]]=Таблицаx_2[[#This Row],[Месяц]],Таблицаx_2[[#This Row],[id]]=A2239,EDATE(Таблицаx_2[[#This Row],[Месяц]],1)=D2239),F2239,0)</f>
        <v>0</v>
      </c>
      <c r="K2238" s="8">
        <f>IF(AND(Таблицаx_2[[#This Row],[Месяц окончания]]=Таблицаx_2[[#This Row],[Месяц]],Таблицаx_2[[#This Row],[id]]=A2239,EDATE(Таблицаx_2[[#This Row],[Месяц]],2)=D2239),F2239,0)</f>
        <v>0</v>
      </c>
    </row>
    <row r="2239" spans="1:11" ht="12.75" hidden="1" customHeight="1" x14ac:dyDescent="0.2">
      <c r="A2239" s="8">
        <v>645</v>
      </c>
      <c r="B2239" s="8"/>
      <c r="C2239" s="8" t="s">
        <v>11</v>
      </c>
      <c r="D2239" s="12">
        <v>45078</v>
      </c>
      <c r="E2239" s="8">
        <v>37690</v>
      </c>
      <c r="F2239" s="10">
        <f>IF(ISTEXT(Таблицаx_2[[#This Row],[Значение]]), 0, Таблицаx_2[[#This Row],[Значение]])</f>
        <v>37690</v>
      </c>
      <c r="G2239" s="12">
        <v>44866</v>
      </c>
      <c r="H2239" s="10" t="str">
        <f>IFERROR(VLOOKUP(Таблицаx_2[[#This Row],[id]],prolongations!A:C,2,)," ")</f>
        <v>ноябрь 2022</v>
      </c>
      <c r="I2239" s="10">
        <f>IF(Таблицаx_2[[#This Row],[Месяц окончания]]=Таблицаx_2[[#This Row],[Месяц]],Таблицаx_2[[#This Row],[Значения числа]],0)</f>
        <v>0</v>
      </c>
      <c r="J2239" s="8">
        <f>IF(AND(Таблицаx_2[[#This Row],[Месяц окончания]]=Таблицаx_2[[#This Row],[Месяц]],Таблицаx_2[[#This Row],[id]]=A2240,EDATE(Таблицаx_2[[#This Row],[Месяц]],1)=D2240),F2240,0)</f>
        <v>0</v>
      </c>
      <c r="K2239" s="8">
        <f>IF(AND(Таблицаx_2[[#This Row],[Месяц окончания]]=Таблицаx_2[[#This Row],[Месяц]],Таблицаx_2[[#This Row],[id]]=A2240,EDATE(Таблицаx_2[[#This Row],[Месяц]],2)=D2240),F2240,0)</f>
        <v>0</v>
      </c>
    </row>
    <row r="2240" spans="1:11" ht="12.75" hidden="1" customHeight="1" x14ac:dyDescent="0.2">
      <c r="A2240" s="8">
        <v>645</v>
      </c>
      <c r="B2240" s="8"/>
      <c r="C2240" s="8" t="s">
        <v>11</v>
      </c>
      <c r="D2240" s="12">
        <v>45108</v>
      </c>
      <c r="E2240" s="8">
        <v>42755</v>
      </c>
      <c r="F2240" s="10">
        <f>IF(ISTEXT(Таблицаx_2[[#This Row],[Значение]]), 0, Таблицаx_2[[#This Row],[Значение]])</f>
        <v>42755</v>
      </c>
      <c r="G2240" s="12">
        <v>44866</v>
      </c>
      <c r="H2240" s="10" t="str">
        <f>IFERROR(VLOOKUP(Таблицаx_2[[#This Row],[id]],prolongations!A:C,2,)," ")</f>
        <v>ноябрь 2022</v>
      </c>
      <c r="I2240" s="10">
        <f>IF(Таблицаx_2[[#This Row],[Месяц окончания]]=Таблицаx_2[[#This Row],[Месяц]],Таблицаx_2[[#This Row],[Значения числа]],0)</f>
        <v>0</v>
      </c>
      <c r="J2240" s="8">
        <f>IF(AND(Таблицаx_2[[#This Row],[Месяц окончания]]=Таблицаx_2[[#This Row],[Месяц]],Таблицаx_2[[#This Row],[id]]=A2241,EDATE(Таблицаx_2[[#This Row],[Месяц]],1)=D2241),F2241,0)</f>
        <v>0</v>
      </c>
      <c r="K2240" s="8">
        <f>IF(AND(Таблицаx_2[[#This Row],[Месяц окончания]]=Таблицаx_2[[#This Row],[Месяц]],Таблицаx_2[[#This Row],[id]]=A2241,EDATE(Таблицаx_2[[#This Row],[Месяц]],2)=D2241),F2241,0)</f>
        <v>0</v>
      </c>
    </row>
    <row r="2241" spans="1:11" ht="12.75" hidden="1" customHeight="1" x14ac:dyDescent="0.2">
      <c r="A2241" s="8">
        <v>645</v>
      </c>
      <c r="B2241" s="8"/>
      <c r="C2241" s="8" t="s">
        <v>11</v>
      </c>
      <c r="D2241" s="12">
        <v>45139</v>
      </c>
      <c r="E2241" s="8">
        <v>43045</v>
      </c>
      <c r="F2241" s="10">
        <f>IF(ISTEXT(Таблицаx_2[[#This Row],[Значение]]), 0, Таблицаx_2[[#This Row],[Значение]])</f>
        <v>43045</v>
      </c>
      <c r="G2241" s="12">
        <v>44866</v>
      </c>
      <c r="H2241" s="10" t="str">
        <f>IFERROR(VLOOKUP(Таблицаx_2[[#This Row],[id]],prolongations!A:C,2,)," ")</f>
        <v>ноябрь 2022</v>
      </c>
      <c r="I2241" s="10">
        <f>IF(Таблицаx_2[[#This Row],[Месяц окончания]]=Таблицаx_2[[#This Row],[Месяц]],Таблицаx_2[[#This Row],[Значения числа]],0)</f>
        <v>0</v>
      </c>
      <c r="J2241" s="8">
        <f>IF(AND(Таблицаx_2[[#This Row],[Месяц окончания]]=Таблицаx_2[[#This Row],[Месяц]],Таблицаx_2[[#This Row],[id]]=A2242,EDATE(Таблицаx_2[[#This Row],[Месяц]],1)=D2242),F2242,0)</f>
        <v>0</v>
      </c>
      <c r="K2241" s="8">
        <f>IF(AND(Таблицаx_2[[#This Row],[Месяц окончания]]=Таблицаx_2[[#This Row],[Месяц]],Таблицаx_2[[#This Row],[id]]=A2242,EDATE(Таблицаx_2[[#This Row],[Месяц]],2)=D2242),F2242,0)</f>
        <v>0</v>
      </c>
    </row>
    <row r="2242" spans="1:11" ht="12.75" hidden="1" customHeight="1" x14ac:dyDescent="0.2">
      <c r="A2242" s="8">
        <v>645</v>
      </c>
      <c r="B2242" s="8"/>
      <c r="C2242" s="8" t="s">
        <v>11</v>
      </c>
      <c r="D2242" s="12">
        <v>45170</v>
      </c>
      <c r="E2242" s="8">
        <v>38000</v>
      </c>
      <c r="F2242" s="10">
        <f>IF(ISTEXT(Таблицаx_2[[#This Row],[Значение]]), 0, Таблицаx_2[[#This Row],[Значение]])</f>
        <v>38000</v>
      </c>
      <c r="G2242" s="12">
        <v>44866</v>
      </c>
      <c r="H2242" s="10" t="str">
        <f>IFERROR(VLOOKUP(Таблицаx_2[[#This Row],[id]],prolongations!A:C,2,)," ")</f>
        <v>ноябрь 2022</v>
      </c>
      <c r="I2242" s="10">
        <f>IF(Таблицаx_2[[#This Row],[Месяц окончания]]=Таблицаx_2[[#This Row],[Месяц]],Таблицаx_2[[#This Row],[Значения числа]],0)</f>
        <v>0</v>
      </c>
      <c r="J2242" s="8">
        <f>IF(AND(Таблицаx_2[[#This Row],[Месяц окончания]]=Таблицаx_2[[#This Row],[Месяц]],Таблицаx_2[[#This Row],[id]]=A2243,EDATE(Таблицаx_2[[#This Row],[Месяц]],1)=D2243),F2243,0)</f>
        <v>0</v>
      </c>
      <c r="K2242" s="8">
        <f>IF(AND(Таблицаx_2[[#This Row],[Месяц окончания]]=Таблицаx_2[[#This Row],[Месяц]],Таблицаx_2[[#This Row],[id]]=A2243,EDATE(Таблицаx_2[[#This Row],[Месяц]],2)=D2243),F2243,0)</f>
        <v>0</v>
      </c>
    </row>
    <row r="2243" spans="1:11" ht="12.75" hidden="1" customHeight="1" x14ac:dyDescent="0.2">
      <c r="A2243" s="8">
        <v>645</v>
      </c>
      <c r="B2243" s="8"/>
      <c r="C2243" s="8" t="s">
        <v>11</v>
      </c>
      <c r="D2243" s="12">
        <v>45200</v>
      </c>
      <c r="E2243" s="8">
        <v>16300</v>
      </c>
      <c r="F2243" s="10">
        <f>IF(ISTEXT(Таблицаx_2[[#This Row],[Значение]]), 0, Таблицаx_2[[#This Row],[Значение]])</f>
        <v>16300</v>
      </c>
      <c r="G2243" s="12">
        <v>44866</v>
      </c>
      <c r="H2243" s="10" t="str">
        <f>IFERROR(VLOOKUP(Таблицаx_2[[#This Row],[id]],prolongations!A:C,2,)," ")</f>
        <v>ноябрь 2022</v>
      </c>
      <c r="I2243" s="10">
        <f>IF(Таблицаx_2[[#This Row],[Месяц окончания]]=Таблицаx_2[[#This Row],[Месяц]],Таблицаx_2[[#This Row],[Значения числа]],0)</f>
        <v>0</v>
      </c>
      <c r="J2243" s="8">
        <f>IF(AND(Таблицаx_2[[#This Row],[Месяц окончания]]=Таблицаx_2[[#This Row],[Месяц]],Таблицаx_2[[#This Row],[id]]=A2244,EDATE(Таблицаx_2[[#This Row],[Месяц]],1)=D2244),F2244,0)</f>
        <v>0</v>
      </c>
      <c r="K2243" s="8">
        <f>IF(AND(Таблицаx_2[[#This Row],[Месяц окончания]]=Таблицаx_2[[#This Row],[Месяц]],Таблицаx_2[[#This Row],[id]]=A2244,EDATE(Таблицаx_2[[#This Row],[Месяц]],2)=D2244),F2244,0)</f>
        <v>0</v>
      </c>
    </row>
    <row r="2244" spans="1:11" ht="12.75" hidden="1" customHeight="1" x14ac:dyDescent="0.2">
      <c r="A2244" s="8">
        <v>645</v>
      </c>
      <c r="B2244" s="8"/>
      <c r="C2244" s="8" t="s">
        <v>11</v>
      </c>
      <c r="D2244" s="12">
        <v>45231</v>
      </c>
      <c r="E2244" s="8">
        <v>15350</v>
      </c>
      <c r="F2244" s="10">
        <f>IF(ISTEXT(Таблицаx_2[[#This Row],[Значение]]), 0, Таблицаx_2[[#This Row],[Значение]])</f>
        <v>15350</v>
      </c>
      <c r="G2244" s="12">
        <v>44866</v>
      </c>
      <c r="H2244" s="10" t="str">
        <f>IFERROR(VLOOKUP(Таблицаx_2[[#This Row],[id]],prolongations!A:C,2,)," ")</f>
        <v>ноябрь 2022</v>
      </c>
      <c r="I2244" s="10">
        <f>IF(Таблицаx_2[[#This Row],[Месяц окончания]]=Таблицаx_2[[#This Row],[Месяц]],Таблицаx_2[[#This Row],[Значения числа]],0)</f>
        <v>0</v>
      </c>
      <c r="J2244" s="8">
        <f>IF(AND(Таблицаx_2[[#This Row],[Месяц окончания]]=Таблицаx_2[[#This Row],[Месяц]],Таблицаx_2[[#This Row],[id]]=A2245,EDATE(Таблицаx_2[[#This Row],[Месяц]],1)=D2245),F2245,0)</f>
        <v>0</v>
      </c>
      <c r="K2244" s="8">
        <f>IF(AND(Таблицаx_2[[#This Row],[Месяц окончания]]=Таблицаx_2[[#This Row],[Месяц]],Таблицаx_2[[#This Row],[id]]=A2245,EDATE(Таблицаx_2[[#This Row],[Месяц]],2)=D2245),F2245,0)</f>
        <v>0</v>
      </c>
    </row>
    <row r="2245" spans="1:11" ht="12.75" hidden="1" customHeight="1" x14ac:dyDescent="0.2">
      <c r="A2245" s="8">
        <v>645</v>
      </c>
      <c r="B2245" s="8"/>
      <c r="C2245" s="8" t="s">
        <v>11</v>
      </c>
      <c r="D2245" s="12">
        <v>45261</v>
      </c>
      <c r="E2245" s="8">
        <v>16300</v>
      </c>
      <c r="F2245" s="10">
        <f>IF(ISTEXT(Таблицаx_2[[#This Row],[Значение]]), 0, Таблицаx_2[[#This Row],[Значение]])</f>
        <v>16300</v>
      </c>
      <c r="G2245" s="12">
        <v>44866</v>
      </c>
      <c r="H2245" s="10" t="str">
        <f>IFERROR(VLOOKUP(Таблицаx_2[[#This Row],[id]],prolongations!A:C,2,)," ")</f>
        <v>ноябрь 2022</v>
      </c>
      <c r="I2245" s="10">
        <f>IF(Таблицаx_2[[#This Row],[Месяц окончания]]=Таблицаx_2[[#This Row],[Месяц]],Таблицаx_2[[#This Row],[Значения числа]],0)</f>
        <v>0</v>
      </c>
      <c r="J2245" s="8">
        <f>IF(AND(Таблицаx_2[[#This Row],[Месяц окончания]]=Таблицаx_2[[#This Row],[Месяц]],Таблицаx_2[[#This Row],[id]]=A2246,EDATE(Таблицаx_2[[#This Row],[Месяц]],1)=D2246),F2246,0)</f>
        <v>0</v>
      </c>
      <c r="K2245" s="8">
        <f>IF(AND(Таблицаx_2[[#This Row],[Месяц окончания]]=Таблицаx_2[[#This Row],[Месяц]],Таблицаx_2[[#This Row],[id]]=A2246,EDATE(Таблицаx_2[[#This Row],[Месяц]],2)=D2246),F2246,0)</f>
        <v>0</v>
      </c>
    </row>
    <row r="2246" spans="1:11" ht="12.75" hidden="1" customHeight="1" x14ac:dyDescent="0.2">
      <c r="A2246" s="8">
        <v>739</v>
      </c>
      <c r="B2246" s="8"/>
      <c r="C2246" s="8" t="s">
        <v>10</v>
      </c>
      <c r="D2246" s="12">
        <v>44927</v>
      </c>
      <c r="E2246" s="8">
        <v>72325</v>
      </c>
      <c r="F2246" s="10">
        <f>IF(ISTEXT(Таблицаx_2[[#This Row],[Значение]]), 0, Таблицаx_2[[#This Row],[Значение]])</f>
        <v>72325</v>
      </c>
      <c r="G2246" s="12">
        <v>45261</v>
      </c>
      <c r="H2246" s="10" t="str">
        <f>IFERROR(VLOOKUP(Таблицаx_2[[#This Row],[id]],prolongations!A:C,2,)," ")</f>
        <v>декабрь 2023</v>
      </c>
      <c r="I2246" s="10">
        <f>IF(Таблицаx_2[[#This Row],[Месяц окончания]]=Таблицаx_2[[#This Row],[Месяц]],Таблицаx_2[[#This Row],[Значения числа]],0)</f>
        <v>0</v>
      </c>
      <c r="J2246" s="8">
        <f>IF(AND(Таблицаx_2[[#This Row],[Месяц окончания]]=Таблицаx_2[[#This Row],[Месяц]],Таблицаx_2[[#This Row],[id]]=A2247,EDATE(Таблицаx_2[[#This Row],[Месяц]],1)=D2247),F2247,0)</f>
        <v>0</v>
      </c>
      <c r="K2246" s="8">
        <f>IF(AND(Таблицаx_2[[#This Row],[Месяц окончания]]=Таблицаx_2[[#This Row],[Месяц]],Таблицаx_2[[#This Row],[id]]=A2247,EDATE(Таблицаx_2[[#This Row],[Месяц]],2)=D2247),F2247,0)</f>
        <v>0</v>
      </c>
    </row>
    <row r="2247" spans="1:11" ht="12.75" hidden="1" customHeight="1" x14ac:dyDescent="0.2">
      <c r="A2247" s="8">
        <v>739</v>
      </c>
      <c r="B2247" s="8"/>
      <c r="C2247" s="8" t="s">
        <v>10</v>
      </c>
      <c r="D2247" s="12">
        <v>44958</v>
      </c>
      <c r="E2247" s="8">
        <v>63325</v>
      </c>
      <c r="F2247" s="10">
        <f>IF(ISTEXT(Таблицаx_2[[#This Row],[Значение]]), 0, Таблицаx_2[[#This Row],[Значение]])</f>
        <v>63325</v>
      </c>
      <c r="G2247" s="12">
        <v>45261</v>
      </c>
      <c r="H2247" s="10" t="str">
        <f>IFERROR(VLOOKUP(Таблицаx_2[[#This Row],[id]],prolongations!A:C,2,)," ")</f>
        <v>декабрь 2023</v>
      </c>
      <c r="I2247" s="10">
        <f>IF(Таблицаx_2[[#This Row],[Месяц окончания]]=Таблицаx_2[[#This Row],[Месяц]],Таблицаx_2[[#This Row],[Значения числа]],0)</f>
        <v>0</v>
      </c>
      <c r="J2247" s="8">
        <f>IF(AND(Таблицаx_2[[#This Row],[Месяц окончания]]=Таблицаx_2[[#This Row],[Месяц]],Таблицаx_2[[#This Row],[id]]=A2248,EDATE(Таблицаx_2[[#This Row],[Месяц]],1)=D2248),F2248,0)</f>
        <v>0</v>
      </c>
      <c r="K2247" s="8">
        <f>IF(AND(Таблицаx_2[[#This Row],[Месяц окончания]]=Таблицаx_2[[#This Row],[Месяц]],Таблицаx_2[[#This Row],[id]]=A2248,EDATE(Таблицаx_2[[#This Row],[Месяц]],2)=D2248),F2248,0)</f>
        <v>0</v>
      </c>
    </row>
    <row r="2248" spans="1:11" ht="12.75" hidden="1" customHeight="1" x14ac:dyDescent="0.2">
      <c r="A2248" s="8">
        <v>739</v>
      </c>
      <c r="B2248" s="8"/>
      <c r="C2248" s="8" t="s">
        <v>10</v>
      </c>
      <c r="D2248" s="12">
        <v>44986</v>
      </c>
      <c r="E2248" s="8">
        <v>62735</v>
      </c>
      <c r="F2248" s="10">
        <f>IF(ISTEXT(Таблицаx_2[[#This Row],[Значение]]), 0, Таблицаx_2[[#This Row],[Значение]])</f>
        <v>62735</v>
      </c>
      <c r="G2248" s="12">
        <v>45261</v>
      </c>
      <c r="H2248" s="10" t="str">
        <f>IFERROR(VLOOKUP(Таблицаx_2[[#This Row],[id]],prolongations!A:C,2,)," ")</f>
        <v>декабрь 2023</v>
      </c>
      <c r="I2248" s="10">
        <f>IF(Таблицаx_2[[#This Row],[Месяц окончания]]=Таблицаx_2[[#This Row],[Месяц]],Таблицаx_2[[#This Row],[Значения числа]],0)</f>
        <v>0</v>
      </c>
      <c r="J2248" s="8">
        <f>IF(AND(Таблицаx_2[[#This Row],[Месяц окончания]]=Таблицаx_2[[#This Row],[Месяц]],Таблицаx_2[[#This Row],[id]]=A2249,EDATE(Таблицаx_2[[#This Row],[Месяц]],1)=D2249),F2249,0)</f>
        <v>0</v>
      </c>
      <c r="K2248" s="8">
        <f>IF(AND(Таблицаx_2[[#This Row],[Месяц окончания]]=Таблицаx_2[[#This Row],[Месяц]],Таблицаx_2[[#This Row],[id]]=A2249,EDATE(Таблицаx_2[[#This Row],[Месяц]],2)=D2249),F2249,0)</f>
        <v>0</v>
      </c>
    </row>
    <row r="2249" spans="1:11" ht="12.75" hidden="1" customHeight="1" x14ac:dyDescent="0.2">
      <c r="A2249" s="8">
        <v>739</v>
      </c>
      <c r="B2249" s="8"/>
      <c r="C2249" s="8" t="s">
        <v>10</v>
      </c>
      <c r="D2249" s="12">
        <v>45017</v>
      </c>
      <c r="E2249" s="8">
        <v>62125</v>
      </c>
      <c r="F2249" s="10">
        <f>IF(ISTEXT(Таблицаx_2[[#This Row],[Значение]]), 0, Таблицаx_2[[#This Row],[Значение]])</f>
        <v>62125</v>
      </c>
      <c r="G2249" s="12">
        <v>45261</v>
      </c>
      <c r="H2249" s="10" t="str">
        <f>IFERROR(VLOOKUP(Таблицаx_2[[#This Row],[id]],prolongations!A:C,2,)," ")</f>
        <v>декабрь 2023</v>
      </c>
      <c r="I2249" s="10">
        <f>IF(Таблицаx_2[[#This Row],[Месяц окончания]]=Таблицаx_2[[#This Row],[Месяц]],Таблицаx_2[[#This Row],[Значения числа]],0)</f>
        <v>0</v>
      </c>
      <c r="J2249" s="8">
        <f>IF(AND(Таблицаx_2[[#This Row],[Месяц окончания]]=Таблицаx_2[[#This Row],[Месяц]],Таблицаx_2[[#This Row],[id]]=A2250,EDATE(Таблицаx_2[[#This Row],[Месяц]],1)=D2250),F2250,0)</f>
        <v>0</v>
      </c>
      <c r="K2249" s="8">
        <f>IF(AND(Таблицаx_2[[#This Row],[Месяц окончания]]=Таблицаx_2[[#This Row],[Месяц]],Таблицаx_2[[#This Row],[id]]=A2250,EDATE(Таблицаx_2[[#This Row],[Месяц]],2)=D2250),F2250,0)</f>
        <v>0</v>
      </c>
    </row>
    <row r="2250" spans="1:11" ht="12.75" hidden="1" customHeight="1" x14ac:dyDescent="0.2">
      <c r="A2250" s="8">
        <v>739</v>
      </c>
      <c r="B2250" s="8"/>
      <c r="C2250" s="8" t="s">
        <v>10</v>
      </c>
      <c r="D2250" s="12">
        <v>45047</v>
      </c>
      <c r="E2250" s="8">
        <v>63180</v>
      </c>
      <c r="F2250" s="10">
        <f>IF(ISTEXT(Таблицаx_2[[#This Row],[Значение]]), 0, Таблицаx_2[[#This Row],[Значение]])</f>
        <v>63180</v>
      </c>
      <c r="G2250" s="12">
        <v>45261</v>
      </c>
      <c r="H2250" s="10" t="str">
        <f>IFERROR(VLOOKUP(Таблицаx_2[[#This Row],[id]],prolongations!A:C,2,)," ")</f>
        <v>декабрь 2023</v>
      </c>
      <c r="I2250" s="10">
        <f>IF(Таблицаx_2[[#This Row],[Месяц окончания]]=Таблицаx_2[[#This Row],[Месяц]],Таблицаx_2[[#This Row],[Значения числа]],0)</f>
        <v>0</v>
      </c>
      <c r="J2250" s="8">
        <f>IF(AND(Таблицаx_2[[#This Row],[Месяц окончания]]=Таблицаx_2[[#This Row],[Месяц]],Таблицаx_2[[#This Row],[id]]=A2251,EDATE(Таблицаx_2[[#This Row],[Месяц]],1)=D2251),F2251,0)</f>
        <v>0</v>
      </c>
      <c r="K2250" s="8">
        <f>IF(AND(Таблицаx_2[[#This Row],[Месяц окончания]]=Таблицаx_2[[#This Row],[Месяц]],Таблицаx_2[[#This Row],[id]]=A2251,EDATE(Таблицаx_2[[#This Row],[Месяц]],2)=D2251),F2251,0)</f>
        <v>0</v>
      </c>
    </row>
    <row r="2251" spans="1:11" ht="12.75" hidden="1" customHeight="1" x14ac:dyDescent="0.2">
      <c r="A2251" s="8">
        <v>739</v>
      </c>
      <c r="B2251" s="8"/>
      <c r="C2251" s="8" t="s">
        <v>10</v>
      </c>
      <c r="D2251" s="12">
        <v>45078</v>
      </c>
      <c r="E2251" s="8">
        <v>63180</v>
      </c>
      <c r="F2251" s="10">
        <f>IF(ISTEXT(Таблицаx_2[[#This Row],[Значение]]), 0, Таблицаx_2[[#This Row],[Значение]])</f>
        <v>63180</v>
      </c>
      <c r="G2251" s="12">
        <v>45261</v>
      </c>
      <c r="H2251" s="10" t="str">
        <f>IFERROR(VLOOKUP(Таблицаx_2[[#This Row],[id]],prolongations!A:C,2,)," ")</f>
        <v>декабрь 2023</v>
      </c>
      <c r="I2251" s="10">
        <f>IF(Таблицаx_2[[#This Row],[Месяц окончания]]=Таблицаx_2[[#This Row],[Месяц]],Таблицаx_2[[#This Row],[Значения числа]],0)</f>
        <v>0</v>
      </c>
      <c r="J2251" s="8">
        <f>IF(AND(Таблицаx_2[[#This Row],[Месяц окончания]]=Таблицаx_2[[#This Row],[Месяц]],Таблицаx_2[[#This Row],[id]]=A2252,EDATE(Таблицаx_2[[#This Row],[Месяц]],1)=D2252),F2252,0)</f>
        <v>0</v>
      </c>
      <c r="K2251" s="8">
        <f>IF(AND(Таблицаx_2[[#This Row],[Месяц окончания]]=Таблицаx_2[[#This Row],[Месяц]],Таблицаx_2[[#This Row],[id]]=A2252,EDATE(Таблицаx_2[[#This Row],[Месяц]],2)=D2252),F2252,0)</f>
        <v>0</v>
      </c>
    </row>
    <row r="2252" spans="1:11" ht="12.75" hidden="1" customHeight="1" x14ac:dyDescent="0.2">
      <c r="A2252" s="8">
        <v>739</v>
      </c>
      <c r="B2252" s="8"/>
      <c r="C2252" s="8" t="s">
        <v>10</v>
      </c>
      <c r="D2252" s="12">
        <v>45108</v>
      </c>
      <c r="E2252" s="8">
        <v>84405</v>
      </c>
      <c r="F2252" s="10">
        <f>IF(ISTEXT(Таблицаx_2[[#This Row],[Значение]]), 0, Таблицаx_2[[#This Row],[Значение]])</f>
        <v>84405</v>
      </c>
      <c r="G2252" s="12">
        <v>45261</v>
      </c>
      <c r="H2252" s="10" t="str">
        <f>IFERROR(VLOOKUP(Таблицаx_2[[#This Row],[id]],prolongations!A:C,2,)," ")</f>
        <v>декабрь 2023</v>
      </c>
      <c r="I2252" s="10">
        <f>IF(Таблицаx_2[[#This Row],[Месяц окончания]]=Таблицаx_2[[#This Row],[Месяц]],Таблицаx_2[[#This Row],[Значения числа]],0)</f>
        <v>0</v>
      </c>
      <c r="J2252" s="8">
        <f>IF(AND(Таблицаx_2[[#This Row],[Месяц окончания]]=Таблицаx_2[[#This Row],[Месяц]],Таблицаx_2[[#This Row],[id]]=A2253,EDATE(Таблицаx_2[[#This Row],[Месяц]],1)=D2253),F2253,0)</f>
        <v>0</v>
      </c>
      <c r="K2252" s="8">
        <f>IF(AND(Таблицаx_2[[#This Row],[Месяц окончания]]=Таблицаx_2[[#This Row],[Месяц]],Таблицаx_2[[#This Row],[id]]=A2253,EDATE(Таблицаx_2[[#This Row],[Месяц]],2)=D2253),F2253,0)</f>
        <v>0</v>
      </c>
    </row>
    <row r="2253" spans="1:11" ht="12.75" hidden="1" customHeight="1" x14ac:dyDescent="0.2">
      <c r="A2253" s="8">
        <v>739</v>
      </c>
      <c r="B2253" s="8"/>
      <c r="C2253" s="8" t="s">
        <v>10</v>
      </c>
      <c r="D2253" s="12">
        <v>45139</v>
      </c>
      <c r="E2253" s="8">
        <v>80405</v>
      </c>
      <c r="F2253" s="10">
        <f>IF(ISTEXT(Таблицаx_2[[#This Row],[Значение]]), 0, Таблицаx_2[[#This Row],[Значение]])</f>
        <v>80405</v>
      </c>
      <c r="G2253" s="12">
        <v>45261</v>
      </c>
      <c r="H2253" s="10" t="str">
        <f>IFERROR(VLOOKUP(Таблицаx_2[[#This Row],[id]],prolongations!A:C,2,)," ")</f>
        <v>декабрь 2023</v>
      </c>
      <c r="I2253" s="10">
        <f>IF(Таблицаx_2[[#This Row],[Месяц окончания]]=Таблицаx_2[[#This Row],[Месяц]],Таблицаx_2[[#This Row],[Значения числа]],0)</f>
        <v>0</v>
      </c>
      <c r="J2253" s="8">
        <f>IF(AND(Таблицаx_2[[#This Row],[Месяц окончания]]=Таблицаx_2[[#This Row],[Месяц]],Таблицаx_2[[#This Row],[id]]=A2254,EDATE(Таблицаx_2[[#This Row],[Месяц]],1)=D2254),F2254,0)</f>
        <v>0</v>
      </c>
      <c r="K2253" s="8">
        <f>IF(AND(Таблицаx_2[[#This Row],[Месяц окончания]]=Таблицаx_2[[#This Row],[Месяц]],Таблицаx_2[[#This Row],[id]]=A2254,EDATE(Таблицаx_2[[#This Row],[Месяц]],2)=D2254),F2254,0)</f>
        <v>0</v>
      </c>
    </row>
    <row r="2254" spans="1:11" ht="12.75" hidden="1" customHeight="1" x14ac:dyDescent="0.2">
      <c r="A2254" s="8">
        <v>739</v>
      </c>
      <c r="B2254" s="8"/>
      <c r="C2254" s="8" t="s">
        <v>10</v>
      </c>
      <c r="D2254" s="12">
        <v>45170</v>
      </c>
      <c r="E2254" s="8">
        <v>80405</v>
      </c>
      <c r="F2254" s="10">
        <f>IF(ISTEXT(Таблицаx_2[[#This Row],[Значение]]), 0, Таблицаx_2[[#This Row],[Значение]])</f>
        <v>80405</v>
      </c>
      <c r="G2254" s="12">
        <v>45261</v>
      </c>
      <c r="H2254" s="10" t="str">
        <f>IFERROR(VLOOKUP(Таблицаx_2[[#This Row],[id]],prolongations!A:C,2,)," ")</f>
        <v>декабрь 2023</v>
      </c>
      <c r="I2254" s="10">
        <f>IF(Таблицаx_2[[#This Row],[Месяц окончания]]=Таблицаx_2[[#This Row],[Месяц]],Таблицаx_2[[#This Row],[Значения числа]],0)</f>
        <v>0</v>
      </c>
      <c r="J2254" s="8">
        <f>IF(AND(Таблицаx_2[[#This Row],[Месяц окончания]]=Таблицаx_2[[#This Row],[Месяц]],Таблицаx_2[[#This Row],[id]]=A2255,EDATE(Таблицаx_2[[#This Row],[Месяц]],1)=D2255),F2255,0)</f>
        <v>0</v>
      </c>
      <c r="K2254" s="8">
        <f>IF(AND(Таблицаx_2[[#This Row],[Месяц окончания]]=Таблицаx_2[[#This Row],[Месяц]],Таблицаx_2[[#This Row],[id]]=A2255,EDATE(Таблицаx_2[[#This Row],[Месяц]],2)=D2255),F2255,0)</f>
        <v>0</v>
      </c>
    </row>
    <row r="2255" spans="1:11" ht="12.75" hidden="1" customHeight="1" x14ac:dyDescent="0.2">
      <c r="A2255" s="8">
        <v>739</v>
      </c>
      <c r="B2255" s="8"/>
      <c r="C2255" s="8" t="s">
        <v>10</v>
      </c>
      <c r="D2255" s="12">
        <v>45200</v>
      </c>
      <c r="E2255" s="8">
        <v>80405</v>
      </c>
      <c r="F2255" s="10">
        <f>IF(ISTEXT(Таблицаx_2[[#This Row],[Значение]]), 0, Таблицаx_2[[#This Row],[Значение]])</f>
        <v>80405</v>
      </c>
      <c r="G2255" s="12">
        <v>45261</v>
      </c>
      <c r="H2255" s="10" t="str">
        <f>IFERROR(VLOOKUP(Таблицаx_2[[#This Row],[id]],prolongations!A:C,2,)," ")</f>
        <v>декабрь 2023</v>
      </c>
      <c r="I2255" s="10">
        <f>IF(Таблицаx_2[[#This Row],[Месяц окончания]]=Таблицаx_2[[#This Row],[Месяц]],Таблицаx_2[[#This Row],[Значения числа]],0)</f>
        <v>0</v>
      </c>
      <c r="J2255" s="8">
        <f>IF(AND(Таблицаx_2[[#This Row],[Месяц окончания]]=Таблицаx_2[[#This Row],[Месяц]],Таблицаx_2[[#This Row],[id]]=A2256,EDATE(Таблицаx_2[[#This Row],[Месяц]],1)=D2256),F2256,0)</f>
        <v>0</v>
      </c>
      <c r="K2255" s="8">
        <f>IF(AND(Таблицаx_2[[#This Row],[Месяц окончания]]=Таблицаx_2[[#This Row],[Месяц]],Таблицаx_2[[#This Row],[id]]=A2256,EDATE(Таблицаx_2[[#This Row],[Месяц]],2)=D2256),F2256,0)</f>
        <v>0</v>
      </c>
    </row>
    <row r="2256" spans="1:11" ht="12.75" hidden="1" customHeight="1" x14ac:dyDescent="0.2">
      <c r="A2256" s="8">
        <v>739</v>
      </c>
      <c r="B2256" s="8"/>
      <c r="C2256" s="8" t="s">
        <v>10</v>
      </c>
      <c r="D2256" s="12">
        <v>45231</v>
      </c>
      <c r="E2256" s="8">
        <v>80405</v>
      </c>
      <c r="F2256" s="10">
        <f>IF(ISTEXT(Таблицаx_2[[#This Row],[Значение]]), 0, Таблицаx_2[[#This Row],[Значение]])</f>
        <v>80405</v>
      </c>
      <c r="G2256" s="12">
        <v>45261</v>
      </c>
      <c r="H2256" s="10" t="str">
        <f>IFERROR(VLOOKUP(Таблицаx_2[[#This Row],[id]],prolongations!A:C,2,)," ")</f>
        <v>декабрь 2023</v>
      </c>
      <c r="I2256" s="10">
        <f>IF(Таблицаx_2[[#This Row],[Месяц окончания]]=Таблицаx_2[[#This Row],[Месяц]],Таблицаx_2[[#This Row],[Значения числа]],0)</f>
        <v>0</v>
      </c>
      <c r="J2256" s="8">
        <f>IF(AND(Таблицаx_2[[#This Row],[Месяц окончания]]=Таблицаx_2[[#This Row],[Месяц]],Таблицаx_2[[#This Row],[id]]=A2257,EDATE(Таблицаx_2[[#This Row],[Месяц]],1)=D2257),F2257,0)</f>
        <v>0</v>
      </c>
      <c r="K2256" s="8">
        <f>IF(AND(Таблицаx_2[[#This Row],[Месяц окончания]]=Таблицаx_2[[#This Row],[Месяц]],Таблицаx_2[[#This Row],[id]]=A2257,EDATE(Таблицаx_2[[#This Row],[Месяц]],2)=D2257),F2257,0)</f>
        <v>0</v>
      </c>
    </row>
    <row r="2257" spans="1:11" ht="12.75" hidden="1" customHeight="1" x14ac:dyDescent="0.2">
      <c r="A2257" s="8">
        <v>739</v>
      </c>
      <c r="B2257" s="8"/>
      <c r="C2257" s="8" t="s">
        <v>10</v>
      </c>
      <c r="D2257" s="12">
        <v>45261</v>
      </c>
      <c r="E2257" s="8">
        <v>80405</v>
      </c>
      <c r="F2257" s="10">
        <f>IF(ISTEXT(Таблицаx_2[[#This Row],[Значение]]), 0, Таблицаx_2[[#This Row],[Значение]])</f>
        <v>80405</v>
      </c>
      <c r="G2257" s="12">
        <v>45261</v>
      </c>
      <c r="H2257" s="10" t="str">
        <f>IFERROR(VLOOKUP(Таблицаx_2[[#This Row],[id]],prolongations!A:C,2,)," ")</f>
        <v>декабрь 2023</v>
      </c>
      <c r="I2257" s="10">
        <f>IF(Таблицаx_2[[#This Row],[Месяц окончания]]=Таблицаx_2[[#This Row],[Месяц]],Таблицаx_2[[#This Row],[Значения числа]],0)</f>
        <v>80405</v>
      </c>
      <c r="J2257" s="8">
        <f>IF(AND(Таблицаx_2[[#This Row],[Месяц окончания]]=Таблицаx_2[[#This Row],[Месяц]],Таблицаx_2[[#This Row],[id]]=A2258,EDATE(Таблицаx_2[[#This Row],[Месяц]],1)=D2258),F2258,0)</f>
        <v>80405</v>
      </c>
      <c r="K2257" s="8">
        <f>IF(AND(Таблицаx_2[[#This Row],[Месяц окончания]]=Таблицаx_2[[#This Row],[Месяц]],Таблицаx_2[[#This Row],[id]]=A2258,EDATE(Таблицаx_2[[#This Row],[Месяц]],2)=D2258),F2258,0)</f>
        <v>0</v>
      </c>
    </row>
    <row r="2258" spans="1:11" ht="12.75" hidden="1" customHeight="1" x14ac:dyDescent="0.2">
      <c r="A2258" s="8">
        <v>739</v>
      </c>
      <c r="B2258" s="8"/>
      <c r="C2258" s="8" t="s">
        <v>10</v>
      </c>
      <c r="D2258" s="12">
        <v>45292</v>
      </c>
      <c r="E2258" s="8">
        <v>80405</v>
      </c>
      <c r="F2258" s="10">
        <f>IF(ISTEXT(Таблицаx_2[[#This Row],[Значение]]), 0, Таблицаx_2[[#This Row],[Значение]])</f>
        <v>80405</v>
      </c>
      <c r="G2258" s="12">
        <v>45261</v>
      </c>
      <c r="H2258" s="10" t="str">
        <f>IFERROR(VLOOKUP(Таблицаx_2[[#This Row],[id]],prolongations!A:C,2,)," ")</f>
        <v>декабрь 2023</v>
      </c>
      <c r="I2258" s="10">
        <f>IF(Таблицаx_2[[#This Row],[Месяц окончания]]=Таблицаx_2[[#This Row],[Месяц]],Таблицаx_2[[#This Row],[Значения числа]],0)</f>
        <v>0</v>
      </c>
      <c r="J2258" s="8">
        <f>IF(AND(Таблицаx_2[[#This Row],[Месяц окончания]]=Таблицаx_2[[#This Row],[Месяц]],Таблицаx_2[[#This Row],[id]]=A2259,EDATE(Таблицаx_2[[#This Row],[Месяц]],1)=D2259),F2259,0)</f>
        <v>0</v>
      </c>
      <c r="K2258" s="8">
        <f>IF(AND(Таблицаx_2[[#This Row],[Месяц окончания]]=Таблицаx_2[[#This Row],[Месяц]],Таблицаx_2[[#This Row],[id]]=A2259,EDATE(Таблицаx_2[[#This Row],[Месяц]],2)=D2259),F2259,0)</f>
        <v>0</v>
      </c>
    </row>
    <row r="2259" spans="1:11" ht="12.75" hidden="1" customHeight="1" x14ac:dyDescent="0.2">
      <c r="A2259" s="8">
        <v>739</v>
      </c>
      <c r="B2259" s="8"/>
      <c r="C2259" s="8" t="s">
        <v>10</v>
      </c>
      <c r="D2259" s="12">
        <v>45323</v>
      </c>
      <c r="E2259" s="8">
        <v>54542.5</v>
      </c>
      <c r="F2259" s="10">
        <f>IF(ISTEXT(Таблицаx_2[[#This Row],[Значение]]), 0, Таблицаx_2[[#This Row],[Значение]])</f>
        <v>54542.5</v>
      </c>
      <c r="G2259" s="12">
        <v>45261</v>
      </c>
      <c r="H2259" s="10" t="str">
        <f>IFERROR(VLOOKUP(Таблицаx_2[[#This Row],[id]],prolongations!A:C,2,)," ")</f>
        <v>декабрь 2023</v>
      </c>
      <c r="I2259" s="10">
        <f>IF(Таблицаx_2[[#This Row],[Месяц окончания]]=Таблицаx_2[[#This Row],[Месяц]],Таблицаx_2[[#This Row],[Значения числа]],0)</f>
        <v>0</v>
      </c>
      <c r="J2259" s="8">
        <f>IF(AND(Таблицаx_2[[#This Row],[Месяц окончания]]=Таблицаx_2[[#This Row],[Месяц]],Таблицаx_2[[#This Row],[id]]=A2260,EDATE(Таблицаx_2[[#This Row],[Месяц]],1)=D2260),F2260,0)</f>
        <v>0</v>
      </c>
      <c r="K2259" s="8">
        <f>IF(AND(Таблицаx_2[[#This Row],[Месяц окончания]]=Таблицаx_2[[#This Row],[Месяц]],Таблицаx_2[[#This Row],[id]]=A2260,EDATE(Таблицаx_2[[#This Row],[Месяц]],2)=D2260),F2260,0)</f>
        <v>0</v>
      </c>
    </row>
    <row r="2260" spans="1:11" ht="12.75" hidden="1" customHeight="1" x14ac:dyDescent="0.2">
      <c r="A2260" s="8">
        <v>673</v>
      </c>
      <c r="B2260" s="8" t="s">
        <v>52</v>
      </c>
      <c r="C2260" s="8" t="s">
        <v>8</v>
      </c>
      <c r="D2260" s="12">
        <v>45047</v>
      </c>
      <c r="E2260" s="8">
        <v>221405</v>
      </c>
      <c r="F2260" s="10">
        <f>IF(ISTEXT(Таблицаx_2[[#This Row],[Значение]]), 0, Таблицаx_2[[#This Row],[Значение]])</f>
        <v>221405</v>
      </c>
      <c r="G2260" s="12">
        <v>45139</v>
      </c>
      <c r="H2260" s="10" t="str">
        <f>IFERROR(VLOOKUP(Таблицаx_2[[#This Row],[id]],prolongations!A:C,2,)," ")</f>
        <v>август 2023</v>
      </c>
      <c r="I2260" s="10">
        <f>IF(Таблицаx_2[[#This Row],[Месяц окончания]]=Таблицаx_2[[#This Row],[Месяц]],Таблицаx_2[[#This Row],[Значения числа]],0)</f>
        <v>0</v>
      </c>
      <c r="J2260" s="8">
        <f>IF(AND(Таблицаx_2[[#This Row],[Месяц окончания]]=Таблицаx_2[[#This Row],[Месяц]],Таблицаx_2[[#This Row],[id]]=A2261,EDATE(Таблицаx_2[[#This Row],[Месяц]],1)=D2261),F2261,0)</f>
        <v>0</v>
      </c>
      <c r="K2260" s="8">
        <f>IF(AND(Таблицаx_2[[#This Row],[Месяц окончания]]=Таблицаx_2[[#This Row],[Месяц]],Таблицаx_2[[#This Row],[id]]=A2261,EDATE(Таблицаx_2[[#This Row],[Месяц]],2)=D2261),F2261,0)</f>
        <v>0</v>
      </c>
    </row>
    <row r="2261" spans="1:11" ht="12.75" hidden="1" customHeight="1" x14ac:dyDescent="0.2">
      <c r="A2261" s="8">
        <v>673</v>
      </c>
      <c r="B2261" s="8" t="s">
        <v>52</v>
      </c>
      <c r="C2261" s="8" t="s">
        <v>8</v>
      </c>
      <c r="D2261" s="12">
        <v>45078</v>
      </c>
      <c r="E2261" s="8">
        <v>216145</v>
      </c>
      <c r="F2261" s="10">
        <f>IF(ISTEXT(Таблицаx_2[[#This Row],[Значение]]), 0, Таблицаx_2[[#This Row],[Значение]])</f>
        <v>216145</v>
      </c>
      <c r="G2261" s="12">
        <v>45139</v>
      </c>
      <c r="H2261" s="10" t="str">
        <f>IFERROR(VLOOKUP(Таблицаx_2[[#This Row],[id]],prolongations!A:C,2,)," ")</f>
        <v>август 2023</v>
      </c>
      <c r="I2261" s="10">
        <f>IF(Таблицаx_2[[#This Row],[Месяц окончания]]=Таблицаx_2[[#This Row],[Месяц]],Таблицаx_2[[#This Row],[Значения числа]],0)</f>
        <v>0</v>
      </c>
      <c r="J2261" s="8">
        <f>IF(AND(Таблицаx_2[[#This Row],[Месяц окончания]]=Таблицаx_2[[#This Row],[Месяц]],Таблицаx_2[[#This Row],[id]]=A2262,EDATE(Таблицаx_2[[#This Row],[Месяц]],1)=D2262),F2262,0)</f>
        <v>0</v>
      </c>
      <c r="K2261" s="8">
        <f>IF(AND(Таблицаx_2[[#This Row],[Месяц окончания]]=Таблицаx_2[[#This Row],[Месяц]],Таблицаx_2[[#This Row],[id]]=A2262,EDATE(Таблицаx_2[[#This Row],[Месяц]],2)=D2262),F2262,0)</f>
        <v>0</v>
      </c>
    </row>
    <row r="2262" spans="1:11" ht="12.75" hidden="1" customHeight="1" x14ac:dyDescent="0.2">
      <c r="A2262" s="8">
        <v>673</v>
      </c>
      <c r="B2262" s="8" t="s">
        <v>52</v>
      </c>
      <c r="C2262" s="8" t="s">
        <v>8</v>
      </c>
      <c r="D2262" s="12">
        <v>45108</v>
      </c>
      <c r="E2262" s="8">
        <v>216145</v>
      </c>
      <c r="F2262" s="10">
        <f>IF(ISTEXT(Таблицаx_2[[#This Row],[Значение]]), 0, Таблицаx_2[[#This Row],[Значение]])</f>
        <v>216145</v>
      </c>
      <c r="G2262" s="12">
        <v>45139</v>
      </c>
      <c r="H2262" s="10" t="str">
        <f>IFERROR(VLOOKUP(Таблицаx_2[[#This Row],[id]],prolongations!A:C,2,)," ")</f>
        <v>август 2023</v>
      </c>
      <c r="I2262" s="10">
        <f>IF(Таблицаx_2[[#This Row],[Месяц окончания]]=Таблицаx_2[[#This Row],[Месяц]],Таблицаx_2[[#This Row],[Значения числа]],0)</f>
        <v>0</v>
      </c>
      <c r="J2262" s="8">
        <f>IF(AND(Таблицаx_2[[#This Row],[Месяц окончания]]=Таблицаx_2[[#This Row],[Месяц]],Таблицаx_2[[#This Row],[id]]=A2263,EDATE(Таблицаx_2[[#This Row],[Месяц]],1)=D2263),F2263,0)</f>
        <v>0</v>
      </c>
      <c r="K2262" s="8">
        <f>IF(AND(Таблицаx_2[[#This Row],[Месяц окончания]]=Таблицаx_2[[#This Row],[Месяц]],Таблицаx_2[[#This Row],[id]]=A2263,EDATE(Таблицаx_2[[#This Row],[Месяц]],2)=D2263),F2263,0)</f>
        <v>0</v>
      </c>
    </row>
    <row r="2263" spans="1:11" ht="12.75" hidden="1" customHeight="1" x14ac:dyDescent="0.2">
      <c r="A2263" s="8">
        <v>673</v>
      </c>
      <c r="B2263" s="8" t="s">
        <v>52</v>
      </c>
      <c r="C2263" s="8" t="s">
        <v>8</v>
      </c>
      <c r="D2263" s="12">
        <v>45139</v>
      </c>
      <c r="E2263" s="8">
        <v>216145</v>
      </c>
      <c r="F2263" s="10">
        <f>IF(ISTEXT(Таблицаx_2[[#This Row],[Значение]]), 0, Таблицаx_2[[#This Row],[Значение]])</f>
        <v>216145</v>
      </c>
      <c r="G2263" s="12">
        <v>45139</v>
      </c>
      <c r="H2263" s="10" t="str">
        <f>IFERROR(VLOOKUP(Таблицаx_2[[#This Row],[id]],prolongations!A:C,2,)," ")</f>
        <v>август 2023</v>
      </c>
      <c r="I2263" s="10">
        <f>IF(Таблицаx_2[[#This Row],[Месяц окончания]]=Таблицаx_2[[#This Row],[Месяц]],Таблицаx_2[[#This Row],[Значения числа]],0)</f>
        <v>216145</v>
      </c>
      <c r="J2263" s="8">
        <f>IF(AND(Таблицаx_2[[#This Row],[Месяц окончания]]=Таблицаx_2[[#This Row],[Месяц]],Таблицаx_2[[#This Row],[id]]=A2264,EDATE(Таблицаx_2[[#This Row],[Месяц]],1)=D2264),F2264,0)</f>
        <v>223145</v>
      </c>
      <c r="K2263" s="8">
        <f>IF(AND(Таблицаx_2[[#This Row],[Месяц окончания]]=Таблицаx_2[[#This Row],[Месяц]],Таблицаx_2[[#This Row],[id]]=A2264,EDATE(Таблицаx_2[[#This Row],[Месяц]],2)=D2264),F2264,0)</f>
        <v>0</v>
      </c>
    </row>
    <row r="2264" spans="1:11" ht="12.75" hidden="1" customHeight="1" x14ac:dyDescent="0.2">
      <c r="A2264" s="8">
        <v>673</v>
      </c>
      <c r="B2264" s="8" t="s">
        <v>52</v>
      </c>
      <c r="C2264" s="8" t="s">
        <v>8</v>
      </c>
      <c r="D2264" s="12">
        <v>45170</v>
      </c>
      <c r="E2264" s="8">
        <v>223145</v>
      </c>
      <c r="F2264" s="10">
        <f>IF(ISTEXT(Таблицаx_2[[#This Row],[Значение]]), 0, Таблицаx_2[[#This Row],[Значение]])</f>
        <v>223145</v>
      </c>
      <c r="G2264" s="12">
        <v>45139</v>
      </c>
      <c r="H2264" s="10" t="str">
        <f>IFERROR(VLOOKUP(Таблицаx_2[[#This Row],[id]],prolongations!A:C,2,)," ")</f>
        <v>август 2023</v>
      </c>
      <c r="I2264" s="10">
        <f>IF(Таблицаx_2[[#This Row],[Месяц окончания]]=Таблицаx_2[[#This Row],[Месяц]],Таблицаx_2[[#This Row],[Значения числа]],0)</f>
        <v>0</v>
      </c>
      <c r="J2264" s="8">
        <f>IF(AND(Таблицаx_2[[#This Row],[Месяц окончания]]=Таблицаx_2[[#This Row],[Месяц]],Таблицаx_2[[#This Row],[id]]=A2265,EDATE(Таблицаx_2[[#This Row],[Месяц]],1)=D2265),F2265,0)</f>
        <v>0</v>
      </c>
      <c r="K2264" s="8">
        <f>IF(AND(Таблицаx_2[[#This Row],[Месяц окончания]]=Таблицаx_2[[#This Row],[Месяц]],Таблицаx_2[[#This Row],[id]]=A2265,EDATE(Таблицаx_2[[#This Row],[Месяц]],2)=D2265),F2265,0)</f>
        <v>0</v>
      </c>
    </row>
    <row r="2265" spans="1:11" ht="12.75" hidden="1" customHeight="1" x14ac:dyDescent="0.2">
      <c r="A2265" s="8">
        <v>673</v>
      </c>
      <c r="B2265" s="8" t="s">
        <v>52</v>
      </c>
      <c r="C2265" s="8" t="s">
        <v>8</v>
      </c>
      <c r="D2265" s="12">
        <v>45200</v>
      </c>
      <c r="E2265" s="8">
        <v>223145</v>
      </c>
      <c r="F2265" s="10">
        <f>IF(ISTEXT(Таблицаx_2[[#This Row],[Значение]]), 0, Таблицаx_2[[#This Row],[Значение]])</f>
        <v>223145</v>
      </c>
      <c r="G2265" s="12">
        <v>45139</v>
      </c>
      <c r="H2265" s="10" t="str">
        <f>IFERROR(VLOOKUP(Таблицаx_2[[#This Row],[id]],prolongations!A:C,2,)," ")</f>
        <v>август 2023</v>
      </c>
      <c r="I2265" s="10">
        <f>IF(Таблицаx_2[[#This Row],[Месяц окончания]]=Таблицаx_2[[#This Row],[Месяц]],Таблицаx_2[[#This Row],[Значения числа]],0)</f>
        <v>0</v>
      </c>
      <c r="J2265" s="8">
        <f>IF(AND(Таблицаx_2[[#This Row],[Месяц окончания]]=Таблицаx_2[[#This Row],[Месяц]],Таблицаx_2[[#This Row],[id]]=A2266,EDATE(Таблицаx_2[[#This Row],[Месяц]],1)=D2266),F2266,0)</f>
        <v>0</v>
      </c>
      <c r="K2265" s="8">
        <f>IF(AND(Таблицаx_2[[#This Row],[Месяц окончания]]=Таблицаx_2[[#This Row],[Месяц]],Таблицаx_2[[#This Row],[id]]=A2266,EDATE(Таблицаx_2[[#This Row],[Месяц]],2)=D2266),F2266,0)</f>
        <v>0</v>
      </c>
    </row>
    <row r="2266" spans="1:11" ht="12.75" hidden="1" customHeight="1" x14ac:dyDescent="0.2">
      <c r="A2266" s="8">
        <v>673</v>
      </c>
      <c r="B2266" s="8" t="s">
        <v>52</v>
      </c>
      <c r="C2266" s="8" t="s">
        <v>8</v>
      </c>
      <c r="D2266" s="12">
        <v>45231</v>
      </c>
      <c r="E2266" s="8">
        <v>223990</v>
      </c>
      <c r="F2266" s="10">
        <f>IF(ISTEXT(Таблицаx_2[[#This Row],[Значение]]), 0, Таблицаx_2[[#This Row],[Значение]])</f>
        <v>223990</v>
      </c>
      <c r="G2266" s="12">
        <v>45139</v>
      </c>
      <c r="H2266" s="10" t="str">
        <f>IFERROR(VLOOKUP(Таблицаx_2[[#This Row],[id]],prolongations!A:C,2,)," ")</f>
        <v>август 2023</v>
      </c>
      <c r="I2266" s="10">
        <f>IF(Таблицаx_2[[#This Row],[Месяц окончания]]=Таблицаx_2[[#This Row],[Месяц]],Таблицаx_2[[#This Row],[Значения числа]],0)</f>
        <v>0</v>
      </c>
      <c r="J2266" s="8">
        <f>IF(AND(Таблицаx_2[[#This Row],[Месяц окончания]]=Таблицаx_2[[#This Row],[Месяц]],Таблицаx_2[[#This Row],[id]]=A2267,EDATE(Таблицаx_2[[#This Row],[Месяц]],1)=D2267),F2267,0)</f>
        <v>0</v>
      </c>
      <c r="K2266" s="8">
        <f>IF(AND(Таблицаx_2[[#This Row],[Месяц окончания]]=Таблицаx_2[[#This Row],[Месяц]],Таблицаx_2[[#This Row],[id]]=A2267,EDATE(Таблицаx_2[[#This Row],[Месяц]],2)=D2267),F2267,0)</f>
        <v>0</v>
      </c>
    </row>
    <row r="2267" spans="1:11" ht="12.75" hidden="1" customHeight="1" x14ac:dyDescent="0.2">
      <c r="A2267" s="8">
        <v>673</v>
      </c>
      <c r="B2267" s="8" t="s">
        <v>52</v>
      </c>
      <c r="C2267" s="8" t="s">
        <v>8</v>
      </c>
      <c r="D2267" s="12">
        <v>45261</v>
      </c>
      <c r="E2267" s="8">
        <v>224885</v>
      </c>
      <c r="F2267" s="10">
        <f>IF(ISTEXT(Таблицаx_2[[#This Row],[Значение]]), 0, Таблицаx_2[[#This Row],[Значение]])</f>
        <v>224885</v>
      </c>
      <c r="G2267" s="12">
        <v>45139</v>
      </c>
      <c r="H2267" s="10" t="str">
        <f>IFERROR(VLOOKUP(Таблицаx_2[[#This Row],[id]],prolongations!A:C,2,)," ")</f>
        <v>август 2023</v>
      </c>
      <c r="I2267" s="10">
        <f>IF(Таблицаx_2[[#This Row],[Месяц окончания]]=Таблицаx_2[[#This Row],[Месяц]],Таблицаx_2[[#This Row],[Значения числа]],0)</f>
        <v>0</v>
      </c>
      <c r="J2267" s="8">
        <f>IF(AND(Таблицаx_2[[#This Row],[Месяц окончания]]=Таблицаx_2[[#This Row],[Месяц]],Таблицаx_2[[#This Row],[id]]=A2268,EDATE(Таблицаx_2[[#This Row],[Месяц]],1)=D2268),F2268,0)</f>
        <v>0</v>
      </c>
      <c r="K2267" s="8">
        <f>IF(AND(Таблицаx_2[[#This Row],[Месяц окончания]]=Таблицаx_2[[#This Row],[Месяц]],Таблицаx_2[[#This Row],[id]]=A2268,EDATE(Таблицаx_2[[#This Row],[Месяц]],2)=D2268),F2268,0)</f>
        <v>0</v>
      </c>
    </row>
    <row r="2268" spans="1:11" ht="12.75" hidden="1" customHeight="1" x14ac:dyDescent="0.2">
      <c r="A2268" s="8">
        <v>673</v>
      </c>
      <c r="B2268" s="8" t="s">
        <v>52</v>
      </c>
      <c r="C2268" s="8" t="s">
        <v>8</v>
      </c>
      <c r="D2268" s="12">
        <v>45292</v>
      </c>
      <c r="E2268" s="8">
        <v>226050</v>
      </c>
      <c r="F2268" s="10">
        <f>IF(ISTEXT(Таблицаx_2[[#This Row],[Значение]]), 0, Таблицаx_2[[#This Row],[Значение]])</f>
        <v>226050</v>
      </c>
      <c r="G2268" s="12">
        <v>45139</v>
      </c>
      <c r="H2268" s="10" t="str">
        <f>IFERROR(VLOOKUP(Таблицаx_2[[#This Row],[id]],prolongations!A:C,2,)," ")</f>
        <v>август 2023</v>
      </c>
      <c r="I2268" s="10">
        <f>IF(Таблицаx_2[[#This Row],[Месяц окончания]]=Таблицаx_2[[#This Row],[Месяц]],Таблицаx_2[[#This Row],[Значения числа]],0)</f>
        <v>0</v>
      </c>
      <c r="J2268" s="8">
        <f>IF(AND(Таблицаx_2[[#This Row],[Месяц окончания]]=Таблицаx_2[[#This Row],[Месяц]],Таблицаx_2[[#This Row],[id]]=A2269,EDATE(Таблицаx_2[[#This Row],[Месяц]],1)=D2269),F2269,0)</f>
        <v>0</v>
      </c>
      <c r="K2268" s="8">
        <f>IF(AND(Таблицаx_2[[#This Row],[Месяц окончания]]=Таблицаx_2[[#This Row],[Месяц]],Таблицаx_2[[#This Row],[id]]=A2269,EDATE(Таблицаx_2[[#This Row],[Месяц]],2)=D2269),F2269,0)</f>
        <v>0</v>
      </c>
    </row>
    <row r="2269" spans="1:11" ht="12.75" hidden="1" customHeight="1" x14ac:dyDescent="0.2">
      <c r="A2269" s="8">
        <v>673</v>
      </c>
      <c r="B2269" s="8" t="s">
        <v>52</v>
      </c>
      <c r="C2269" s="8" t="s">
        <v>8</v>
      </c>
      <c r="D2269" s="12">
        <v>45323</v>
      </c>
      <c r="E2269" s="8">
        <v>226050</v>
      </c>
      <c r="F2269" s="10">
        <f>IF(ISTEXT(Таблицаx_2[[#This Row],[Значение]]), 0, Таблицаx_2[[#This Row],[Значение]])</f>
        <v>226050</v>
      </c>
      <c r="G2269" s="12">
        <v>45139</v>
      </c>
      <c r="H2269" s="10" t="str">
        <f>IFERROR(VLOOKUP(Таблицаx_2[[#This Row],[id]],prolongations!A:C,2,)," ")</f>
        <v>август 2023</v>
      </c>
      <c r="I2269" s="10">
        <f>IF(Таблицаx_2[[#This Row],[Месяц окончания]]=Таблицаx_2[[#This Row],[Месяц]],Таблицаx_2[[#This Row],[Значения числа]],0)</f>
        <v>0</v>
      </c>
      <c r="J2269" s="8">
        <f>IF(AND(Таблицаx_2[[#This Row],[Месяц окончания]]=Таблицаx_2[[#This Row],[Месяц]],Таблицаx_2[[#This Row],[id]]=A2270,EDATE(Таблицаx_2[[#This Row],[Месяц]],1)=D2270),F2270,0)</f>
        <v>0</v>
      </c>
      <c r="K2269" s="8">
        <f>IF(AND(Таблицаx_2[[#This Row],[Месяц окончания]]=Таблицаx_2[[#This Row],[Месяц]],Таблицаx_2[[#This Row],[id]]=A2270,EDATE(Таблицаx_2[[#This Row],[Месяц]],2)=D2270),F2270,0)</f>
        <v>0</v>
      </c>
    </row>
    <row r="2270" spans="1:11" ht="12.75" hidden="1" customHeight="1" x14ac:dyDescent="0.2">
      <c r="A2270" s="8">
        <v>673</v>
      </c>
      <c r="B2270" s="8" t="s">
        <v>50</v>
      </c>
      <c r="C2270" s="8" t="s">
        <v>8</v>
      </c>
      <c r="D2270" s="12">
        <v>45047</v>
      </c>
      <c r="E2270" s="8">
        <v>3965</v>
      </c>
      <c r="F2270" s="10">
        <f>IF(ISTEXT(Таблицаx_2[[#This Row],[Значение]]), 0, Таблицаx_2[[#This Row],[Значение]])</f>
        <v>3965</v>
      </c>
      <c r="G2270" s="12">
        <v>45139</v>
      </c>
      <c r="H2270" s="10" t="str">
        <f>IFERROR(VLOOKUP(Таблицаx_2[[#This Row],[id]],prolongations!A:C,2,)," ")</f>
        <v>август 2023</v>
      </c>
      <c r="I2270" s="10">
        <f>IF(Таблицаx_2[[#This Row],[Месяц окончания]]=Таблицаx_2[[#This Row],[Месяц]],Таблицаx_2[[#This Row],[Значения числа]],0)</f>
        <v>0</v>
      </c>
      <c r="J2270" s="8">
        <f>IF(AND(Таблицаx_2[[#This Row],[Месяц окончания]]=Таблицаx_2[[#This Row],[Месяц]],Таблицаx_2[[#This Row],[id]]=A2271,EDATE(Таблицаx_2[[#This Row],[Месяц]],1)=D2271),F2271,0)</f>
        <v>0</v>
      </c>
      <c r="K2270" s="8">
        <f>IF(AND(Таблицаx_2[[#This Row],[Месяц окончания]]=Таблицаx_2[[#This Row],[Месяц]],Таблицаx_2[[#This Row],[id]]=A2271,EDATE(Таблицаx_2[[#This Row],[Месяц]],2)=D2271),F2271,0)</f>
        <v>0</v>
      </c>
    </row>
    <row r="2271" spans="1:11" ht="12.75" hidden="1" customHeight="1" x14ac:dyDescent="0.2">
      <c r="A2271" s="8">
        <v>673</v>
      </c>
      <c r="B2271" s="8" t="s">
        <v>50</v>
      </c>
      <c r="C2271" s="8" t="s">
        <v>8</v>
      </c>
      <c r="D2271" s="12">
        <v>45078</v>
      </c>
      <c r="E2271" s="8">
        <v>915</v>
      </c>
      <c r="F2271" s="10">
        <f>IF(ISTEXT(Таблицаx_2[[#This Row],[Значение]]), 0, Таблицаx_2[[#This Row],[Значение]])</f>
        <v>915</v>
      </c>
      <c r="G2271" s="12">
        <v>45139</v>
      </c>
      <c r="H2271" s="10" t="str">
        <f>IFERROR(VLOOKUP(Таблицаx_2[[#This Row],[id]],prolongations!A:C,2,)," ")</f>
        <v>август 2023</v>
      </c>
      <c r="I2271" s="10">
        <f>IF(Таблицаx_2[[#This Row],[Месяц окончания]]=Таблицаx_2[[#This Row],[Месяц]],Таблицаx_2[[#This Row],[Значения числа]],0)</f>
        <v>0</v>
      </c>
      <c r="J2271" s="8">
        <f>IF(AND(Таблицаx_2[[#This Row],[Месяц окончания]]=Таблицаx_2[[#This Row],[Месяц]],Таблицаx_2[[#This Row],[id]]=A2272,EDATE(Таблицаx_2[[#This Row],[Месяц]],1)=D2272),F2272,0)</f>
        <v>0</v>
      </c>
      <c r="K2271" s="8">
        <f>IF(AND(Таблицаx_2[[#This Row],[Месяц окончания]]=Таблицаx_2[[#This Row],[Месяц]],Таблицаx_2[[#This Row],[id]]=A2272,EDATE(Таблицаx_2[[#This Row],[Месяц]],2)=D2272),F2272,0)</f>
        <v>0</v>
      </c>
    </row>
    <row r="2272" spans="1:11" ht="12.75" hidden="1" customHeight="1" x14ac:dyDescent="0.2">
      <c r="A2272" s="8">
        <v>673</v>
      </c>
      <c r="B2272" s="8" t="s">
        <v>50</v>
      </c>
      <c r="C2272" s="8" t="s">
        <v>8</v>
      </c>
      <c r="D2272" s="12">
        <v>45108</v>
      </c>
      <c r="E2272" s="8">
        <v>1830</v>
      </c>
      <c r="F2272" s="10">
        <f>IF(ISTEXT(Таблицаx_2[[#This Row],[Значение]]), 0, Таблицаx_2[[#This Row],[Значение]])</f>
        <v>1830</v>
      </c>
      <c r="G2272" s="12">
        <v>45139</v>
      </c>
      <c r="H2272" s="10" t="str">
        <f>IFERROR(VLOOKUP(Таблицаx_2[[#This Row],[id]],prolongations!A:C,2,)," ")</f>
        <v>август 2023</v>
      </c>
      <c r="I2272" s="10">
        <f>IF(Таблицаx_2[[#This Row],[Месяц окончания]]=Таблицаx_2[[#This Row],[Месяц]],Таблицаx_2[[#This Row],[Значения числа]],0)</f>
        <v>0</v>
      </c>
      <c r="J2272" s="8">
        <f>IF(AND(Таблицаx_2[[#This Row],[Месяц окончания]]=Таблицаx_2[[#This Row],[Месяц]],Таблицаx_2[[#This Row],[id]]=A2273,EDATE(Таблицаx_2[[#This Row],[Месяц]],1)=D2273),F2273,0)</f>
        <v>0</v>
      </c>
      <c r="K2272" s="8">
        <f>IF(AND(Таблицаx_2[[#This Row],[Месяц окончания]]=Таблицаx_2[[#This Row],[Месяц]],Таблицаx_2[[#This Row],[id]]=A2273,EDATE(Таблицаx_2[[#This Row],[Месяц]],2)=D2273),F2273,0)</f>
        <v>0</v>
      </c>
    </row>
    <row r="2273" spans="1:11" ht="12.75" hidden="1" customHeight="1" x14ac:dyDescent="0.2">
      <c r="A2273" s="8">
        <v>673</v>
      </c>
      <c r="B2273" s="8" t="s">
        <v>50</v>
      </c>
      <c r="C2273" s="8" t="s">
        <v>8</v>
      </c>
      <c r="D2273" s="12">
        <v>45139</v>
      </c>
      <c r="E2273" s="8">
        <v>12200</v>
      </c>
      <c r="F2273" s="10">
        <f>IF(ISTEXT(Таблицаx_2[[#This Row],[Значение]]), 0, Таблицаx_2[[#This Row],[Значение]])</f>
        <v>12200</v>
      </c>
      <c r="G2273" s="12">
        <v>45139</v>
      </c>
      <c r="H2273" s="10" t="str">
        <f>IFERROR(VLOOKUP(Таблицаx_2[[#This Row],[id]],prolongations!A:C,2,)," ")</f>
        <v>август 2023</v>
      </c>
      <c r="I2273" s="10">
        <f>IF(Таблицаx_2[[#This Row],[Месяц окончания]]=Таблицаx_2[[#This Row],[Месяц]],Таблицаx_2[[#This Row],[Значения числа]],0)</f>
        <v>12200</v>
      </c>
      <c r="J2273" s="8">
        <f>IF(AND(Таблицаx_2[[#This Row],[Месяц окончания]]=Таблицаx_2[[#This Row],[Месяц]],Таблицаx_2[[#This Row],[id]]=A2274,EDATE(Таблицаx_2[[#This Row],[Месяц]],1)=D2274),F2274,0)</f>
        <v>0</v>
      </c>
      <c r="K2273" s="8">
        <f>IF(AND(Таблицаx_2[[#This Row],[Месяц окончания]]=Таблицаx_2[[#This Row],[Месяц]],Таблицаx_2[[#This Row],[id]]=A2274,EDATE(Таблицаx_2[[#This Row],[Месяц]],2)=D2274),F2274,0)</f>
        <v>0</v>
      </c>
    </row>
    <row r="2274" spans="1:11" ht="12.75" hidden="1" customHeight="1" x14ac:dyDescent="0.2">
      <c r="A2274" s="8">
        <v>673</v>
      </c>
      <c r="B2274" s="8" t="s">
        <v>50</v>
      </c>
      <c r="C2274" s="8" t="s">
        <v>8</v>
      </c>
      <c r="D2274" s="12">
        <v>45170</v>
      </c>
      <c r="E2274" s="8" t="s">
        <v>48</v>
      </c>
      <c r="F2274" s="10">
        <f>IF(ISTEXT(Таблицаx_2[[#This Row],[Значение]]), 0, Таблицаx_2[[#This Row],[Значение]])</f>
        <v>0</v>
      </c>
      <c r="G2274" s="12">
        <v>45139</v>
      </c>
      <c r="H2274" s="10" t="str">
        <f>IFERROR(VLOOKUP(Таблицаx_2[[#This Row],[id]],prolongations!A:C,2,)," ")</f>
        <v>август 2023</v>
      </c>
      <c r="I2274" s="10">
        <f>IF(Таблицаx_2[[#This Row],[Месяц окончания]]=Таблицаx_2[[#This Row],[Месяц]],Таблицаx_2[[#This Row],[Значения числа]],0)</f>
        <v>0</v>
      </c>
      <c r="J2274" s="8">
        <f>IF(AND(Таблицаx_2[[#This Row],[Месяц окончания]]=Таблицаx_2[[#This Row],[Месяц]],Таблицаx_2[[#This Row],[id]]=A2275,EDATE(Таблицаx_2[[#This Row],[Месяц]],1)=D2275),F2275,0)</f>
        <v>0</v>
      </c>
      <c r="K2274" s="8">
        <f>IF(AND(Таблицаx_2[[#This Row],[Месяц окончания]]=Таблицаx_2[[#This Row],[Месяц]],Таблицаx_2[[#This Row],[id]]=A2275,EDATE(Таблицаx_2[[#This Row],[Месяц]],2)=D2275),F2275,0)</f>
        <v>0</v>
      </c>
    </row>
    <row r="2275" spans="1:11" ht="12.75" hidden="1" customHeight="1" x14ac:dyDescent="0.2">
      <c r="A2275" s="8">
        <v>673</v>
      </c>
      <c r="B2275" s="8" t="s">
        <v>50</v>
      </c>
      <c r="C2275" s="8" t="s">
        <v>8</v>
      </c>
      <c r="D2275" s="12">
        <v>45200</v>
      </c>
      <c r="E2275" s="8" t="s">
        <v>48</v>
      </c>
      <c r="F2275" s="10">
        <f>IF(ISTEXT(Таблицаx_2[[#This Row],[Значение]]), 0, Таблицаx_2[[#This Row],[Значение]])</f>
        <v>0</v>
      </c>
      <c r="G2275" s="12">
        <v>45139</v>
      </c>
      <c r="H2275" s="10" t="str">
        <f>IFERROR(VLOOKUP(Таблицаx_2[[#This Row],[id]],prolongations!A:C,2,)," ")</f>
        <v>август 2023</v>
      </c>
      <c r="I2275" s="10">
        <f>IF(Таблицаx_2[[#This Row],[Месяц окончания]]=Таблицаx_2[[#This Row],[Месяц]],Таблицаx_2[[#This Row],[Значения числа]],0)</f>
        <v>0</v>
      </c>
      <c r="J2275" s="8">
        <f>IF(AND(Таблицаx_2[[#This Row],[Месяц окончания]]=Таблицаx_2[[#This Row],[Месяц]],Таблицаx_2[[#This Row],[id]]=A2276,EDATE(Таблицаx_2[[#This Row],[Месяц]],1)=D2276),F2276,0)</f>
        <v>0</v>
      </c>
      <c r="K2275" s="8">
        <f>IF(AND(Таблицаx_2[[#This Row],[Месяц окончания]]=Таблицаx_2[[#This Row],[Месяц]],Таблицаx_2[[#This Row],[id]]=A2276,EDATE(Таблицаx_2[[#This Row],[Месяц]],2)=D2276),F2276,0)</f>
        <v>0</v>
      </c>
    </row>
    <row r="2276" spans="1:11" ht="12.75" hidden="1" customHeight="1" x14ac:dyDescent="0.2">
      <c r="A2276" s="8">
        <v>673</v>
      </c>
      <c r="B2276" s="8" t="s">
        <v>50</v>
      </c>
      <c r="C2276" s="8" t="s">
        <v>8</v>
      </c>
      <c r="D2276" s="12">
        <v>45231</v>
      </c>
      <c r="E2276" s="8" t="s">
        <v>48</v>
      </c>
      <c r="F2276" s="10">
        <f>IF(ISTEXT(Таблицаx_2[[#This Row],[Значение]]), 0, Таблицаx_2[[#This Row],[Значение]])</f>
        <v>0</v>
      </c>
      <c r="G2276" s="12">
        <v>45139</v>
      </c>
      <c r="H2276" s="10" t="str">
        <f>IFERROR(VLOOKUP(Таблицаx_2[[#This Row],[id]],prolongations!A:C,2,)," ")</f>
        <v>август 2023</v>
      </c>
      <c r="I2276" s="10">
        <f>IF(Таблицаx_2[[#This Row],[Месяц окончания]]=Таблицаx_2[[#This Row],[Месяц]],Таблицаx_2[[#This Row],[Значения числа]],0)</f>
        <v>0</v>
      </c>
      <c r="J2276" s="8">
        <f>IF(AND(Таблицаx_2[[#This Row],[Месяц окончания]]=Таблицаx_2[[#This Row],[Месяц]],Таблицаx_2[[#This Row],[id]]=A2277,EDATE(Таблицаx_2[[#This Row],[Месяц]],1)=D2277),F2277,0)</f>
        <v>0</v>
      </c>
      <c r="K2276" s="8">
        <f>IF(AND(Таблицаx_2[[#This Row],[Месяц окончания]]=Таблицаx_2[[#This Row],[Месяц]],Таблицаx_2[[#This Row],[id]]=A2277,EDATE(Таблицаx_2[[#This Row],[Месяц]],2)=D2277),F2277,0)</f>
        <v>0</v>
      </c>
    </row>
    <row r="2277" spans="1:11" ht="12.75" hidden="1" customHeight="1" x14ac:dyDescent="0.2">
      <c r="A2277" s="8">
        <v>673</v>
      </c>
      <c r="B2277" s="8" t="s">
        <v>50</v>
      </c>
      <c r="C2277" s="8" t="s">
        <v>8</v>
      </c>
      <c r="D2277" s="12">
        <v>45261</v>
      </c>
      <c r="E2277" s="8" t="s">
        <v>48</v>
      </c>
      <c r="F2277" s="10">
        <f>IF(ISTEXT(Таблицаx_2[[#This Row],[Значение]]), 0, Таблицаx_2[[#This Row],[Значение]])</f>
        <v>0</v>
      </c>
      <c r="G2277" s="12">
        <v>45139</v>
      </c>
      <c r="H2277" s="10" t="str">
        <f>IFERROR(VLOOKUP(Таблицаx_2[[#This Row],[id]],prolongations!A:C,2,)," ")</f>
        <v>август 2023</v>
      </c>
      <c r="I2277" s="10">
        <f>IF(Таблицаx_2[[#This Row],[Месяц окончания]]=Таблицаx_2[[#This Row],[Месяц]],Таблицаx_2[[#This Row],[Значения числа]],0)</f>
        <v>0</v>
      </c>
      <c r="J2277" s="8">
        <f>IF(AND(Таблицаx_2[[#This Row],[Месяц окончания]]=Таблицаx_2[[#This Row],[Месяц]],Таблицаx_2[[#This Row],[id]]=A2278,EDATE(Таблицаx_2[[#This Row],[Месяц]],1)=D2278),F2278,0)</f>
        <v>0</v>
      </c>
      <c r="K2277" s="8">
        <f>IF(AND(Таблицаx_2[[#This Row],[Месяц окончания]]=Таблицаx_2[[#This Row],[Месяц]],Таблицаx_2[[#This Row],[id]]=A2278,EDATE(Таблицаx_2[[#This Row],[Месяц]],2)=D2278),F2278,0)</f>
        <v>0</v>
      </c>
    </row>
    <row r="2278" spans="1:11" ht="12.75" hidden="1" customHeight="1" x14ac:dyDescent="0.2">
      <c r="A2278" s="8">
        <v>673</v>
      </c>
      <c r="B2278" s="8" t="s">
        <v>50</v>
      </c>
      <c r="C2278" s="8" t="s">
        <v>8</v>
      </c>
      <c r="D2278" s="12">
        <v>45292</v>
      </c>
      <c r="E2278" s="8" t="s">
        <v>48</v>
      </c>
      <c r="F2278" s="10">
        <f>IF(ISTEXT(Таблицаx_2[[#This Row],[Значение]]), 0, Таблицаx_2[[#This Row],[Значение]])</f>
        <v>0</v>
      </c>
      <c r="G2278" s="12">
        <v>45139</v>
      </c>
      <c r="H2278" s="10" t="str">
        <f>IFERROR(VLOOKUP(Таблицаx_2[[#This Row],[id]],prolongations!A:C,2,)," ")</f>
        <v>август 2023</v>
      </c>
      <c r="I2278" s="10">
        <f>IF(Таблицаx_2[[#This Row],[Месяц окончания]]=Таблицаx_2[[#This Row],[Месяц]],Таблицаx_2[[#This Row],[Значения числа]],0)</f>
        <v>0</v>
      </c>
      <c r="J2278" s="8">
        <f>IF(AND(Таблицаx_2[[#This Row],[Месяц окончания]]=Таблицаx_2[[#This Row],[Месяц]],Таблицаx_2[[#This Row],[id]]=A2279,EDATE(Таблицаx_2[[#This Row],[Месяц]],1)=D2279),F2279,0)</f>
        <v>0</v>
      </c>
      <c r="K2278" s="8">
        <f>IF(AND(Таблицаx_2[[#This Row],[Месяц окончания]]=Таблицаx_2[[#This Row],[Месяц]],Таблицаx_2[[#This Row],[id]]=A2279,EDATE(Таблицаx_2[[#This Row],[Месяц]],2)=D2279),F2279,0)</f>
        <v>0</v>
      </c>
    </row>
    <row r="2279" spans="1:11" ht="12.75" hidden="1" customHeight="1" x14ac:dyDescent="0.2">
      <c r="A2279" s="8">
        <v>673</v>
      </c>
      <c r="B2279" s="8" t="s">
        <v>50</v>
      </c>
      <c r="C2279" s="8" t="s">
        <v>8</v>
      </c>
      <c r="D2279" s="12">
        <v>45323</v>
      </c>
      <c r="E2279" s="8" t="s">
        <v>48</v>
      </c>
      <c r="F2279" s="10">
        <f>IF(ISTEXT(Таблицаx_2[[#This Row],[Значение]]), 0, Таблицаx_2[[#This Row],[Значение]])</f>
        <v>0</v>
      </c>
      <c r="G2279" s="12">
        <v>45139</v>
      </c>
      <c r="H2279" s="10" t="str">
        <f>IFERROR(VLOOKUP(Таблицаx_2[[#This Row],[id]],prolongations!A:C,2,)," ")</f>
        <v>август 2023</v>
      </c>
      <c r="I2279" s="10">
        <f>IF(Таблицаx_2[[#This Row],[Месяц окончания]]=Таблицаx_2[[#This Row],[Месяц]],Таблицаx_2[[#This Row],[Значения числа]],0)</f>
        <v>0</v>
      </c>
      <c r="J2279" s="8">
        <f>IF(AND(Таблицаx_2[[#This Row],[Месяц окончания]]=Таблицаx_2[[#This Row],[Месяц]],Таблицаx_2[[#This Row],[id]]=A2280,EDATE(Таблицаx_2[[#This Row],[Месяц]],1)=D2280),F2280,0)</f>
        <v>0</v>
      </c>
      <c r="K2279" s="8">
        <f>IF(AND(Таблицаx_2[[#This Row],[Месяц окончания]]=Таблицаx_2[[#This Row],[Месяц]],Таблицаx_2[[#This Row],[id]]=A2280,EDATE(Таблицаx_2[[#This Row],[Месяц]],2)=D2280),F2280,0)</f>
        <v>0</v>
      </c>
    </row>
    <row r="2280" spans="1:11" ht="12.75" hidden="1" customHeight="1" x14ac:dyDescent="0.2">
      <c r="A2280" s="8">
        <v>752</v>
      </c>
      <c r="B2280" s="8" t="s">
        <v>45</v>
      </c>
      <c r="C2280" s="8" t="s">
        <v>8</v>
      </c>
      <c r="D2280" s="12">
        <v>44927</v>
      </c>
      <c r="E2280" s="8">
        <v>75570</v>
      </c>
      <c r="F2280" s="10">
        <f>IF(ISTEXT(Таблицаx_2[[#This Row],[Значение]]), 0, Таблицаx_2[[#This Row],[Значение]])</f>
        <v>75570</v>
      </c>
      <c r="G2280" s="12">
        <v>45261</v>
      </c>
      <c r="H2280" s="10" t="str">
        <f>IFERROR(VLOOKUP(Таблицаx_2[[#This Row],[id]],prolongations!A:C,2,)," ")</f>
        <v>декабрь 2023</v>
      </c>
      <c r="I2280" s="10">
        <f>IF(Таблицаx_2[[#This Row],[Месяц окончания]]=Таблицаx_2[[#This Row],[Месяц]],Таблицаx_2[[#This Row],[Значения числа]],0)</f>
        <v>0</v>
      </c>
      <c r="J2280" s="8">
        <f>IF(AND(Таблицаx_2[[#This Row],[Месяц окончания]]=Таблицаx_2[[#This Row],[Месяц]],Таблицаx_2[[#This Row],[id]]=A2281,EDATE(Таблицаx_2[[#This Row],[Месяц]],1)=D2281),F2281,0)</f>
        <v>0</v>
      </c>
      <c r="K2280" s="8">
        <f>IF(AND(Таблицаx_2[[#This Row],[Месяц окончания]]=Таблицаx_2[[#This Row],[Месяц]],Таблицаx_2[[#This Row],[id]]=A2281,EDATE(Таблицаx_2[[#This Row],[Месяц]],2)=D2281),F2281,0)</f>
        <v>0</v>
      </c>
    </row>
    <row r="2281" spans="1:11" ht="12.75" hidden="1" customHeight="1" x14ac:dyDescent="0.2">
      <c r="A2281" s="8">
        <v>752</v>
      </c>
      <c r="B2281" s="8" t="s">
        <v>45</v>
      </c>
      <c r="C2281" s="8" t="s">
        <v>8</v>
      </c>
      <c r="D2281" s="12">
        <v>44958</v>
      </c>
      <c r="E2281" s="8">
        <v>41685</v>
      </c>
      <c r="F2281" s="10">
        <f>IF(ISTEXT(Таблицаx_2[[#This Row],[Значение]]), 0, Таблицаx_2[[#This Row],[Значение]])</f>
        <v>41685</v>
      </c>
      <c r="G2281" s="12">
        <v>45261</v>
      </c>
      <c r="H2281" s="10" t="str">
        <f>IFERROR(VLOOKUP(Таблицаx_2[[#This Row],[id]],prolongations!A:C,2,)," ")</f>
        <v>декабрь 2023</v>
      </c>
      <c r="I2281" s="10">
        <f>IF(Таблицаx_2[[#This Row],[Месяц окончания]]=Таблицаx_2[[#This Row],[Месяц]],Таблицаx_2[[#This Row],[Значения числа]],0)</f>
        <v>0</v>
      </c>
      <c r="J2281" s="8">
        <f>IF(AND(Таблицаx_2[[#This Row],[Месяц окончания]]=Таблицаx_2[[#This Row],[Месяц]],Таблицаx_2[[#This Row],[id]]=A2282,EDATE(Таблицаx_2[[#This Row],[Месяц]],1)=D2282),F2282,0)</f>
        <v>0</v>
      </c>
      <c r="K2281" s="8">
        <f>IF(AND(Таблицаx_2[[#This Row],[Месяц окончания]]=Таблицаx_2[[#This Row],[Месяц]],Таблицаx_2[[#This Row],[id]]=A2282,EDATE(Таблицаx_2[[#This Row],[Месяц]],2)=D2282),F2282,0)</f>
        <v>0</v>
      </c>
    </row>
    <row r="2282" spans="1:11" ht="12.75" hidden="1" customHeight="1" x14ac:dyDescent="0.2">
      <c r="A2282" s="8">
        <v>752</v>
      </c>
      <c r="B2282" s="8" t="s">
        <v>45</v>
      </c>
      <c r="C2282" s="8" t="s">
        <v>8</v>
      </c>
      <c r="D2282" s="12">
        <v>44986</v>
      </c>
      <c r="E2282" s="8">
        <v>41380</v>
      </c>
      <c r="F2282" s="10">
        <f>IF(ISTEXT(Таблицаx_2[[#This Row],[Значение]]), 0, Таблицаx_2[[#This Row],[Значение]])</f>
        <v>41380</v>
      </c>
      <c r="G2282" s="12">
        <v>45261</v>
      </c>
      <c r="H2282" s="10" t="str">
        <f>IFERROR(VLOOKUP(Таблицаx_2[[#This Row],[id]],prolongations!A:C,2,)," ")</f>
        <v>декабрь 2023</v>
      </c>
      <c r="I2282" s="10">
        <f>IF(Таблицаx_2[[#This Row],[Месяц окончания]]=Таблицаx_2[[#This Row],[Месяц]],Таблицаx_2[[#This Row],[Значения числа]],0)</f>
        <v>0</v>
      </c>
      <c r="J2282" s="8">
        <f>IF(AND(Таблицаx_2[[#This Row],[Месяц окончания]]=Таблицаx_2[[#This Row],[Месяц]],Таблицаx_2[[#This Row],[id]]=A2283,EDATE(Таблицаx_2[[#This Row],[Месяц]],1)=D2283),F2283,0)</f>
        <v>0</v>
      </c>
      <c r="K2282" s="8">
        <f>IF(AND(Таблицаx_2[[#This Row],[Месяц окончания]]=Таблицаx_2[[#This Row],[Месяц]],Таблицаx_2[[#This Row],[id]]=A2283,EDATE(Таблицаx_2[[#This Row],[Месяц]],2)=D2283),F2283,0)</f>
        <v>0</v>
      </c>
    </row>
    <row r="2283" spans="1:11" ht="12.75" hidden="1" customHeight="1" x14ac:dyDescent="0.2">
      <c r="A2283" s="8">
        <v>752</v>
      </c>
      <c r="B2283" s="8" t="s">
        <v>45</v>
      </c>
      <c r="C2283" s="8" t="s">
        <v>8</v>
      </c>
      <c r="D2283" s="12">
        <v>45017</v>
      </c>
      <c r="E2283" s="8">
        <v>41330</v>
      </c>
      <c r="F2283" s="10">
        <f>IF(ISTEXT(Таблицаx_2[[#This Row],[Значение]]), 0, Таблицаx_2[[#This Row],[Значение]])</f>
        <v>41330</v>
      </c>
      <c r="G2283" s="12">
        <v>45261</v>
      </c>
      <c r="H2283" s="10" t="str">
        <f>IFERROR(VLOOKUP(Таблицаx_2[[#This Row],[id]],prolongations!A:C,2,)," ")</f>
        <v>декабрь 2023</v>
      </c>
      <c r="I2283" s="10">
        <f>IF(Таблицаx_2[[#This Row],[Месяц окончания]]=Таблицаx_2[[#This Row],[Месяц]],Таблицаx_2[[#This Row],[Значения числа]],0)</f>
        <v>0</v>
      </c>
      <c r="J2283" s="8">
        <f>IF(AND(Таблицаx_2[[#This Row],[Месяц окончания]]=Таблицаx_2[[#This Row],[Месяц]],Таблицаx_2[[#This Row],[id]]=A2284,EDATE(Таблицаx_2[[#This Row],[Месяц]],1)=D2284),F2284,0)</f>
        <v>0</v>
      </c>
      <c r="K2283" s="8">
        <f>IF(AND(Таблицаx_2[[#This Row],[Месяц окончания]]=Таблицаx_2[[#This Row],[Месяц]],Таблицаx_2[[#This Row],[id]]=A2284,EDATE(Таблицаx_2[[#This Row],[Месяц]],2)=D2284),F2284,0)</f>
        <v>0</v>
      </c>
    </row>
    <row r="2284" spans="1:11" ht="12.75" hidden="1" customHeight="1" x14ac:dyDescent="0.2">
      <c r="A2284" s="8">
        <v>752</v>
      </c>
      <c r="B2284" s="8" t="s">
        <v>45</v>
      </c>
      <c r="C2284" s="8" t="s">
        <v>8</v>
      </c>
      <c r="D2284" s="12">
        <v>45047</v>
      </c>
      <c r="E2284" s="8">
        <v>41380</v>
      </c>
      <c r="F2284" s="10">
        <f>IF(ISTEXT(Таблицаx_2[[#This Row],[Значение]]), 0, Таблицаx_2[[#This Row],[Значение]])</f>
        <v>41380</v>
      </c>
      <c r="G2284" s="12">
        <v>45261</v>
      </c>
      <c r="H2284" s="10" t="str">
        <f>IFERROR(VLOOKUP(Таблицаx_2[[#This Row],[id]],prolongations!A:C,2,)," ")</f>
        <v>декабрь 2023</v>
      </c>
      <c r="I2284" s="10">
        <f>IF(Таблицаx_2[[#This Row],[Месяц окончания]]=Таблицаx_2[[#This Row],[Месяц]],Таблицаx_2[[#This Row],[Значения числа]],0)</f>
        <v>0</v>
      </c>
      <c r="J2284" s="8">
        <f>IF(AND(Таблицаx_2[[#This Row],[Месяц окончания]]=Таблицаx_2[[#This Row],[Месяц]],Таблицаx_2[[#This Row],[id]]=A2285,EDATE(Таблицаx_2[[#This Row],[Месяц]],1)=D2285),F2285,0)</f>
        <v>0</v>
      </c>
      <c r="K2284" s="8">
        <f>IF(AND(Таблицаx_2[[#This Row],[Месяц окончания]]=Таблицаx_2[[#This Row],[Месяц]],Таблицаx_2[[#This Row],[id]]=A2285,EDATE(Таблицаx_2[[#This Row],[Месяц]],2)=D2285),F2285,0)</f>
        <v>0</v>
      </c>
    </row>
    <row r="2285" spans="1:11" ht="12.75" hidden="1" customHeight="1" x14ac:dyDescent="0.2">
      <c r="A2285" s="8">
        <v>752</v>
      </c>
      <c r="B2285" s="8" t="s">
        <v>45</v>
      </c>
      <c r="C2285" s="8" t="s">
        <v>8</v>
      </c>
      <c r="D2285" s="12">
        <v>45078</v>
      </c>
      <c r="E2285" s="8">
        <v>41330</v>
      </c>
      <c r="F2285" s="10">
        <f>IF(ISTEXT(Таблицаx_2[[#This Row],[Значение]]), 0, Таблицаx_2[[#This Row],[Значение]])</f>
        <v>41330</v>
      </c>
      <c r="G2285" s="12">
        <v>45261</v>
      </c>
      <c r="H2285" s="10" t="str">
        <f>IFERROR(VLOOKUP(Таблицаx_2[[#This Row],[id]],prolongations!A:C,2,)," ")</f>
        <v>декабрь 2023</v>
      </c>
      <c r="I2285" s="10">
        <f>IF(Таблицаx_2[[#This Row],[Месяц окончания]]=Таблицаx_2[[#This Row],[Месяц]],Таблицаx_2[[#This Row],[Значения числа]],0)</f>
        <v>0</v>
      </c>
      <c r="J2285" s="8">
        <f>IF(AND(Таблицаx_2[[#This Row],[Месяц окончания]]=Таблицаx_2[[#This Row],[Месяц]],Таблицаx_2[[#This Row],[id]]=A2286,EDATE(Таблицаx_2[[#This Row],[Месяц]],1)=D2286),F2286,0)</f>
        <v>0</v>
      </c>
      <c r="K2285" s="8">
        <f>IF(AND(Таблицаx_2[[#This Row],[Месяц окончания]]=Таблицаx_2[[#This Row],[Месяц]],Таблицаx_2[[#This Row],[id]]=A2286,EDATE(Таблицаx_2[[#This Row],[Месяц]],2)=D2286),F2286,0)</f>
        <v>0</v>
      </c>
    </row>
    <row r="2286" spans="1:11" ht="12.75" hidden="1" customHeight="1" x14ac:dyDescent="0.2">
      <c r="A2286" s="8">
        <v>752</v>
      </c>
      <c r="B2286" s="8" t="s">
        <v>45</v>
      </c>
      <c r="C2286" s="8" t="s">
        <v>8</v>
      </c>
      <c r="D2286" s="12">
        <v>45108</v>
      </c>
      <c r="E2286" s="8">
        <v>41330</v>
      </c>
      <c r="F2286" s="10">
        <f>IF(ISTEXT(Таблицаx_2[[#This Row],[Значение]]), 0, Таблицаx_2[[#This Row],[Значение]])</f>
        <v>41330</v>
      </c>
      <c r="G2286" s="12">
        <v>45261</v>
      </c>
      <c r="H2286" s="10" t="str">
        <f>IFERROR(VLOOKUP(Таблицаx_2[[#This Row],[id]],prolongations!A:C,2,)," ")</f>
        <v>декабрь 2023</v>
      </c>
      <c r="I2286" s="10">
        <f>IF(Таблицаx_2[[#This Row],[Месяц окончания]]=Таблицаx_2[[#This Row],[Месяц]],Таблицаx_2[[#This Row],[Значения числа]],0)</f>
        <v>0</v>
      </c>
      <c r="J2286" s="8">
        <f>IF(AND(Таблицаx_2[[#This Row],[Месяц окончания]]=Таблицаx_2[[#This Row],[Месяц]],Таблицаx_2[[#This Row],[id]]=A2287,EDATE(Таблицаx_2[[#This Row],[Месяц]],1)=D2287),F2287,0)</f>
        <v>0</v>
      </c>
      <c r="K2286" s="8">
        <f>IF(AND(Таблицаx_2[[#This Row],[Месяц окончания]]=Таблицаx_2[[#This Row],[Месяц]],Таблицаx_2[[#This Row],[id]]=A2287,EDATE(Таблицаx_2[[#This Row],[Месяц]],2)=D2287),F2287,0)</f>
        <v>0</v>
      </c>
    </row>
    <row r="2287" spans="1:11" ht="12.75" hidden="1" customHeight="1" x14ac:dyDescent="0.2">
      <c r="A2287" s="8">
        <v>752</v>
      </c>
      <c r="B2287" s="8" t="s">
        <v>45</v>
      </c>
      <c r="C2287" s="8" t="s">
        <v>8</v>
      </c>
      <c r="D2287" s="12">
        <v>45139</v>
      </c>
      <c r="E2287" s="8">
        <v>41330</v>
      </c>
      <c r="F2287" s="10">
        <f>IF(ISTEXT(Таблицаx_2[[#This Row],[Значение]]), 0, Таблицаx_2[[#This Row],[Значение]])</f>
        <v>41330</v>
      </c>
      <c r="G2287" s="12">
        <v>45261</v>
      </c>
      <c r="H2287" s="10" t="str">
        <f>IFERROR(VLOOKUP(Таблицаx_2[[#This Row],[id]],prolongations!A:C,2,)," ")</f>
        <v>декабрь 2023</v>
      </c>
      <c r="I2287" s="10">
        <f>IF(Таблицаx_2[[#This Row],[Месяц окончания]]=Таблицаx_2[[#This Row],[Месяц]],Таблицаx_2[[#This Row],[Значения числа]],0)</f>
        <v>0</v>
      </c>
      <c r="J2287" s="8">
        <f>IF(AND(Таблицаx_2[[#This Row],[Месяц окончания]]=Таблицаx_2[[#This Row],[Месяц]],Таблицаx_2[[#This Row],[id]]=A2288,EDATE(Таблицаx_2[[#This Row],[Месяц]],1)=D2288),F2288,0)</f>
        <v>0</v>
      </c>
      <c r="K2287" s="8">
        <f>IF(AND(Таблицаx_2[[#This Row],[Месяц окончания]]=Таблицаx_2[[#This Row],[Месяц]],Таблицаx_2[[#This Row],[id]]=A2288,EDATE(Таблицаx_2[[#This Row],[Месяц]],2)=D2288),F2288,0)</f>
        <v>0</v>
      </c>
    </row>
    <row r="2288" spans="1:11" ht="12.75" hidden="1" customHeight="1" x14ac:dyDescent="0.2">
      <c r="A2288" s="8">
        <v>752</v>
      </c>
      <c r="B2288" s="8" t="s">
        <v>45</v>
      </c>
      <c r="C2288" s="8" t="s">
        <v>8</v>
      </c>
      <c r="D2288" s="12">
        <v>45170</v>
      </c>
      <c r="E2288" s="8">
        <v>41330</v>
      </c>
      <c r="F2288" s="10">
        <f>IF(ISTEXT(Таблицаx_2[[#This Row],[Значение]]), 0, Таблицаx_2[[#This Row],[Значение]])</f>
        <v>41330</v>
      </c>
      <c r="G2288" s="12">
        <v>45261</v>
      </c>
      <c r="H2288" s="10" t="str">
        <f>IFERROR(VLOOKUP(Таблицаx_2[[#This Row],[id]],prolongations!A:C,2,)," ")</f>
        <v>декабрь 2023</v>
      </c>
      <c r="I2288" s="10">
        <f>IF(Таблицаx_2[[#This Row],[Месяц окончания]]=Таблицаx_2[[#This Row],[Месяц]],Таблицаx_2[[#This Row],[Значения числа]],0)</f>
        <v>0</v>
      </c>
      <c r="J2288" s="8">
        <f>IF(AND(Таблицаx_2[[#This Row],[Месяц окончания]]=Таблицаx_2[[#This Row],[Месяц]],Таблицаx_2[[#This Row],[id]]=A2289,EDATE(Таблицаx_2[[#This Row],[Месяц]],1)=D2289),F2289,0)</f>
        <v>0</v>
      </c>
      <c r="K2288" s="8">
        <f>IF(AND(Таблицаx_2[[#This Row],[Месяц окончания]]=Таблицаx_2[[#This Row],[Месяц]],Таблицаx_2[[#This Row],[id]]=A2289,EDATE(Таблицаx_2[[#This Row],[Месяц]],2)=D2289),F2289,0)</f>
        <v>0</v>
      </c>
    </row>
    <row r="2289" spans="1:11" ht="12.75" hidden="1" customHeight="1" x14ac:dyDescent="0.2">
      <c r="A2289" s="8">
        <v>752</v>
      </c>
      <c r="B2289" s="8" t="s">
        <v>45</v>
      </c>
      <c r="C2289" s="8" t="s">
        <v>8</v>
      </c>
      <c r="D2289" s="12">
        <v>45200</v>
      </c>
      <c r="E2289" s="8">
        <v>41380</v>
      </c>
      <c r="F2289" s="10">
        <f>IF(ISTEXT(Таблицаx_2[[#This Row],[Значение]]), 0, Таблицаx_2[[#This Row],[Значение]])</f>
        <v>41380</v>
      </c>
      <c r="G2289" s="12">
        <v>45261</v>
      </c>
      <c r="H2289" s="10" t="str">
        <f>IFERROR(VLOOKUP(Таблицаx_2[[#This Row],[id]],prolongations!A:C,2,)," ")</f>
        <v>декабрь 2023</v>
      </c>
      <c r="I2289" s="10">
        <f>IF(Таблицаx_2[[#This Row],[Месяц окончания]]=Таблицаx_2[[#This Row],[Месяц]],Таблицаx_2[[#This Row],[Значения числа]],0)</f>
        <v>0</v>
      </c>
      <c r="J2289" s="8">
        <f>IF(AND(Таблицаx_2[[#This Row],[Месяц окончания]]=Таблицаx_2[[#This Row],[Месяц]],Таблицаx_2[[#This Row],[id]]=A2290,EDATE(Таблицаx_2[[#This Row],[Месяц]],1)=D2290),F2290,0)</f>
        <v>0</v>
      </c>
      <c r="K2289" s="8">
        <f>IF(AND(Таблицаx_2[[#This Row],[Месяц окончания]]=Таблицаx_2[[#This Row],[Месяц]],Таблицаx_2[[#This Row],[id]]=A2290,EDATE(Таблицаx_2[[#This Row],[Месяц]],2)=D2290),F2290,0)</f>
        <v>0</v>
      </c>
    </row>
    <row r="2290" spans="1:11" ht="12.75" hidden="1" customHeight="1" x14ac:dyDescent="0.2">
      <c r="A2290" s="8">
        <v>752</v>
      </c>
      <c r="B2290" s="8" t="s">
        <v>45</v>
      </c>
      <c r="C2290" s="8" t="s">
        <v>8</v>
      </c>
      <c r="D2290" s="12">
        <v>45231</v>
      </c>
      <c r="E2290" s="8">
        <v>41330</v>
      </c>
      <c r="F2290" s="10">
        <f>IF(ISTEXT(Таблицаx_2[[#This Row],[Значение]]), 0, Таблицаx_2[[#This Row],[Значение]])</f>
        <v>41330</v>
      </c>
      <c r="G2290" s="12">
        <v>45261</v>
      </c>
      <c r="H2290" s="10" t="str">
        <f>IFERROR(VLOOKUP(Таблицаx_2[[#This Row],[id]],prolongations!A:C,2,)," ")</f>
        <v>декабрь 2023</v>
      </c>
      <c r="I2290" s="10">
        <f>IF(Таблицаx_2[[#This Row],[Месяц окончания]]=Таблицаx_2[[#This Row],[Месяц]],Таблицаx_2[[#This Row],[Значения числа]],0)</f>
        <v>0</v>
      </c>
      <c r="J2290" s="8">
        <f>IF(AND(Таблицаx_2[[#This Row],[Месяц окончания]]=Таблицаx_2[[#This Row],[Месяц]],Таблицаx_2[[#This Row],[id]]=A2291,EDATE(Таблицаx_2[[#This Row],[Месяц]],1)=D2291),F2291,0)</f>
        <v>0</v>
      </c>
      <c r="K2290" s="8">
        <f>IF(AND(Таблицаx_2[[#This Row],[Месяц окончания]]=Таблицаx_2[[#This Row],[Месяц]],Таблицаx_2[[#This Row],[id]]=A2291,EDATE(Таблицаx_2[[#This Row],[Месяц]],2)=D2291),F2291,0)</f>
        <v>0</v>
      </c>
    </row>
    <row r="2291" spans="1:11" ht="12.75" hidden="1" customHeight="1" x14ac:dyDescent="0.2">
      <c r="A2291" s="8">
        <v>752</v>
      </c>
      <c r="B2291" s="8" t="s">
        <v>45</v>
      </c>
      <c r="C2291" s="8" t="s">
        <v>8</v>
      </c>
      <c r="D2291" s="12">
        <v>45261</v>
      </c>
      <c r="E2291" s="8">
        <v>41380</v>
      </c>
      <c r="F2291" s="10">
        <f>IF(ISTEXT(Таблицаx_2[[#This Row],[Значение]]), 0, Таблицаx_2[[#This Row],[Значение]])</f>
        <v>41380</v>
      </c>
      <c r="G2291" s="12">
        <v>45261</v>
      </c>
      <c r="H2291" s="10" t="str">
        <f>IFERROR(VLOOKUP(Таблицаx_2[[#This Row],[id]],prolongations!A:C,2,)," ")</f>
        <v>декабрь 2023</v>
      </c>
      <c r="I2291" s="10">
        <f>IF(Таблицаx_2[[#This Row],[Месяц окончания]]=Таблицаx_2[[#This Row],[Месяц]],Таблицаx_2[[#This Row],[Значения числа]],0)</f>
        <v>41380</v>
      </c>
      <c r="J2291" s="8">
        <f>IF(AND(Таблицаx_2[[#This Row],[Месяц окончания]]=Таблицаx_2[[#This Row],[Месяц]],Таблицаx_2[[#This Row],[id]]=A2292,EDATE(Таблицаx_2[[#This Row],[Месяц]],1)=D2292),F2292,0)</f>
        <v>40000</v>
      </c>
      <c r="K2291" s="8">
        <f>IF(AND(Таблицаx_2[[#This Row],[Месяц окончания]]=Таблицаx_2[[#This Row],[Месяц]],Таблицаx_2[[#This Row],[id]]=A2292,EDATE(Таблицаx_2[[#This Row],[Месяц]],2)=D2292),F2292,0)</f>
        <v>0</v>
      </c>
    </row>
    <row r="2292" spans="1:11" ht="12.75" hidden="1" customHeight="1" x14ac:dyDescent="0.2">
      <c r="A2292" s="8">
        <v>752</v>
      </c>
      <c r="B2292" s="8" t="s">
        <v>45</v>
      </c>
      <c r="C2292" s="8" t="s">
        <v>8</v>
      </c>
      <c r="D2292" s="12">
        <v>45292</v>
      </c>
      <c r="E2292" s="8">
        <v>40000</v>
      </c>
      <c r="F2292" s="10">
        <f>IF(ISTEXT(Таблицаx_2[[#This Row],[Значение]]), 0, Таблицаx_2[[#This Row],[Значение]])</f>
        <v>40000</v>
      </c>
      <c r="G2292" s="12">
        <v>45261</v>
      </c>
      <c r="H2292" s="10" t="str">
        <f>IFERROR(VLOOKUP(Таблицаx_2[[#This Row],[id]],prolongations!A:C,2,)," ")</f>
        <v>декабрь 2023</v>
      </c>
      <c r="I2292" s="10">
        <f>IF(Таблицаx_2[[#This Row],[Месяц окончания]]=Таблицаx_2[[#This Row],[Месяц]],Таблицаx_2[[#This Row],[Значения числа]],0)</f>
        <v>0</v>
      </c>
      <c r="J2292" s="8">
        <f>IF(AND(Таблицаx_2[[#This Row],[Месяц окончания]]=Таблицаx_2[[#This Row],[Месяц]],Таблицаx_2[[#This Row],[id]]=A2293,EDATE(Таблицаx_2[[#This Row],[Месяц]],1)=D2293),F2293,0)</f>
        <v>0</v>
      </c>
      <c r="K2292" s="8">
        <f>IF(AND(Таблицаx_2[[#This Row],[Месяц окончания]]=Таблицаx_2[[#This Row],[Месяц]],Таблицаx_2[[#This Row],[id]]=A2293,EDATE(Таблицаx_2[[#This Row],[Месяц]],2)=D2293),F2293,0)</f>
        <v>0</v>
      </c>
    </row>
    <row r="2293" spans="1:11" ht="12.75" hidden="1" customHeight="1" x14ac:dyDescent="0.2">
      <c r="A2293" s="8">
        <v>752</v>
      </c>
      <c r="B2293" s="8" t="s">
        <v>45</v>
      </c>
      <c r="C2293" s="8" t="s">
        <v>8</v>
      </c>
      <c r="D2293" s="12">
        <v>45323</v>
      </c>
      <c r="E2293" s="8">
        <v>41500</v>
      </c>
      <c r="F2293" s="10">
        <f>IF(ISTEXT(Таблицаx_2[[#This Row],[Значение]]), 0, Таблицаx_2[[#This Row],[Значение]])</f>
        <v>41500</v>
      </c>
      <c r="G2293" s="12">
        <v>45261</v>
      </c>
      <c r="H2293" s="10" t="str">
        <f>IFERROR(VLOOKUP(Таблицаx_2[[#This Row],[id]],prolongations!A:C,2,)," ")</f>
        <v>декабрь 2023</v>
      </c>
      <c r="I2293" s="10">
        <f>IF(Таблицаx_2[[#This Row],[Месяц окончания]]=Таблицаx_2[[#This Row],[Месяц]],Таблицаx_2[[#This Row],[Значения числа]],0)</f>
        <v>0</v>
      </c>
      <c r="J2293" s="8">
        <f>IF(AND(Таблицаx_2[[#This Row],[Месяц окончания]]=Таблицаx_2[[#This Row],[Месяц]],Таблицаx_2[[#This Row],[id]]=A2294,EDATE(Таблицаx_2[[#This Row],[Месяц]],1)=D2294),F2294,0)</f>
        <v>0</v>
      </c>
      <c r="K2293" s="8">
        <f>IF(AND(Таблицаx_2[[#This Row],[Месяц окончания]]=Таблицаx_2[[#This Row],[Месяц]],Таблицаx_2[[#This Row],[id]]=A2294,EDATE(Таблицаx_2[[#This Row],[Месяц]],2)=D2294),F2294,0)</f>
        <v>0</v>
      </c>
    </row>
    <row r="2294" spans="1:11" ht="12.75" hidden="1" customHeight="1" x14ac:dyDescent="0.2">
      <c r="A2294" s="8">
        <v>752</v>
      </c>
      <c r="B2294" s="8" t="s">
        <v>47</v>
      </c>
      <c r="C2294" s="8" t="s">
        <v>8</v>
      </c>
      <c r="D2294" s="12">
        <v>44927</v>
      </c>
      <c r="E2294" s="8">
        <v>1525</v>
      </c>
      <c r="F2294" s="10">
        <f>IF(ISTEXT(Таблицаx_2[[#This Row],[Значение]]), 0, Таблицаx_2[[#This Row],[Значение]])</f>
        <v>1525</v>
      </c>
      <c r="G2294" s="12">
        <v>45261</v>
      </c>
      <c r="H2294" s="10" t="str">
        <f>IFERROR(VLOOKUP(Таблицаx_2[[#This Row],[id]],prolongations!A:C,2,)," ")</f>
        <v>декабрь 2023</v>
      </c>
      <c r="I2294" s="10">
        <f>IF(Таблицаx_2[[#This Row],[Месяц окончания]]=Таблицаx_2[[#This Row],[Месяц]],Таблицаx_2[[#This Row],[Значения числа]],0)</f>
        <v>0</v>
      </c>
      <c r="J2294" s="8">
        <f>IF(AND(Таблицаx_2[[#This Row],[Месяц окончания]]=Таблицаx_2[[#This Row],[Месяц]],Таблицаx_2[[#This Row],[id]]=A2295,EDATE(Таблицаx_2[[#This Row],[Месяц]],1)=D2295),F2295,0)</f>
        <v>0</v>
      </c>
      <c r="K2294" s="8">
        <f>IF(AND(Таблицаx_2[[#This Row],[Месяц окончания]]=Таблицаx_2[[#This Row],[Месяц]],Таблицаx_2[[#This Row],[id]]=A2295,EDATE(Таблицаx_2[[#This Row],[Месяц]],2)=D2295),F2295,0)</f>
        <v>0</v>
      </c>
    </row>
    <row r="2295" spans="1:11" ht="12.75" hidden="1" customHeight="1" x14ac:dyDescent="0.2">
      <c r="A2295" s="8">
        <v>752</v>
      </c>
      <c r="B2295" s="8" t="s">
        <v>47</v>
      </c>
      <c r="C2295" s="8" t="s">
        <v>8</v>
      </c>
      <c r="D2295" s="12">
        <v>44958</v>
      </c>
      <c r="E2295" s="8">
        <v>7050</v>
      </c>
      <c r="F2295" s="10">
        <f>IF(ISTEXT(Таблицаx_2[[#This Row],[Значение]]), 0, Таблицаx_2[[#This Row],[Значение]])</f>
        <v>7050</v>
      </c>
      <c r="G2295" s="12">
        <v>45261</v>
      </c>
      <c r="H2295" s="10" t="str">
        <f>IFERROR(VLOOKUP(Таблицаx_2[[#This Row],[id]],prolongations!A:C,2,)," ")</f>
        <v>декабрь 2023</v>
      </c>
      <c r="I2295" s="10">
        <f>IF(Таблицаx_2[[#This Row],[Месяц окончания]]=Таблицаx_2[[#This Row],[Месяц]],Таблицаx_2[[#This Row],[Значения числа]],0)</f>
        <v>0</v>
      </c>
      <c r="J2295" s="8">
        <f>IF(AND(Таблицаx_2[[#This Row],[Месяц окончания]]=Таблицаx_2[[#This Row],[Месяц]],Таблицаx_2[[#This Row],[id]]=A2296,EDATE(Таблицаx_2[[#This Row],[Месяц]],1)=D2296),F2296,0)</f>
        <v>0</v>
      </c>
      <c r="K2295" s="8">
        <f>IF(AND(Таблицаx_2[[#This Row],[Месяц окончания]]=Таблицаx_2[[#This Row],[Месяц]],Таблицаx_2[[#This Row],[id]]=A2296,EDATE(Таблицаx_2[[#This Row],[Месяц]],2)=D2296),F2296,0)</f>
        <v>0</v>
      </c>
    </row>
    <row r="2296" spans="1:11" ht="12.75" hidden="1" customHeight="1" x14ac:dyDescent="0.2">
      <c r="A2296" s="8">
        <v>752</v>
      </c>
      <c r="B2296" s="8" t="s">
        <v>47</v>
      </c>
      <c r="C2296" s="8" t="s">
        <v>8</v>
      </c>
      <c r="D2296" s="12">
        <v>44986</v>
      </c>
      <c r="E2296" s="8">
        <v>4000</v>
      </c>
      <c r="F2296" s="10">
        <f>IF(ISTEXT(Таблицаx_2[[#This Row],[Значение]]), 0, Таблицаx_2[[#This Row],[Значение]])</f>
        <v>4000</v>
      </c>
      <c r="G2296" s="12">
        <v>45261</v>
      </c>
      <c r="H2296" s="10" t="str">
        <f>IFERROR(VLOOKUP(Таблицаx_2[[#This Row],[id]],prolongations!A:C,2,)," ")</f>
        <v>декабрь 2023</v>
      </c>
      <c r="I2296" s="10">
        <f>IF(Таблицаx_2[[#This Row],[Месяц окончания]]=Таблицаx_2[[#This Row],[Месяц]],Таблицаx_2[[#This Row],[Значения числа]],0)</f>
        <v>0</v>
      </c>
      <c r="J2296" s="8">
        <f>IF(AND(Таблицаx_2[[#This Row],[Месяц окончания]]=Таблицаx_2[[#This Row],[Месяц]],Таблицаx_2[[#This Row],[id]]=A2297,EDATE(Таблицаx_2[[#This Row],[Месяц]],1)=D2297),F2297,0)</f>
        <v>0</v>
      </c>
      <c r="K2296" s="8">
        <f>IF(AND(Таблицаx_2[[#This Row],[Месяц окончания]]=Таблицаx_2[[#This Row],[Месяц]],Таблицаx_2[[#This Row],[id]]=A2297,EDATE(Таблицаx_2[[#This Row],[Месяц]],2)=D2297),F2297,0)</f>
        <v>0</v>
      </c>
    </row>
    <row r="2297" spans="1:11" ht="12.75" hidden="1" customHeight="1" x14ac:dyDescent="0.2">
      <c r="A2297" s="8">
        <v>752</v>
      </c>
      <c r="B2297" s="8" t="s">
        <v>47</v>
      </c>
      <c r="C2297" s="8" t="s">
        <v>8</v>
      </c>
      <c r="D2297" s="12">
        <v>45017</v>
      </c>
      <c r="E2297" s="8">
        <v>4000</v>
      </c>
      <c r="F2297" s="10">
        <f>IF(ISTEXT(Таблицаx_2[[#This Row],[Значение]]), 0, Таблицаx_2[[#This Row],[Значение]])</f>
        <v>4000</v>
      </c>
      <c r="G2297" s="12">
        <v>45261</v>
      </c>
      <c r="H2297" s="10" t="str">
        <f>IFERROR(VLOOKUP(Таблицаx_2[[#This Row],[id]],prolongations!A:C,2,)," ")</f>
        <v>декабрь 2023</v>
      </c>
      <c r="I2297" s="10">
        <f>IF(Таблицаx_2[[#This Row],[Месяц окончания]]=Таблицаx_2[[#This Row],[Месяц]],Таблицаx_2[[#This Row],[Значения числа]],0)</f>
        <v>0</v>
      </c>
      <c r="J2297" s="8">
        <f>IF(AND(Таблицаx_2[[#This Row],[Месяц окончания]]=Таблицаx_2[[#This Row],[Месяц]],Таблицаx_2[[#This Row],[id]]=A2298,EDATE(Таблицаx_2[[#This Row],[Месяц]],1)=D2298),F2298,0)</f>
        <v>0</v>
      </c>
      <c r="K2297" s="8">
        <f>IF(AND(Таблицаx_2[[#This Row],[Месяц окончания]]=Таблицаx_2[[#This Row],[Месяц]],Таблицаx_2[[#This Row],[id]]=A2298,EDATE(Таблицаx_2[[#This Row],[Месяц]],2)=D2298),F2298,0)</f>
        <v>0</v>
      </c>
    </row>
    <row r="2298" spans="1:11" ht="12.75" hidden="1" customHeight="1" x14ac:dyDescent="0.2">
      <c r="A2298" s="8">
        <v>752</v>
      </c>
      <c r="B2298" s="8" t="s">
        <v>47</v>
      </c>
      <c r="C2298" s="8" t="s">
        <v>8</v>
      </c>
      <c r="D2298" s="12">
        <v>45047</v>
      </c>
      <c r="E2298" s="8">
        <v>4000</v>
      </c>
      <c r="F2298" s="10">
        <f>IF(ISTEXT(Таблицаx_2[[#This Row],[Значение]]), 0, Таблицаx_2[[#This Row],[Значение]])</f>
        <v>4000</v>
      </c>
      <c r="G2298" s="12">
        <v>45261</v>
      </c>
      <c r="H2298" s="10" t="str">
        <f>IFERROR(VLOOKUP(Таблицаx_2[[#This Row],[id]],prolongations!A:C,2,)," ")</f>
        <v>декабрь 2023</v>
      </c>
      <c r="I2298" s="10">
        <f>IF(Таблицаx_2[[#This Row],[Месяц окончания]]=Таблицаx_2[[#This Row],[Месяц]],Таблицаx_2[[#This Row],[Значения числа]],0)</f>
        <v>0</v>
      </c>
      <c r="J2298" s="8">
        <f>IF(AND(Таблицаx_2[[#This Row],[Месяц окончания]]=Таблицаx_2[[#This Row],[Месяц]],Таблицаx_2[[#This Row],[id]]=A2299,EDATE(Таблицаx_2[[#This Row],[Месяц]],1)=D2299),F2299,0)</f>
        <v>0</v>
      </c>
      <c r="K2298" s="8">
        <f>IF(AND(Таблицаx_2[[#This Row],[Месяц окончания]]=Таблицаx_2[[#This Row],[Месяц]],Таблицаx_2[[#This Row],[id]]=A2299,EDATE(Таблицаx_2[[#This Row],[Месяц]],2)=D2299),F2299,0)</f>
        <v>0</v>
      </c>
    </row>
    <row r="2299" spans="1:11" ht="12.75" hidden="1" customHeight="1" x14ac:dyDescent="0.2">
      <c r="A2299" s="8">
        <v>752</v>
      </c>
      <c r="B2299" s="8" t="s">
        <v>47</v>
      </c>
      <c r="C2299" s="8" t="s">
        <v>8</v>
      </c>
      <c r="D2299" s="12">
        <v>45078</v>
      </c>
      <c r="E2299" s="8">
        <v>4000</v>
      </c>
      <c r="F2299" s="10">
        <f>IF(ISTEXT(Таблицаx_2[[#This Row],[Значение]]), 0, Таблицаx_2[[#This Row],[Значение]])</f>
        <v>4000</v>
      </c>
      <c r="G2299" s="12">
        <v>45261</v>
      </c>
      <c r="H2299" s="10" t="str">
        <f>IFERROR(VLOOKUP(Таблицаx_2[[#This Row],[id]],prolongations!A:C,2,)," ")</f>
        <v>декабрь 2023</v>
      </c>
      <c r="I2299" s="10">
        <f>IF(Таблицаx_2[[#This Row],[Месяц окончания]]=Таблицаx_2[[#This Row],[Месяц]],Таблицаx_2[[#This Row],[Значения числа]],0)</f>
        <v>0</v>
      </c>
      <c r="J2299" s="8">
        <f>IF(AND(Таблицаx_2[[#This Row],[Месяц окончания]]=Таблицаx_2[[#This Row],[Месяц]],Таблицаx_2[[#This Row],[id]]=A2300,EDATE(Таблицаx_2[[#This Row],[Месяц]],1)=D2300),F2300,0)</f>
        <v>0</v>
      </c>
      <c r="K2299" s="8">
        <f>IF(AND(Таблицаx_2[[#This Row],[Месяц окончания]]=Таблицаx_2[[#This Row],[Месяц]],Таблицаx_2[[#This Row],[id]]=A2300,EDATE(Таблицаx_2[[#This Row],[Месяц]],2)=D2300),F2300,0)</f>
        <v>0</v>
      </c>
    </row>
    <row r="2300" spans="1:11" ht="12.75" hidden="1" customHeight="1" x14ac:dyDescent="0.2">
      <c r="A2300" s="8">
        <v>752</v>
      </c>
      <c r="B2300" s="8" t="s">
        <v>47</v>
      </c>
      <c r="C2300" s="8" t="s">
        <v>8</v>
      </c>
      <c r="D2300" s="12">
        <v>45108</v>
      </c>
      <c r="E2300" s="8">
        <v>4000</v>
      </c>
      <c r="F2300" s="10">
        <f>IF(ISTEXT(Таблицаx_2[[#This Row],[Значение]]), 0, Таблицаx_2[[#This Row],[Значение]])</f>
        <v>4000</v>
      </c>
      <c r="G2300" s="12">
        <v>45261</v>
      </c>
      <c r="H2300" s="10" t="str">
        <f>IFERROR(VLOOKUP(Таблицаx_2[[#This Row],[id]],prolongations!A:C,2,)," ")</f>
        <v>декабрь 2023</v>
      </c>
      <c r="I2300" s="10">
        <f>IF(Таблицаx_2[[#This Row],[Месяц окончания]]=Таблицаx_2[[#This Row],[Месяц]],Таблицаx_2[[#This Row],[Значения числа]],0)</f>
        <v>0</v>
      </c>
      <c r="J2300" s="8">
        <f>IF(AND(Таблицаx_2[[#This Row],[Месяц окончания]]=Таблицаx_2[[#This Row],[Месяц]],Таблицаx_2[[#This Row],[id]]=A2301,EDATE(Таблицаx_2[[#This Row],[Месяц]],1)=D2301),F2301,0)</f>
        <v>0</v>
      </c>
      <c r="K2300" s="8">
        <f>IF(AND(Таблицаx_2[[#This Row],[Месяц окончания]]=Таблицаx_2[[#This Row],[Месяц]],Таблицаx_2[[#This Row],[id]]=A2301,EDATE(Таблицаx_2[[#This Row],[Месяц]],2)=D2301),F2301,0)</f>
        <v>0</v>
      </c>
    </row>
    <row r="2301" spans="1:11" ht="12.75" hidden="1" customHeight="1" x14ac:dyDescent="0.2">
      <c r="A2301" s="8">
        <v>752</v>
      </c>
      <c r="B2301" s="8" t="s">
        <v>47</v>
      </c>
      <c r="C2301" s="8" t="s">
        <v>8</v>
      </c>
      <c r="D2301" s="12">
        <v>45139</v>
      </c>
      <c r="E2301" s="8">
        <v>4000</v>
      </c>
      <c r="F2301" s="10">
        <f>IF(ISTEXT(Таблицаx_2[[#This Row],[Значение]]), 0, Таблицаx_2[[#This Row],[Значение]])</f>
        <v>4000</v>
      </c>
      <c r="G2301" s="12">
        <v>45261</v>
      </c>
      <c r="H2301" s="10" t="str">
        <f>IFERROR(VLOOKUP(Таблицаx_2[[#This Row],[id]],prolongations!A:C,2,)," ")</f>
        <v>декабрь 2023</v>
      </c>
      <c r="I2301" s="10">
        <f>IF(Таблицаx_2[[#This Row],[Месяц окончания]]=Таблицаx_2[[#This Row],[Месяц]],Таблицаx_2[[#This Row],[Значения числа]],0)</f>
        <v>0</v>
      </c>
      <c r="J2301" s="8">
        <f>IF(AND(Таблицаx_2[[#This Row],[Месяц окончания]]=Таблицаx_2[[#This Row],[Месяц]],Таблицаx_2[[#This Row],[id]]=A2302,EDATE(Таблицаx_2[[#This Row],[Месяц]],1)=D2302),F2302,0)</f>
        <v>0</v>
      </c>
      <c r="K2301" s="8">
        <f>IF(AND(Таблицаx_2[[#This Row],[Месяц окончания]]=Таблицаx_2[[#This Row],[Месяц]],Таблицаx_2[[#This Row],[id]]=A2302,EDATE(Таблицаx_2[[#This Row],[Месяц]],2)=D2302),F2302,0)</f>
        <v>0</v>
      </c>
    </row>
    <row r="2302" spans="1:11" ht="12.75" hidden="1" customHeight="1" x14ac:dyDescent="0.2">
      <c r="A2302" s="8">
        <v>752</v>
      </c>
      <c r="B2302" s="8" t="s">
        <v>47</v>
      </c>
      <c r="C2302" s="8" t="s">
        <v>8</v>
      </c>
      <c r="D2302" s="12">
        <v>45170</v>
      </c>
      <c r="E2302" s="8">
        <v>4000</v>
      </c>
      <c r="F2302" s="10">
        <f>IF(ISTEXT(Таблицаx_2[[#This Row],[Значение]]), 0, Таблицаx_2[[#This Row],[Значение]])</f>
        <v>4000</v>
      </c>
      <c r="G2302" s="12">
        <v>45261</v>
      </c>
      <c r="H2302" s="10" t="str">
        <f>IFERROR(VLOOKUP(Таблицаx_2[[#This Row],[id]],prolongations!A:C,2,)," ")</f>
        <v>декабрь 2023</v>
      </c>
      <c r="I2302" s="10">
        <f>IF(Таблицаx_2[[#This Row],[Месяц окончания]]=Таблицаx_2[[#This Row],[Месяц]],Таблицаx_2[[#This Row],[Значения числа]],0)</f>
        <v>0</v>
      </c>
      <c r="J2302" s="8">
        <f>IF(AND(Таблицаx_2[[#This Row],[Месяц окончания]]=Таблицаx_2[[#This Row],[Месяц]],Таблицаx_2[[#This Row],[id]]=A2303,EDATE(Таблицаx_2[[#This Row],[Месяц]],1)=D2303),F2303,0)</f>
        <v>0</v>
      </c>
      <c r="K2302" s="8">
        <f>IF(AND(Таблицаx_2[[#This Row],[Месяц окончания]]=Таблицаx_2[[#This Row],[Месяц]],Таблицаx_2[[#This Row],[id]]=A2303,EDATE(Таблицаx_2[[#This Row],[Месяц]],2)=D2303),F2303,0)</f>
        <v>0</v>
      </c>
    </row>
    <row r="2303" spans="1:11" ht="12.75" hidden="1" customHeight="1" x14ac:dyDescent="0.2">
      <c r="A2303" s="8">
        <v>752</v>
      </c>
      <c r="B2303" s="8" t="s">
        <v>47</v>
      </c>
      <c r="C2303" s="8" t="s">
        <v>8</v>
      </c>
      <c r="D2303" s="12">
        <v>45200</v>
      </c>
      <c r="E2303" s="8">
        <v>4000</v>
      </c>
      <c r="F2303" s="10">
        <f>IF(ISTEXT(Таблицаx_2[[#This Row],[Значение]]), 0, Таблицаx_2[[#This Row],[Значение]])</f>
        <v>4000</v>
      </c>
      <c r="G2303" s="12">
        <v>45261</v>
      </c>
      <c r="H2303" s="10" t="str">
        <f>IFERROR(VLOOKUP(Таблицаx_2[[#This Row],[id]],prolongations!A:C,2,)," ")</f>
        <v>декабрь 2023</v>
      </c>
      <c r="I2303" s="10">
        <f>IF(Таблицаx_2[[#This Row],[Месяц окончания]]=Таблицаx_2[[#This Row],[Месяц]],Таблицаx_2[[#This Row],[Значения числа]],0)</f>
        <v>0</v>
      </c>
      <c r="J2303" s="8">
        <f>IF(AND(Таблицаx_2[[#This Row],[Месяц окончания]]=Таблицаx_2[[#This Row],[Месяц]],Таблицаx_2[[#This Row],[id]]=A2304,EDATE(Таблицаx_2[[#This Row],[Месяц]],1)=D2304),F2304,0)</f>
        <v>0</v>
      </c>
      <c r="K2303" s="8">
        <f>IF(AND(Таблицаx_2[[#This Row],[Месяц окончания]]=Таблицаx_2[[#This Row],[Месяц]],Таблицаx_2[[#This Row],[id]]=A2304,EDATE(Таблицаx_2[[#This Row],[Месяц]],2)=D2304),F2304,0)</f>
        <v>0</v>
      </c>
    </row>
    <row r="2304" spans="1:11" ht="12.75" hidden="1" customHeight="1" x14ac:dyDescent="0.2">
      <c r="A2304" s="8">
        <v>752</v>
      </c>
      <c r="B2304" s="8" t="s">
        <v>47</v>
      </c>
      <c r="C2304" s="8" t="s">
        <v>8</v>
      </c>
      <c r="D2304" s="12">
        <v>45231</v>
      </c>
      <c r="E2304" s="8">
        <v>4000</v>
      </c>
      <c r="F2304" s="10">
        <f>IF(ISTEXT(Таблицаx_2[[#This Row],[Значение]]), 0, Таблицаx_2[[#This Row],[Значение]])</f>
        <v>4000</v>
      </c>
      <c r="G2304" s="12">
        <v>45261</v>
      </c>
      <c r="H2304" s="10" t="str">
        <f>IFERROR(VLOOKUP(Таблицаx_2[[#This Row],[id]],prolongations!A:C,2,)," ")</f>
        <v>декабрь 2023</v>
      </c>
      <c r="I2304" s="10">
        <f>IF(Таблицаx_2[[#This Row],[Месяц окончания]]=Таблицаx_2[[#This Row],[Месяц]],Таблицаx_2[[#This Row],[Значения числа]],0)</f>
        <v>0</v>
      </c>
      <c r="J2304" s="8">
        <f>IF(AND(Таблицаx_2[[#This Row],[Месяц окончания]]=Таблицаx_2[[#This Row],[Месяц]],Таблицаx_2[[#This Row],[id]]=A2305,EDATE(Таблицаx_2[[#This Row],[Месяц]],1)=D2305),F2305,0)</f>
        <v>0</v>
      </c>
      <c r="K2304" s="8">
        <f>IF(AND(Таблицаx_2[[#This Row],[Месяц окончания]]=Таблицаx_2[[#This Row],[Месяц]],Таблицаx_2[[#This Row],[id]]=A2305,EDATE(Таблицаx_2[[#This Row],[Месяц]],2)=D2305),F2305,0)</f>
        <v>0</v>
      </c>
    </row>
    <row r="2305" spans="1:11" ht="12.75" hidden="1" customHeight="1" x14ac:dyDescent="0.2">
      <c r="A2305" s="8">
        <v>752</v>
      </c>
      <c r="B2305" s="8" t="s">
        <v>47</v>
      </c>
      <c r="C2305" s="8" t="s">
        <v>8</v>
      </c>
      <c r="D2305" s="12">
        <v>45261</v>
      </c>
      <c r="E2305" s="8">
        <v>4000</v>
      </c>
      <c r="F2305" s="10">
        <f>IF(ISTEXT(Таблицаx_2[[#This Row],[Значение]]), 0, Таблицаx_2[[#This Row],[Значение]])</f>
        <v>4000</v>
      </c>
      <c r="G2305" s="12">
        <v>45261</v>
      </c>
      <c r="H2305" s="10" t="str">
        <f>IFERROR(VLOOKUP(Таблицаx_2[[#This Row],[id]],prolongations!A:C,2,)," ")</f>
        <v>декабрь 2023</v>
      </c>
      <c r="I2305" s="10">
        <f>IF(Таблицаx_2[[#This Row],[Месяц окончания]]=Таблицаx_2[[#This Row],[Месяц]],Таблицаx_2[[#This Row],[Значения числа]],0)</f>
        <v>4000</v>
      </c>
      <c r="J2305" s="8">
        <f>IF(AND(Таблицаx_2[[#This Row],[Месяц окончания]]=Таблицаx_2[[#This Row],[Месяц]],Таблицаx_2[[#This Row],[id]]=A2306,EDATE(Таблицаx_2[[#This Row],[Месяц]],1)=D2306),F2306,0)</f>
        <v>0</v>
      </c>
      <c r="K2305" s="8">
        <f>IF(AND(Таблицаx_2[[#This Row],[Месяц окончания]]=Таблицаx_2[[#This Row],[Месяц]],Таблицаx_2[[#This Row],[id]]=A2306,EDATE(Таблицаx_2[[#This Row],[Месяц]],2)=D2306),F2306,0)</f>
        <v>1110</v>
      </c>
    </row>
    <row r="2306" spans="1:11" ht="12.75" hidden="1" customHeight="1" x14ac:dyDescent="0.2">
      <c r="A2306" s="8">
        <v>752</v>
      </c>
      <c r="B2306" s="8" t="s">
        <v>47</v>
      </c>
      <c r="C2306" s="8" t="s">
        <v>8</v>
      </c>
      <c r="D2306" s="12">
        <v>45323</v>
      </c>
      <c r="E2306" s="8">
        <v>1110</v>
      </c>
      <c r="F2306" s="10">
        <f>IF(ISTEXT(Таблицаx_2[[#This Row],[Значение]]), 0, Таблицаx_2[[#This Row],[Значение]])</f>
        <v>1110</v>
      </c>
      <c r="G2306" s="12">
        <v>45261</v>
      </c>
      <c r="H2306" s="10" t="str">
        <f>IFERROR(VLOOKUP(Таблицаx_2[[#This Row],[id]],prolongations!A:C,2,)," ")</f>
        <v>декабрь 2023</v>
      </c>
      <c r="I2306" s="10">
        <f>IF(Таблицаx_2[[#This Row],[Месяц окончания]]=Таблицаx_2[[#This Row],[Месяц]],Таблицаx_2[[#This Row],[Значения числа]],0)</f>
        <v>0</v>
      </c>
      <c r="J2306" s="8">
        <f>IF(AND(Таблицаx_2[[#This Row],[Месяц окончания]]=Таблицаx_2[[#This Row],[Месяц]],Таблицаx_2[[#This Row],[id]]=A2307,EDATE(Таблицаx_2[[#This Row],[Месяц]],1)=D2307),F2307,0)</f>
        <v>0</v>
      </c>
      <c r="K2306" s="8">
        <f>IF(AND(Таблицаx_2[[#This Row],[Месяц окончания]]=Таблицаx_2[[#This Row],[Месяц]],Таблицаx_2[[#This Row],[id]]=A2307,EDATE(Таблицаx_2[[#This Row],[Месяц]],2)=D2307),F2307,0)</f>
        <v>0</v>
      </c>
    </row>
    <row r="2307" spans="1:11" ht="12.75" hidden="1" customHeight="1" x14ac:dyDescent="0.2">
      <c r="A2307" s="8">
        <v>791</v>
      </c>
      <c r="B2307" s="8" t="s">
        <v>52</v>
      </c>
      <c r="C2307" s="8" t="s">
        <v>4</v>
      </c>
      <c r="D2307" s="12">
        <v>44986</v>
      </c>
      <c r="E2307" s="8">
        <v>800000</v>
      </c>
      <c r="F2307" s="10">
        <f>IF(ISTEXT(Таблицаx_2[[#This Row],[Значение]]), 0, Таблицаx_2[[#This Row],[Значение]])</f>
        <v>800000</v>
      </c>
      <c r="G2307" s="12">
        <v>45261</v>
      </c>
      <c r="H2307" s="10" t="str">
        <f>IFERROR(VLOOKUP(Таблицаx_2[[#This Row],[id]],prolongations!A:C,2,)," ")</f>
        <v>декабрь 2023</v>
      </c>
      <c r="I2307" s="10">
        <f>IF(Таблицаx_2[[#This Row],[Месяц окончания]]=Таблицаx_2[[#This Row],[Месяц]],Таблицаx_2[[#This Row],[Значения числа]],0)</f>
        <v>0</v>
      </c>
      <c r="J2307" s="8">
        <f>IF(AND(Таблицаx_2[[#This Row],[Месяц окончания]]=Таблицаx_2[[#This Row],[Месяц]],Таблицаx_2[[#This Row],[id]]=A2308,EDATE(Таблицаx_2[[#This Row],[Месяц]],1)=D2308),F2308,0)</f>
        <v>0</v>
      </c>
      <c r="K2307" s="8">
        <f>IF(AND(Таблицаx_2[[#This Row],[Месяц окончания]]=Таблицаx_2[[#This Row],[Месяц]],Таблицаx_2[[#This Row],[id]]=A2308,EDATE(Таблицаx_2[[#This Row],[Месяц]],2)=D2308),F2308,0)</f>
        <v>0</v>
      </c>
    </row>
    <row r="2308" spans="1:11" ht="12.75" hidden="1" customHeight="1" x14ac:dyDescent="0.2">
      <c r="A2308" s="8">
        <v>791</v>
      </c>
      <c r="B2308" s="8" t="s">
        <v>52</v>
      </c>
      <c r="C2308" s="8" t="s">
        <v>4</v>
      </c>
      <c r="D2308" s="12">
        <v>45017</v>
      </c>
      <c r="E2308" s="8">
        <v>800000</v>
      </c>
      <c r="F2308" s="10">
        <f>IF(ISTEXT(Таблицаx_2[[#This Row],[Значение]]), 0, Таблицаx_2[[#This Row],[Значение]])</f>
        <v>800000</v>
      </c>
      <c r="G2308" s="12">
        <v>45261</v>
      </c>
      <c r="H2308" s="10" t="str">
        <f>IFERROR(VLOOKUP(Таблицаx_2[[#This Row],[id]],prolongations!A:C,2,)," ")</f>
        <v>декабрь 2023</v>
      </c>
      <c r="I2308" s="10">
        <f>IF(Таблицаx_2[[#This Row],[Месяц окончания]]=Таблицаx_2[[#This Row],[Месяц]],Таблицаx_2[[#This Row],[Значения числа]],0)</f>
        <v>0</v>
      </c>
      <c r="J2308" s="8">
        <f>IF(AND(Таблицаx_2[[#This Row],[Месяц окончания]]=Таблицаx_2[[#This Row],[Месяц]],Таблицаx_2[[#This Row],[id]]=A2309,EDATE(Таблицаx_2[[#This Row],[Месяц]],1)=D2309),F2309,0)</f>
        <v>0</v>
      </c>
      <c r="K2308" s="8">
        <f>IF(AND(Таблицаx_2[[#This Row],[Месяц окончания]]=Таблицаx_2[[#This Row],[Месяц]],Таблицаx_2[[#This Row],[id]]=A2309,EDATE(Таблицаx_2[[#This Row],[Месяц]],2)=D2309),F2309,0)</f>
        <v>0</v>
      </c>
    </row>
    <row r="2309" spans="1:11" ht="12.75" hidden="1" customHeight="1" x14ac:dyDescent="0.2">
      <c r="A2309" s="8">
        <v>791</v>
      </c>
      <c r="B2309" s="8" t="s">
        <v>52</v>
      </c>
      <c r="C2309" s="8" t="s">
        <v>4</v>
      </c>
      <c r="D2309" s="12">
        <v>45047</v>
      </c>
      <c r="E2309" s="8">
        <v>800000</v>
      </c>
      <c r="F2309" s="10">
        <f>IF(ISTEXT(Таблицаx_2[[#This Row],[Значение]]), 0, Таблицаx_2[[#This Row],[Значение]])</f>
        <v>800000</v>
      </c>
      <c r="G2309" s="12">
        <v>45261</v>
      </c>
      <c r="H2309" s="10" t="str">
        <f>IFERROR(VLOOKUP(Таблицаx_2[[#This Row],[id]],prolongations!A:C,2,)," ")</f>
        <v>декабрь 2023</v>
      </c>
      <c r="I2309" s="10">
        <f>IF(Таблицаx_2[[#This Row],[Месяц окончания]]=Таблицаx_2[[#This Row],[Месяц]],Таблицаx_2[[#This Row],[Значения числа]],0)</f>
        <v>0</v>
      </c>
      <c r="J2309" s="8">
        <f>IF(AND(Таблицаx_2[[#This Row],[Месяц окончания]]=Таблицаx_2[[#This Row],[Месяц]],Таблицаx_2[[#This Row],[id]]=A2310,EDATE(Таблицаx_2[[#This Row],[Месяц]],1)=D2310),F2310,0)</f>
        <v>0</v>
      </c>
      <c r="K2309" s="8">
        <f>IF(AND(Таблицаx_2[[#This Row],[Месяц окончания]]=Таблицаx_2[[#This Row],[Месяц]],Таблицаx_2[[#This Row],[id]]=A2310,EDATE(Таблицаx_2[[#This Row],[Месяц]],2)=D2310),F2310,0)</f>
        <v>0</v>
      </c>
    </row>
    <row r="2310" spans="1:11" ht="12.75" hidden="1" customHeight="1" x14ac:dyDescent="0.2">
      <c r="A2310" s="8">
        <v>791</v>
      </c>
      <c r="B2310" s="8" t="s">
        <v>52</v>
      </c>
      <c r="C2310" s="8" t="s">
        <v>4</v>
      </c>
      <c r="D2310" s="12">
        <v>45078</v>
      </c>
      <c r="E2310" s="8">
        <v>800000</v>
      </c>
      <c r="F2310" s="10">
        <f>IF(ISTEXT(Таблицаx_2[[#This Row],[Значение]]), 0, Таблицаx_2[[#This Row],[Значение]])</f>
        <v>800000</v>
      </c>
      <c r="G2310" s="12">
        <v>45261</v>
      </c>
      <c r="H2310" s="10" t="str">
        <f>IFERROR(VLOOKUP(Таблицаx_2[[#This Row],[id]],prolongations!A:C,2,)," ")</f>
        <v>декабрь 2023</v>
      </c>
      <c r="I2310" s="10">
        <f>IF(Таблицаx_2[[#This Row],[Месяц окончания]]=Таблицаx_2[[#This Row],[Месяц]],Таблицаx_2[[#This Row],[Значения числа]],0)</f>
        <v>0</v>
      </c>
      <c r="J2310" s="8">
        <f>IF(AND(Таблицаx_2[[#This Row],[Месяц окончания]]=Таблицаx_2[[#This Row],[Месяц]],Таблицаx_2[[#This Row],[id]]=A2311,EDATE(Таблицаx_2[[#This Row],[Месяц]],1)=D2311),F2311,0)</f>
        <v>0</v>
      </c>
      <c r="K2310" s="8">
        <f>IF(AND(Таблицаx_2[[#This Row],[Месяц окончания]]=Таблицаx_2[[#This Row],[Месяц]],Таблицаx_2[[#This Row],[id]]=A2311,EDATE(Таблицаx_2[[#This Row],[Месяц]],2)=D2311),F2311,0)</f>
        <v>0</v>
      </c>
    </row>
    <row r="2311" spans="1:11" ht="12.75" hidden="1" customHeight="1" x14ac:dyDescent="0.2">
      <c r="A2311" s="8">
        <v>791</v>
      </c>
      <c r="B2311" s="8" t="s">
        <v>52</v>
      </c>
      <c r="C2311" s="8" t="s">
        <v>4</v>
      </c>
      <c r="D2311" s="12">
        <v>45108</v>
      </c>
      <c r="E2311" s="8">
        <v>800000</v>
      </c>
      <c r="F2311" s="10">
        <f>IF(ISTEXT(Таблицаx_2[[#This Row],[Значение]]), 0, Таблицаx_2[[#This Row],[Значение]])</f>
        <v>800000</v>
      </c>
      <c r="G2311" s="12">
        <v>45261</v>
      </c>
      <c r="H2311" s="10" t="str">
        <f>IFERROR(VLOOKUP(Таблицаx_2[[#This Row],[id]],prolongations!A:C,2,)," ")</f>
        <v>декабрь 2023</v>
      </c>
      <c r="I2311" s="10">
        <f>IF(Таблицаx_2[[#This Row],[Месяц окончания]]=Таблицаx_2[[#This Row],[Месяц]],Таблицаx_2[[#This Row],[Значения числа]],0)</f>
        <v>0</v>
      </c>
      <c r="J2311" s="8">
        <f>IF(AND(Таблицаx_2[[#This Row],[Месяц окончания]]=Таблицаx_2[[#This Row],[Месяц]],Таблицаx_2[[#This Row],[id]]=A2312,EDATE(Таблицаx_2[[#This Row],[Месяц]],1)=D2312),F2312,0)</f>
        <v>0</v>
      </c>
      <c r="K2311" s="8">
        <f>IF(AND(Таблицаx_2[[#This Row],[Месяц окончания]]=Таблицаx_2[[#This Row],[Месяц]],Таблицаx_2[[#This Row],[id]]=A2312,EDATE(Таблицаx_2[[#This Row],[Месяц]],2)=D2312),F2312,0)</f>
        <v>0</v>
      </c>
    </row>
    <row r="2312" spans="1:11" ht="12.75" hidden="1" customHeight="1" x14ac:dyDescent="0.2">
      <c r="A2312" s="8">
        <v>791</v>
      </c>
      <c r="B2312" s="8" t="s">
        <v>52</v>
      </c>
      <c r="C2312" s="8" t="s">
        <v>4</v>
      </c>
      <c r="D2312" s="12">
        <v>45139</v>
      </c>
      <c r="E2312" s="8">
        <v>800000</v>
      </c>
      <c r="F2312" s="10">
        <f>IF(ISTEXT(Таблицаx_2[[#This Row],[Значение]]), 0, Таблицаx_2[[#This Row],[Значение]])</f>
        <v>800000</v>
      </c>
      <c r="G2312" s="12">
        <v>45261</v>
      </c>
      <c r="H2312" s="10" t="str">
        <f>IFERROR(VLOOKUP(Таблицаx_2[[#This Row],[id]],prolongations!A:C,2,)," ")</f>
        <v>декабрь 2023</v>
      </c>
      <c r="I2312" s="10">
        <f>IF(Таблицаx_2[[#This Row],[Месяц окончания]]=Таблицаx_2[[#This Row],[Месяц]],Таблицаx_2[[#This Row],[Значения числа]],0)</f>
        <v>0</v>
      </c>
      <c r="J2312" s="8">
        <f>IF(AND(Таблицаx_2[[#This Row],[Месяц окончания]]=Таблицаx_2[[#This Row],[Месяц]],Таблицаx_2[[#This Row],[id]]=A2313,EDATE(Таблицаx_2[[#This Row],[Месяц]],1)=D2313),F2313,0)</f>
        <v>0</v>
      </c>
      <c r="K2312" s="8">
        <f>IF(AND(Таблицаx_2[[#This Row],[Месяц окончания]]=Таблицаx_2[[#This Row],[Месяц]],Таблицаx_2[[#This Row],[id]]=A2313,EDATE(Таблицаx_2[[#This Row],[Месяц]],2)=D2313),F2313,0)</f>
        <v>0</v>
      </c>
    </row>
    <row r="2313" spans="1:11" ht="12.75" hidden="1" customHeight="1" x14ac:dyDescent="0.2">
      <c r="A2313" s="8">
        <v>791</v>
      </c>
      <c r="B2313" s="8" t="s">
        <v>52</v>
      </c>
      <c r="C2313" s="8" t="s">
        <v>4</v>
      </c>
      <c r="D2313" s="12">
        <v>45170</v>
      </c>
      <c r="E2313" s="8">
        <v>800000</v>
      </c>
      <c r="F2313" s="10">
        <f>IF(ISTEXT(Таблицаx_2[[#This Row],[Значение]]), 0, Таблицаx_2[[#This Row],[Значение]])</f>
        <v>800000</v>
      </c>
      <c r="G2313" s="12">
        <v>45261</v>
      </c>
      <c r="H2313" s="10" t="str">
        <f>IFERROR(VLOOKUP(Таблицаx_2[[#This Row],[id]],prolongations!A:C,2,)," ")</f>
        <v>декабрь 2023</v>
      </c>
      <c r="I2313" s="10">
        <f>IF(Таблицаx_2[[#This Row],[Месяц окончания]]=Таблицаx_2[[#This Row],[Месяц]],Таблицаx_2[[#This Row],[Значения числа]],0)</f>
        <v>0</v>
      </c>
      <c r="J2313" s="8">
        <f>IF(AND(Таблицаx_2[[#This Row],[Месяц окончания]]=Таблицаx_2[[#This Row],[Месяц]],Таблицаx_2[[#This Row],[id]]=A2314,EDATE(Таблицаx_2[[#This Row],[Месяц]],1)=D2314),F2314,0)</f>
        <v>0</v>
      </c>
      <c r="K2313" s="8">
        <f>IF(AND(Таблицаx_2[[#This Row],[Месяц окончания]]=Таблицаx_2[[#This Row],[Месяц]],Таблицаx_2[[#This Row],[id]]=A2314,EDATE(Таблицаx_2[[#This Row],[Месяц]],2)=D2314),F2314,0)</f>
        <v>0</v>
      </c>
    </row>
    <row r="2314" spans="1:11" ht="12.75" hidden="1" customHeight="1" x14ac:dyDescent="0.2">
      <c r="A2314" s="8">
        <v>791</v>
      </c>
      <c r="B2314" s="8" t="s">
        <v>52</v>
      </c>
      <c r="C2314" s="8" t="s">
        <v>4</v>
      </c>
      <c r="D2314" s="12">
        <v>45200</v>
      </c>
      <c r="E2314" s="8">
        <v>800000</v>
      </c>
      <c r="F2314" s="10">
        <f>IF(ISTEXT(Таблицаx_2[[#This Row],[Значение]]), 0, Таблицаx_2[[#This Row],[Значение]])</f>
        <v>800000</v>
      </c>
      <c r="G2314" s="12">
        <v>45261</v>
      </c>
      <c r="H2314" s="10" t="str">
        <f>IFERROR(VLOOKUP(Таблицаx_2[[#This Row],[id]],prolongations!A:C,2,)," ")</f>
        <v>декабрь 2023</v>
      </c>
      <c r="I2314" s="10">
        <f>IF(Таблицаx_2[[#This Row],[Месяц окончания]]=Таблицаx_2[[#This Row],[Месяц]],Таблицаx_2[[#This Row],[Значения числа]],0)</f>
        <v>0</v>
      </c>
      <c r="J2314" s="8">
        <f>IF(AND(Таблицаx_2[[#This Row],[Месяц окончания]]=Таблицаx_2[[#This Row],[Месяц]],Таблицаx_2[[#This Row],[id]]=A2315,EDATE(Таблицаx_2[[#This Row],[Месяц]],1)=D2315),F2315,0)</f>
        <v>0</v>
      </c>
      <c r="K2314" s="8">
        <f>IF(AND(Таблицаx_2[[#This Row],[Месяц окончания]]=Таблицаx_2[[#This Row],[Месяц]],Таблицаx_2[[#This Row],[id]]=A2315,EDATE(Таблицаx_2[[#This Row],[Месяц]],2)=D2315),F2315,0)</f>
        <v>0</v>
      </c>
    </row>
    <row r="2315" spans="1:11" ht="12.75" hidden="1" customHeight="1" x14ac:dyDescent="0.2">
      <c r="A2315" s="8">
        <v>791</v>
      </c>
      <c r="B2315" s="8" t="s">
        <v>52</v>
      </c>
      <c r="C2315" s="8" t="s">
        <v>4</v>
      </c>
      <c r="D2315" s="12">
        <v>45231</v>
      </c>
      <c r="E2315" s="8">
        <v>800000</v>
      </c>
      <c r="F2315" s="10">
        <f>IF(ISTEXT(Таблицаx_2[[#This Row],[Значение]]), 0, Таблицаx_2[[#This Row],[Значение]])</f>
        <v>800000</v>
      </c>
      <c r="G2315" s="12">
        <v>45261</v>
      </c>
      <c r="H2315" s="10" t="str">
        <f>IFERROR(VLOOKUP(Таблицаx_2[[#This Row],[id]],prolongations!A:C,2,)," ")</f>
        <v>декабрь 2023</v>
      </c>
      <c r="I2315" s="10">
        <f>IF(Таблицаx_2[[#This Row],[Месяц окончания]]=Таблицаx_2[[#This Row],[Месяц]],Таблицаx_2[[#This Row],[Значения числа]],0)</f>
        <v>0</v>
      </c>
      <c r="J2315" s="8">
        <f>IF(AND(Таблицаx_2[[#This Row],[Месяц окончания]]=Таблицаx_2[[#This Row],[Месяц]],Таблицаx_2[[#This Row],[id]]=A2316,EDATE(Таблицаx_2[[#This Row],[Месяц]],1)=D2316),F2316,0)</f>
        <v>0</v>
      </c>
      <c r="K2315" s="8">
        <f>IF(AND(Таблицаx_2[[#This Row],[Месяц окончания]]=Таблицаx_2[[#This Row],[Месяц]],Таблицаx_2[[#This Row],[id]]=A2316,EDATE(Таблицаx_2[[#This Row],[Месяц]],2)=D2316),F2316,0)</f>
        <v>0</v>
      </c>
    </row>
    <row r="2316" spans="1:11" ht="12.75" hidden="1" customHeight="1" x14ac:dyDescent="0.2">
      <c r="A2316" s="8">
        <v>791</v>
      </c>
      <c r="B2316" s="8" t="s">
        <v>52</v>
      </c>
      <c r="C2316" s="8" t="s">
        <v>4</v>
      </c>
      <c r="D2316" s="12">
        <v>45261</v>
      </c>
      <c r="E2316" s="8">
        <v>800000</v>
      </c>
      <c r="F2316" s="10">
        <f>IF(ISTEXT(Таблицаx_2[[#This Row],[Значение]]), 0, Таблицаx_2[[#This Row],[Значение]])</f>
        <v>800000</v>
      </c>
      <c r="G2316" s="12">
        <v>45261</v>
      </c>
      <c r="H2316" s="10" t="str">
        <f>IFERROR(VLOOKUP(Таблицаx_2[[#This Row],[id]],prolongations!A:C,2,)," ")</f>
        <v>декабрь 2023</v>
      </c>
      <c r="I2316" s="10">
        <f>IF(Таблицаx_2[[#This Row],[Месяц окончания]]=Таблицаx_2[[#This Row],[Месяц]],Таблицаx_2[[#This Row],[Значения числа]],0)</f>
        <v>800000</v>
      </c>
      <c r="J2316" s="8">
        <f>IF(AND(Таблицаx_2[[#This Row],[Месяц окончания]]=Таблицаx_2[[#This Row],[Месяц]],Таблицаx_2[[#This Row],[id]]=A2317,EDATE(Таблицаx_2[[#This Row],[Месяц]],1)=D2317),F2317,0)</f>
        <v>729833.33</v>
      </c>
      <c r="K2316" s="8">
        <f>IF(AND(Таблицаx_2[[#This Row],[Месяц окончания]]=Таблицаx_2[[#This Row],[Месяц]],Таблицаx_2[[#This Row],[id]]=A2317,EDATE(Таблицаx_2[[#This Row],[Месяц]],2)=D2317),F2317,0)</f>
        <v>0</v>
      </c>
    </row>
    <row r="2317" spans="1:11" ht="12.75" hidden="1" customHeight="1" x14ac:dyDescent="0.2">
      <c r="A2317" s="8">
        <v>791</v>
      </c>
      <c r="B2317" s="8" t="s">
        <v>52</v>
      </c>
      <c r="C2317" s="8" t="s">
        <v>4</v>
      </c>
      <c r="D2317" s="12">
        <v>45292</v>
      </c>
      <c r="E2317" s="8">
        <v>729833.33</v>
      </c>
      <c r="F2317" s="10">
        <f>IF(ISTEXT(Таблицаx_2[[#This Row],[Значение]]), 0, Таблицаx_2[[#This Row],[Значение]])</f>
        <v>729833.33</v>
      </c>
      <c r="G2317" s="12">
        <v>45261</v>
      </c>
      <c r="H2317" s="10" t="str">
        <f>IFERROR(VLOOKUP(Таблицаx_2[[#This Row],[id]],prolongations!A:C,2,)," ")</f>
        <v>декабрь 2023</v>
      </c>
      <c r="I2317" s="10">
        <f>IF(Таблицаx_2[[#This Row],[Месяц окончания]]=Таблицаx_2[[#This Row],[Месяц]],Таблицаx_2[[#This Row],[Значения числа]],0)</f>
        <v>0</v>
      </c>
      <c r="J2317" s="8">
        <f>IF(AND(Таблицаx_2[[#This Row],[Месяц окончания]]=Таблицаx_2[[#This Row],[Месяц]],Таблицаx_2[[#This Row],[id]]=A2318,EDATE(Таблицаx_2[[#This Row],[Месяц]],1)=D2318),F2318,0)</f>
        <v>0</v>
      </c>
      <c r="K2317" s="8">
        <f>IF(AND(Таблицаx_2[[#This Row],[Месяц окончания]]=Таблицаx_2[[#This Row],[Месяц]],Таблицаx_2[[#This Row],[id]]=A2318,EDATE(Таблицаx_2[[#This Row],[Месяц]],2)=D2318),F2318,0)</f>
        <v>0</v>
      </c>
    </row>
    <row r="2318" spans="1:11" ht="12.75" hidden="1" customHeight="1" x14ac:dyDescent="0.2">
      <c r="A2318" s="8">
        <v>791</v>
      </c>
      <c r="B2318" s="8" t="s">
        <v>52</v>
      </c>
      <c r="C2318" s="8" t="s">
        <v>4</v>
      </c>
      <c r="D2318" s="12">
        <v>45323</v>
      </c>
      <c r="E2318" s="8">
        <v>729833.33</v>
      </c>
      <c r="F2318" s="10">
        <f>IF(ISTEXT(Таблицаx_2[[#This Row],[Значение]]), 0, Таблицаx_2[[#This Row],[Значение]])</f>
        <v>729833.33</v>
      </c>
      <c r="G2318" s="12">
        <v>45261</v>
      </c>
      <c r="H2318" s="10" t="str">
        <f>IFERROR(VLOOKUP(Таблицаx_2[[#This Row],[id]],prolongations!A:C,2,)," ")</f>
        <v>декабрь 2023</v>
      </c>
      <c r="I2318" s="10">
        <f>IF(Таблицаx_2[[#This Row],[Месяц окончания]]=Таблицаx_2[[#This Row],[Месяц]],Таблицаx_2[[#This Row],[Значения числа]],0)</f>
        <v>0</v>
      </c>
      <c r="J2318" s="8">
        <f>IF(AND(Таблицаx_2[[#This Row],[Месяц окончания]]=Таблицаx_2[[#This Row],[Месяц]],Таблицаx_2[[#This Row],[id]]=A2319,EDATE(Таблицаx_2[[#This Row],[Месяц]],1)=D2319),F2319,0)</f>
        <v>0</v>
      </c>
      <c r="K2318" s="8">
        <f>IF(AND(Таблицаx_2[[#This Row],[Месяц окончания]]=Таблицаx_2[[#This Row],[Месяц]],Таблицаx_2[[#This Row],[id]]=A2319,EDATE(Таблицаx_2[[#This Row],[Месяц]],2)=D2319),F2319,0)</f>
        <v>0</v>
      </c>
    </row>
    <row r="2319" spans="1:11" ht="12.75" hidden="1" customHeight="1" x14ac:dyDescent="0.2">
      <c r="A2319" s="8">
        <v>791</v>
      </c>
      <c r="B2319" s="8" t="s">
        <v>50</v>
      </c>
      <c r="C2319" s="8" t="s">
        <v>4</v>
      </c>
      <c r="D2319" s="12">
        <v>44986</v>
      </c>
      <c r="E2319" s="8">
        <v>63600</v>
      </c>
      <c r="F2319" s="10">
        <f>IF(ISTEXT(Таблицаx_2[[#This Row],[Значение]]), 0, Таблицаx_2[[#This Row],[Значение]])</f>
        <v>63600</v>
      </c>
      <c r="G2319" s="12">
        <v>45261</v>
      </c>
      <c r="H2319" s="10" t="str">
        <f>IFERROR(VLOOKUP(Таблицаx_2[[#This Row],[id]],prolongations!A:C,2,)," ")</f>
        <v>декабрь 2023</v>
      </c>
      <c r="I2319" s="10">
        <f>IF(Таблицаx_2[[#This Row],[Месяц окончания]]=Таблицаx_2[[#This Row],[Месяц]],Таблицаx_2[[#This Row],[Значения числа]],0)</f>
        <v>0</v>
      </c>
      <c r="J2319" s="8">
        <f>IF(AND(Таблицаx_2[[#This Row],[Месяц окончания]]=Таблицаx_2[[#This Row],[Месяц]],Таблицаx_2[[#This Row],[id]]=A2320,EDATE(Таблицаx_2[[#This Row],[Месяц]],1)=D2320),F2320,0)</f>
        <v>0</v>
      </c>
      <c r="K2319" s="8">
        <f>IF(AND(Таблицаx_2[[#This Row],[Месяц окончания]]=Таблицаx_2[[#This Row],[Месяц]],Таблицаx_2[[#This Row],[id]]=A2320,EDATE(Таблицаx_2[[#This Row],[Месяц]],2)=D2320),F2320,0)</f>
        <v>0</v>
      </c>
    </row>
    <row r="2320" spans="1:11" ht="12.75" hidden="1" customHeight="1" x14ac:dyDescent="0.2">
      <c r="A2320" s="8">
        <v>610</v>
      </c>
      <c r="B2320" s="8" t="s">
        <v>52</v>
      </c>
      <c r="C2320" s="8" t="s">
        <v>11</v>
      </c>
      <c r="D2320" s="12">
        <v>45108</v>
      </c>
      <c r="E2320" s="8">
        <v>139860</v>
      </c>
      <c r="F2320" s="10">
        <f>IF(ISTEXT(Таблицаx_2[[#This Row],[Значение]]), 0, Таблицаx_2[[#This Row],[Значение]])</f>
        <v>139860</v>
      </c>
      <c r="G2320" s="12">
        <v>45078</v>
      </c>
      <c r="H2320" s="10" t="str">
        <f>IFERROR(VLOOKUP(Таблицаx_2[[#This Row],[id]],prolongations!A:C,2,)," ")</f>
        <v>июнь 2023</v>
      </c>
      <c r="I2320" s="10">
        <f>IF(Таблицаx_2[[#This Row],[Месяц окончания]]=Таблицаx_2[[#This Row],[Месяц]],Таблицаx_2[[#This Row],[Значения числа]],0)</f>
        <v>0</v>
      </c>
      <c r="J2320" s="8">
        <f>IF(AND(Таблицаx_2[[#This Row],[Месяц окончания]]=Таблицаx_2[[#This Row],[Месяц]],Таблицаx_2[[#This Row],[id]]=A2321,EDATE(Таблицаx_2[[#This Row],[Месяц]],1)=D2321),F2321,0)</f>
        <v>0</v>
      </c>
      <c r="K2320" s="8">
        <f>IF(AND(Таблицаx_2[[#This Row],[Месяц окончания]]=Таблицаx_2[[#This Row],[Месяц]],Таблицаx_2[[#This Row],[id]]=A2321,EDATE(Таблицаx_2[[#This Row],[Месяц]],2)=D2321),F2321,0)</f>
        <v>0</v>
      </c>
    </row>
    <row r="2321" spans="1:11" ht="12.75" hidden="1" customHeight="1" x14ac:dyDescent="0.2">
      <c r="A2321" s="8">
        <v>610</v>
      </c>
      <c r="B2321" s="8" t="s">
        <v>52</v>
      </c>
      <c r="C2321" s="8" t="s">
        <v>11</v>
      </c>
      <c r="D2321" s="12">
        <v>45139</v>
      </c>
      <c r="E2321" s="8">
        <v>139860</v>
      </c>
      <c r="F2321" s="10">
        <f>IF(ISTEXT(Таблицаx_2[[#This Row],[Значение]]), 0, Таблицаx_2[[#This Row],[Значение]])</f>
        <v>139860</v>
      </c>
      <c r="G2321" s="12">
        <v>45078</v>
      </c>
      <c r="H2321" s="10" t="str">
        <f>IFERROR(VLOOKUP(Таблицаx_2[[#This Row],[id]],prolongations!A:C,2,)," ")</f>
        <v>июнь 2023</v>
      </c>
      <c r="I2321" s="10">
        <f>IF(Таблицаx_2[[#This Row],[Месяц окончания]]=Таблицаx_2[[#This Row],[Месяц]],Таблицаx_2[[#This Row],[Значения числа]],0)</f>
        <v>0</v>
      </c>
      <c r="J2321" s="8">
        <f>IF(AND(Таблицаx_2[[#This Row],[Месяц окончания]]=Таблицаx_2[[#This Row],[Месяц]],Таблицаx_2[[#This Row],[id]]=A2322,EDATE(Таблицаx_2[[#This Row],[Месяц]],1)=D2322),F2322,0)</f>
        <v>0</v>
      </c>
      <c r="K2321" s="8">
        <f>IF(AND(Таблицаx_2[[#This Row],[Месяц окончания]]=Таблицаx_2[[#This Row],[Месяц]],Таблицаx_2[[#This Row],[id]]=A2322,EDATE(Таблицаx_2[[#This Row],[Месяц]],2)=D2322),F2322,0)</f>
        <v>0</v>
      </c>
    </row>
    <row r="2322" spans="1:11" ht="12.75" hidden="1" customHeight="1" x14ac:dyDescent="0.2">
      <c r="A2322" s="8">
        <v>610</v>
      </c>
      <c r="B2322" s="8" t="s">
        <v>52</v>
      </c>
      <c r="C2322" s="8" t="s">
        <v>11</v>
      </c>
      <c r="D2322" s="12">
        <v>45170</v>
      </c>
      <c r="E2322" s="8">
        <v>139860</v>
      </c>
      <c r="F2322" s="10">
        <f>IF(ISTEXT(Таблицаx_2[[#This Row],[Значение]]), 0, Таблицаx_2[[#This Row],[Значение]])</f>
        <v>139860</v>
      </c>
      <c r="G2322" s="12">
        <v>45078</v>
      </c>
      <c r="H2322" s="10" t="str">
        <f>IFERROR(VLOOKUP(Таблицаx_2[[#This Row],[id]],prolongations!A:C,2,)," ")</f>
        <v>июнь 2023</v>
      </c>
      <c r="I2322" s="10">
        <f>IF(Таблицаx_2[[#This Row],[Месяц окончания]]=Таблицаx_2[[#This Row],[Месяц]],Таблицаx_2[[#This Row],[Значения числа]],0)</f>
        <v>0</v>
      </c>
      <c r="J2322" s="8">
        <f>IF(AND(Таблицаx_2[[#This Row],[Месяц окончания]]=Таблицаx_2[[#This Row],[Месяц]],Таблицаx_2[[#This Row],[id]]=A2323,EDATE(Таблицаx_2[[#This Row],[Месяц]],1)=D2323),F2323,0)</f>
        <v>0</v>
      </c>
      <c r="K2322" s="8">
        <f>IF(AND(Таблицаx_2[[#This Row],[Месяц окончания]]=Таблицаx_2[[#This Row],[Месяц]],Таблицаx_2[[#This Row],[id]]=A2323,EDATE(Таблицаx_2[[#This Row],[Месяц]],2)=D2323),F2323,0)</f>
        <v>0</v>
      </c>
    </row>
    <row r="2323" spans="1:11" ht="12.75" hidden="1" customHeight="1" x14ac:dyDescent="0.2">
      <c r="A2323" s="8">
        <v>610</v>
      </c>
      <c r="B2323" s="8" t="s">
        <v>52</v>
      </c>
      <c r="C2323" s="8" t="s">
        <v>11</v>
      </c>
      <c r="D2323" s="12">
        <v>45200</v>
      </c>
      <c r="E2323" s="8">
        <v>139860</v>
      </c>
      <c r="F2323" s="10">
        <f>IF(ISTEXT(Таблицаx_2[[#This Row],[Значение]]), 0, Таблицаx_2[[#This Row],[Значение]])</f>
        <v>139860</v>
      </c>
      <c r="G2323" s="12">
        <v>45078</v>
      </c>
      <c r="H2323" s="10" t="str">
        <f>IFERROR(VLOOKUP(Таблицаx_2[[#This Row],[id]],prolongations!A:C,2,)," ")</f>
        <v>июнь 2023</v>
      </c>
      <c r="I2323" s="10">
        <f>IF(Таблицаx_2[[#This Row],[Месяц окончания]]=Таблицаx_2[[#This Row],[Месяц]],Таблицаx_2[[#This Row],[Значения числа]],0)</f>
        <v>0</v>
      </c>
      <c r="J2323" s="8">
        <f>IF(AND(Таблицаx_2[[#This Row],[Месяц окончания]]=Таблицаx_2[[#This Row],[Месяц]],Таблицаx_2[[#This Row],[id]]=A2324,EDATE(Таблицаx_2[[#This Row],[Месяц]],1)=D2324),F2324,0)</f>
        <v>0</v>
      </c>
      <c r="K2323" s="8">
        <f>IF(AND(Таблицаx_2[[#This Row],[Месяц окончания]]=Таблицаx_2[[#This Row],[Месяц]],Таблицаx_2[[#This Row],[id]]=A2324,EDATE(Таблицаx_2[[#This Row],[Месяц]],2)=D2324),F2324,0)</f>
        <v>0</v>
      </c>
    </row>
    <row r="2324" spans="1:11" ht="12.75" hidden="1" customHeight="1" x14ac:dyDescent="0.2">
      <c r="A2324" s="8">
        <v>610</v>
      </c>
      <c r="B2324" s="8" t="s">
        <v>52</v>
      </c>
      <c r="C2324" s="8" t="s">
        <v>11</v>
      </c>
      <c r="D2324" s="12">
        <v>45231</v>
      </c>
      <c r="E2324" s="8">
        <v>139860</v>
      </c>
      <c r="F2324" s="10">
        <f>IF(ISTEXT(Таблицаx_2[[#This Row],[Значение]]), 0, Таблицаx_2[[#This Row],[Значение]])</f>
        <v>139860</v>
      </c>
      <c r="G2324" s="12">
        <v>45078</v>
      </c>
      <c r="H2324" s="10" t="str">
        <f>IFERROR(VLOOKUP(Таблицаx_2[[#This Row],[id]],prolongations!A:C,2,)," ")</f>
        <v>июнь 2023</v>
      </c>
      <c r="I2324" s="10">
        <f>IF(Таблицаx_2[[#This Row],[Месяц окончания]]=Таблицаx_2[[#This Row],[Месяц]],Таблицаx_2[[#This Row],[Значения числа]],0)</f>
        <v>0</v>
      </c>
      <c r="J2324" s="8">
        <f>IF(AND(Таблицаx_2[[#This Row],[Месяц окончания]]=Таблицаx_2[[#This Row],[Месяц]],Таблицаx_2[[#This Row],[id]]=A2325,EDATE(Таблицаx_2[[#This Row],[Месяц]],1)=D2325),F2325,0)</f>
        <v>0</v>
      </c>
      <c r="K2324" s="8">
        <f>IF(AND(Таблицаx_2[[#This Row],[Месяц окончания]]=Таблицаx_2[[#This Row],[Месяц]],Таблицаx_2[[#This Row],[id]]=A2325,EDATE(Таблицаx_2[[#This Row],[Месяц]],2)=D2325),F2325,0)</f>
        <v>0</v>
      </c>
    </row>
    <row r="2325" spans="1:11" ht="12.75" hidden="1" customHeight="1" x14ac:dyDescent="0.2">
      <c r="A2325" s="8">
        <v>610</v>
      </c>
      <c r="B2325" s="8" t="s">
        <v>52</v>
      </c>
      <c r="C2325" s="8" t="s">
        <v>11</v>
      </c>
      <c r="D2325" s="12">
        <v>45261</v>
      </c>
      <c r="E2325" s="8">
        <v>139860</v>
      </c>
      <c r="F2325" s="10">
        <f>IF(ISTEXT(Таблицаx_2[[#This Row],[Значение]]), 0, Таблицаx_2[[#This Row],[Значение]])</f>
        <v>139860</v>
      </c>
      <c r="G2325" s="12">
        <v>45078</v>
      </c>
      <c r="H2325" s="10" t="str">
        <f>IFERROR(VLOOKUP(Таблицаx_2[[#This Row],[id]],prolongations!A:C,2,)," ")</f>
        <v>июнь 2023</v>
      </c>
      <c r="I2325" s="10">
        <f>IF(Таблицаx_2[[#This Row],[Месяц окончания]]=Таблицаx_2[[#This Row],[Месяц]],Таблицаx_2[[#This Row],[Значения числа]],0)</f>
        <v>0</v>
      </c>
      <c r="J2325" s="8">
        <f>IF(AND(Таблицаx_2[[#This Row],[Месяц окончания]]=Таблицаx_2[[#This Row],[Месяц]],Таблицаx_2[[#This Row],[id]]=A2326,EDATE(Таблицаx_2[[#This Row],[Месяц]],1)=D2326),F2326,0)</f>
        <v>0</v>
      </c>
      <c r="K2325" s="8">
        <f>IF(AND(Таблицаx_2[[#This Row],[Месяц окончания]]=Таблицаx_2[[#This Row],[Месяц]],Таблицаx_2[[#This Row],[id]]=A2326,EDATE(Таблицаx_2[[#This Row],[Месяц]],2)=D2326),F2326,0)</f>
        <v>0</v>
      </c>
    </row>
    <row r="2326" spans="1:11" ht="12.75" hidden="1" customHeight="1" x14ac:dyDescent="0.2">
      <c r="A2326" s="8">
        <v>610</v>
      </c>
      <c r="B2326" s="8" t="s">
        <v>52</v>
      </c>
      <c r="C2326" s="8" t="s">
        <v>11</v>
      </c>
      <c r="D2326" s="12">
        <v>45292</v>
      </c>
      <c r="E2326" s="8">
        <v>136300</v>
      </c>
      <c r="F2326" s="10">
        <f>IF(ISTEXT(Таблицаx_2[[#This Row],[Значение]]), 0, Таблицаx_2[[#This Row],[Значение]])</f>
        <v>136300</v>
      </c>
      <c r="G2326" s="12">
        <v>45078</v>
      </c>
      <c r="H2326" s="10" t="str">
        <f>IFERROR(VLOOKUP(Таблицаx_2[[#This Row],[id]],prolongations!A:C,2,)," ")</f>
        <v>июнь 2023</v>
      </c>
      <c r="I2326" s="10">
        <f>IF(Таблицаx_2[[#This Row],[Месяц окончания]]=Таблицаx_2[[#This Row],[Месяц]],Таблицаx_2[[#This Row],[Значения числа]],0)</f>
        <v>0</v>
      </c>
      <c r="J2326" s="8">
        <f>IF(AND(Таблицаx_2[[#This Row],[Месяц окончания]]=Таблицаx_2[[#This Row],[Месяц]],Таблицаx_2[[#This Row],[id]]=A2327,EDATE(Таблицаx_2[[#This Row],[Месяц]],1)=D2327),F2327,0)</f>
        <v>0</v>
      </c>
      <c r="K2326" s="8">
        <f>IF(AND(Таблицаx_2[[#This Row],[Месяц окончания]]=Таблицаx_2[[#This Row],[Месяц]],Таблицаx_2[[#This Row],[id]]=A2327,EDATE(Таблицаx_2[[#This Row],[Месяц]],2)=D2327),F2327,0)</f>
        <v>0</v>
      </c>
    </row>
    <row r="2327" spans="1:11" ht="12.75" hidden="1" customHeight="1" x14ac:dyDescent="0.2">
      <c r="A2327" s="8">
        <v>610</v>
      </c>
      <c r="B2327" s="8" t="s">
        <v>52</v>
      </c>
      <c r="C2327" s="8" t="s">
        <v>11</v>
      </c>
      <c r="D2327" s="12">
        <v>45323</v>
      </c>
      <c r="E2327" s="8">
        <v>136300</v>
      </c>
      <c r="F2327" s="10">
        <f>IF(ISTEXT(Таблицаx_2[[#This Row],[Значение]]), 0, Таблицаx_2[[#This Row],[Значение]])</f>
        <v>136300</v>
      </c>
      <c r="G2327" s="12">
        <v>45078</v>
      </c>
      <c r="H2327" s="10" t="str">
        <f>IFERROR(VLOOKUP(Таблицаx_2[[#This Row],[id]],prolongations!A:C,2,)," ")</f>
        <v>июнь 2023</v>
      </c>
      <c r="I2327" s="10">
        <f>IF(Таблицаx_2[[#This Row],[Месяц окончания]]=Таблицаx_2[[#This Row],[Месяц]],Таблицаx_2[[#This Row],[Значения числа]],0)</f>
        <v>0</v>
      </c>
      <c r="J2327" s="8">
        <f>IF(AND(Таблицаx_2[[#This Row],[Месяц окончания]]=Таблицаx_2[[#This Row],[Месяц]],Таблицаx_2[[#This Row],[id]]=A2328,EDATE(Таблицаx_2[[#This Row],[Месяц]],1)=D2328),F2328,0)</f>
        <v>0</v>
      </c>
      <c r="K2327" s="8">
        <f>IF(AND(Таблицаx_2[[#This Row],[Месяц окончания]]=Таблицаx_2[[#This Row],[Месяц]],Таблицаx_2[[#This Row],[id]]=A2328,EDATE(Таблицаx_2[[#This Row],[Месяц]],2)=D2328),F2328,0)</f>
        <v>0</v>
      </c>
    </row>
    <row r="2328" spans="1:11" ht="12.75" hidden="1" customHeight="1" x14ac:dyDescent="0.2">
      <c r="A2328" s="8">
        <v>610</v>
      </c>
      <c r="B2328" s="8" t="s">
        <v>50</v>
      </c>
      <c r="C2328" s="8" t="s">
        <v>11</v>
      </c>
      <c r="D2328" s="12">
        <v>44866</v>
      </c>
      <c r="E2328" s="8">
        <v>135995</v>
      </c>
      <c r="F2328" s="10">
        <f>IF(ISTEXT(Таблицаx_2[[#This Row],[Значение]]), 0, Таблицаx_2[[#This Row],[Значение]])</f>
        <v>135995</v>
      </c>
      <c r="G2328" s="12">
        <v>45078</v>
      </c>
      <c r="H2328" s="10" t="str">
        <f>IFERROR(VLOOKUP(Таблицаx_2[[#This Row],[id]],prolongations!A:C,2,)," ")</f>
        <v>июнь 2023</v>
      </c>
      <c r="I2328" s="10">
        <f>IF(Таблицаx_2[[#This Row],[Месяц окончания]]=Таблицаx_2[[#This Row],[Месяц]],Таблицаx_2[[#This Row],[Значения числа]],0)</f>
        <v>0</v>
      </c>
      <c r="J2328" s="8">
        <f>IF(AND(Таблицаx_2[[#This Row],[Месяц окончания]]=Таблицаx_2[[#This Row],[Месяц]],Таблицаx_2[[#This Row],[id]]=A2329,EDATE(Таблицаx_2[[#This Row],[Месяц]],1)=D2329),F2329,0)</f>
        <v>0</v>
      </c>
      <c r="K2328" s="8">
        <f>IF(AND(Таблицаx_2[[#This Row],[Месяц окончания]]=Таблицаx_2[[#This Row],[Месяц]],Таблицаx_2[[#This Row],[id]]=A2329,EDATE(Таблицаx_2[[#This Row],[Месяц]],2)=D2329),F2329,0)</f>
        <v>0</v>
      </c>
    </row>
    <row r="2329" spans="1:11" ht="12.75" hidden="1" customHeight="1" x14ac:dyDescent="0.2">
      <c r="A2329" s="8">
        <v>610</v>
      </c>
      <c r="B2329" s="8" t="s">
        <v>50</v>
      </c>
      <c r="C2329" s="8" t="s">
        <v>11</v>
      </c>
      <c r="D2329" s="12">
        <v>44896</v>
      </c>
      <c r="E2329" s="8">
        <v>135995</v>
      </c>
      <c r="F2329" s="10">
        <f>IF(ISTEXT(Таблицаx_2[[#This Row],[Значение]]), 0, Таблицаx_2[[#This Row],[Значение]])</f>
        <v>135995</v>
      </c>
      <c r="G2329" s="12">
        <v>45078</v>
      </c>
      <c r="H2329" s="10" t="str">
        <f>IFERROR(VLOOKUP(Таблицаx_2[[#This Row],[id]],prolongations!A:C,2,)," ")</f>
        <v>июнь 2023</v>
      </c>
      <c r="I2329" s="10">
        <f>IF(Таблицаx_2[[#This Row],[Месяц окончания]]=Таблицаx_2[[#This Row],[Месяц]],Таблицаx_2[[#This Row],[Значения числа]],0)</f>
        <v>0</v>
      </c>
      <c r="J2329" s="8">
        <f>IF(AND(Таблицаx_2[[#This Row],[Месяц окончания]]=Таблицаx_2[[#This Row],[Месяц]],Таблицаx_2[[#This Row],[id]]=A2330,EDATE(Таблицаx_2[[#This Row],[Месяц]],1)=D2330),F2330,0)</f>
        <v>0</v>
      </c>
      <c r="K2329" s="8">
        <f>IF(AND(Таблицаx_2[[#This Row],[Месяц окончания]]=Таблицаx_2[[#This Row],[Месяц]],Таблицаx_2[[#This Row],[id]]=A2330,EDATE(Таблицаx_2[[#This Row],[Месяц]],2)=D2330),F2330,0)</f>
        <v>0</v>
      </c>
    </row>
    <row r="2330" spans="1:11" ht="12.75" hidden="1" customHeight="1" x14ac:dyDescent="0.2">
      <c r="A2330" s="8">
        <v>610</v>
      </c>
      <c r="B2330" s="8" t="s">
        <v>50</v>
      </c>
      <c r="C2330" s="8" t="s">
        <v>11</v>
      </c>
      <c r="D2330" s="12">
        <v>44927</v>
      </c>
      <c r="E2330" s="8">
        <v>131425</v>
      </c>
      <c r="F2330" s="10">
        <f>IF(ISTEXT(Таблицаx_2[[#This Row],[Значение]]), 0, Таблицаx_2[[#This Row],[Значение]])</f>
        <v>131425</v>
      </c>
      <c r="G2330" s="12">
        <v>45078</v>
      </c>
      <c r="H2330" s="10" t="str">
        <f>IFERROR(VLOOKUP(Таблицаx_2[[#This Row],[id]],prolongations!A:C,2,)," ")</f>
        <v>июнь 2023</v>
      </c>
      <c r="I2330" s="10">
        <f>IF(Таблицаx_2[[#This Row],[Месяц окончания]]=Таблицаx_2[[#This Row],[Месяц]],Таблицаx_2[[#This Row],[Значения числа]],0)</f>
        <v>0</v>
      </c>
      <c r="J2330" s="8">
        <f>IF(AND(Таблицаx_2[[#This Row],[Месяц окончания]]=Таблицаx_2[[#This Row],[Месяц]],Таблицаx_2[[#This Row],[id]]=A2331,EDATE(Таблицаx_2[[#This Row],[Месяц]],1)=D2331),F2331,0)</f>
        <v>0</v>
      </c>
      <c r="K2330" s="8">
        <f>IF(AND(Таблицаx_2[[#This Row],[Месяц окончания]]=Таблицаx_2[[#This Row],[Месяц]],Таблицаx_2[[#This Row],[id]]=A2331,EDATE(Таблицаx_2[[#This Row],[Месяц]],2)=D2331),F2331,0)</f>
        <v>0</v>
      </c>
    </row>
    <row r="2331" spans="1:11" ht="12.75" hidden="1" customHeight="1" x14ac:dyDescent="0.2">
      <c r="A2331" s="8">
        <v>610</v>
      </c>
      <c r="B2331" s="8" t="s">
        <v>50</v>
      </c>
      <c r="C2331" s="8" t="s">
        <v>11</v>
      </c>
      <c r="D2331" s="12">
        <v>44958</v>
      </c>
      <c r="E2331" s="8">
        <v>140565</v>
      </c>
      <c r="F2331" s="10">
        <f>IF(ISTEXT(Таблицаx_2[[#This Row],[Значение]]), 0, Таблицаx_2[[#This Row],[Значение]])</f>
        <v>140565</v>
      </c>
      <c r="G2331" s="12">
        <v>45078</v>
      </c>
      <c r="H2331" s="10" t="str">
        <f>IFERROR(VLOOKUP(Таблицаx_2[[#This Row],[id]],prolongations!A:C,2,)," ")</f>
        <v>июнь 2023</v>
      </c>
      <c r="I2331" s="10">
        <f>IF(Таблицаx_2[[#This Row],[Месяц окончания]]=Таблицаx_2[[#This Row],[Месяц]],Таблицаx_2[[#This Row],[Значения числа]],0)</f>
        <v>0</v>
      </c>
      <c r="J2331" s="8">
        <f>IF(AND(Таблицаx_2[[#This Row],[Месяц окончания]]=Таблицаx_2[[#This Row],[Месяц]],Таблицаx_2[[#This Row],[id]]=A2332,EDATE(Таблицаx_2[[#This Row],[Месяц]],1)=D2332),F2332,0)</f>
        <v>0</v>
      </c>
      <c r="K2331" s="8">
        <f>IF(AND(Таблицаx_2[[#This Row],[Месяц окончания]]=Таблицаx_2[[#This Row],[Месяц]],Таблицаx_2[[#This Row],[id]]=A2332,EDATE(Таблицаx_2[[#This Row],[Месяц]],2)=D2332),F2332,0)</f>
        <v>0</v>
      </c>
    </row>
    <row r="2332" spans="1:11" ht="12.75" hidden="1" customHeight="1" x14ac:dyDescent="0.2">
      <c r="A2332" s="8">
        <v>610</v>
      </c>
      <c r="B2332" s="8" t="s">
        <v>50</v>
      </c>
      <c r="C2332" s="8" t="s">
        <v>11</v>
      </c>
      <c r="D2332" s="12">
        <v>44986</v>
      </c>
      <c r="E2332" s="8">
        <v>146845</v>
      </c>
      <c r="F2332" s="10">
        <f>IF(ISTEXT(Таблицаx_2[[#This Row],[Значение]]), 0, Таблицаx_2[[#This Row],[Значение]])</f>
        <v>146845</v>
      </c>
      <c r="G2332" s="12">
        <v>45078</v>
      </c>
      <c r="H2332" s="10" t="str">
        <f>IFERROR(VLOOKUP(Таблицаx_2[[#This Row],[id]],prolongations!A:C,2,)," ")</f>
        <v>июнь 2023</v>
      </c>
      <c r="I2332" s="10">
        <f>IF(Таблицаx_2[[#This Row],[Месяц окончания]]=Таблицаx_2[[#This Row],[Месяц]],Таблицаx_2[[#This Row],[Значения числа]],0)</f>
        <v>0</v>
      </c>
      <c r="J2332" s="8">
        <f>IF(AND(Таблицаx_2[[#This Row],[Месяц окончания]]=Таблицаx_2[[#This Row],[Месяц]],Таблицаx_2[[#This Row],[id]]=A2333,EDATE(Таблицаx_2[[#This Row],[Месяц]],1)=D2333),F2333,0)</f>
        <v>0</v>
      </c>
      <c r="K2332" s="8">
        <f>IF(AND(Таблицаx_2[[#This Row],[Месяц окончания]]=Таблицаx_2[[#This Row],[Месяц]],Таблицаx_2[[#This Row],[id]]=A2333,EDATE(Таблицаx_2[[#This Row],[Месяц]],2)=D2333),F2333,0)</f>
        <v>0</v>
      </c>
    </row>
    <row r="2333" spans="1:11" ht="12.75" hidden="1" customHeight="1" x14ac:dyDescent="0.2">
      <c r="A2333" s="8">
        <v>610</v>
      </c>
      <c r="B2333" s="8" t="s">
        <v>50</v>
      </c>
      <c r="C2333" s="8" t="s">
        <v>11</v>
      </c>
      <c r="D2333" s="12">
        <v>45017</v>
      </c>
      <c r="E2333" s="8">
        <v>146845</v>
      </c>
      <c r="F2333" s="10">
        <f>IF(ISTEXT(Таблицаx_2[[#This Row],[Значение]]), 0, Таблицаx_2[[#This Row],[Значение]])</f>
        <v>146845</v>
      </c>
      <c r="G2333" s="12">
        <v>45078</v>
      </c>
      <c r="H2333" s="10" t="str">
        <f>IFERROR(VLOOKUP(Таблицаx_2[[#This Row],[id]],prolongations!A:C,2,)," ")</f>
        <v>июнь 2023</v>
      </c>
      <c r="I2333" s="10">
        <f>IF(Таблицаx_2[[#This Row],[Месяц окончания]]=Таблицаx_2[[#This Row],[Месяц]],Таблицаx_2[[#This Row],[Значения числа]],0)</f>
        <v>0</v>
      </c>
      <c r="J2333" s="8">
        <f>IF(AND(Таблицаx_2[[#This Row],[Месяц окончания]]=Таблицаx_2[[#This Row],[Месяц]],Таблицаx_2[[#This Row],[id]]=A2334,EDATE(Таблицаx_2[[#This Row],[Месяц]],1)=D2334),F2334,0)</f>
        <v>0</v>
      </c>
      <c r="K2333" s="8">
        <f>IF(AND(Таблицаx_2[[#This Row],[Месяц окончания]]=Таблицаx_2[[#This Row],[Месяц]],Таблицаx_2[[#This Row],[id]]=A2334,EDATE(Таблицаx_2[[#This Row],[Месяц]],2)=D2334),F2334,0)</f>
        <v>0</v>
      </c>
    </row>
    <row r="2334" spans="1:11" ht="12.75" hidden="1" customHeight="1" x14ac:dyDescent="0.2">
      <c r="A2334" s="8">
        <v>610</v>
      </c>
      <c r="B2334" s="8" t="s">
        <v>50</v>
      </c>
      <c r="C2334" s="8" t="s">
        <v>11</v>
      </c>
      <c r="D2334" s="12">
        <v>45047</v>
      </c>
      <c r="E2334" s="8">
        <v>146845</v>
      </c>
      <c r="F2334" s="10">
        <f>IF(ISTEXT(Таблицаx_2[[#This Row],[Значение]]), 0, Таблицаx_2[[#This Row],[Значение]])</f>
        <v>146845</v>
      </c>
      <c r="G2334" s="12">
        <v>45078</v>
      </c>
      <c r="H2334" s="10" t="str">
        <f>IFERROR(VLOOKUP(Таблицаx_2[[#This Row],[id]],prolongations!A:C,2,)," ")</f>
        <v>июнь 2023</v>
      </c>
      <c r="I2334" s="10">
        <f>IF(Таблицаx_2[[#This Row],[Месяц окончания]]=Таблицаx_2[[#This Row],[Месяц]],Таблицаx_2[[#This Row],[Значения числа]],0)</f>
        <v>0</v>
      </c>
      <c r="J2334" s="8">
        <f>IF(AND(Таблицаx_2[[#This Row],[Месяц окончания]]=Таблицаx_2[[#This Row],[Месяц]],Таблицаx_2[[#This Row],[id]]=A2335,EDATE(Таблицаx_2[[#This Row],[Месяц]],1)=D2335),F2335,0)</f>
        <v>0</v>
      </c>
      <c r="K2334" s="8">
        <f>IF(AND(Таблицаx_2[[#This Row],[Месяц окончания]]=Таблицаx_2[[#This Row],[Месяц]],Таблицаx_2[[#This Row],[id]]=A2335,EDATE(Таблицаx_2[[#This Row],[Месяц]],2)=D2335),F2335,0)</f>
        <v>0</v>
      </c>
    </row>
    <row r="2335" spans="1:11" ht="12.75" hidden="1" customHeight="1" x14ac:dyDescent="0.2">
      <c r="A2335" s="8">
        <v>610</v>
      </c>
      <c r="B2335" s="8" t="s">
        <v>50</v>
      </c>
      <c r="C2335" s="8" t="s">
        <v>11</v>
      </c>
      <c r="D2335" s="12">
        <v>45078</v>
      </c>
      <c r="E2335" s="8">
        <v>135985</v>
      </c>
      <c r="F2335" s="10">
        <f>IF(ISTEXT(Таблицаx_2[[#This Row],[Значение]]), 0, Таблицаx_2[[#This Row],[Значение]])</f>
        <v>135985</v>
      </c>
      <c r="G2335" s="12">
        <v>45078</v>
      </c>
      <c r="H2335" s="10" t="str">
        <f>IFERROR(VLOOKUP(Таблицаx_2[[#This Row],[id]],prolongations!A:C,2,)," ")</f>
        <v>июнь 2023</v>
      </c>
      <c r="I2335" s="10">
        <f>IF(Таблицаx_2[[#This Row],[Месяц окончания]]=Таблицаx_2[[#This Row],[Месяц]],Таблицаx_2[[#This Row],[Значения числа]],0)</f>
        <v>135985</v>
      </c>
      <c r="J2335" s="8">
        <f>IF(AND(Таблицаx_2[[#This Row],[Месяц окончания]]=Таблицаx_2[[#This Row],[Месяц]],Таблицаx_2[[#This Row],[id]]=A2336,EDATE(Таблицаx_2[[#This Row],[Месяц]],1)=D2336),F2336,0)</f>
        <v>10065</v>
      </c>
      <c r="K2335" s="8">
        <f>IF(AND(Таблицаx_2[[#This Row],[Месяц окончания]]=Таблицаx_2[[#This Row],[Месяц]],Таблицаx_2[[#This Row],[id]]=A2336,EDATE(Таблицаx_2[[#This Row],[Месяц]],2)=D2336),F2336,0)</f>
        <v>0</v>
      </c>
    </row>
    <row r="2336" spans="1:11" ht="12.75" hidden="1" customHeight="1" x14ac:dyDescent="0.2">
      <c r="A2336" s="8">
        <v>610</v>
      </c>
      <c r="B2336" s="8" t="s">
        <v>50</v>
      </c>
      <c r="C2336" s="8" t="s">
        <v>11</v>
      </c>
      <c r="D2336" s="12">
        <v>45108</v>
      </c>
      <c r="E2336" s="8">
        <v>10065</v>
      </c>
      <c r="F2336" s="10">
        <f>IF(ISTEXT(Таблицаx_2[[#This Row],[Значение]]), 0, Таблицаx_2[[#This Row],[Значение]])</f>
        <v>10065</v>
      </c>
      <c r="G2336" s="12">
        <v>45078</v>
      </c>
      <c r="H2336" s="10" t="str">
        <f>IFERROR(VLOOKUP(Таблицаx_2[[#This Row],[id]],prolongations!A:C,2,)," ")</f>
        <v>июнь 2023</v>
      </c>
      <c r="I2336" s="10">
        <f>IF(Таблицаx_2[[#This Row],[Месяц окончания]]=Таблицаx_2[[#This Row],[Месяц]],Таблицаx_2[[#This Row],[Значения числа]],0)</f>
        <v>0</v>
      </c>
      <c r="J2336" s="8">
        <f>IF(AND(Таблицаx_2[[#This Row],[Месяц окончания]]=Таблицаx_2[[#This Row],[Месяц]],Таблицаx_2[[#This Row],[id]]=A2337,EDATE(Таблицаx_2[[#This Row],[Месяц]],1)=D2337),F2337,0)</f>
        <v>0</v>
      </c>
      <c r="K2336" s="8">
        <f>IF(AND(Таблицаx_2[[#This Row],[Месяц окончания]]=Таблицаx_2[[#This Row],[Месяц]],Таблицаx_2[[#This Row],[id]]=A2337,EDATE(Таблицаx_2[[#This Row],[Месяц]],2)=D2337),F2337,0)</f>
        <v>0</v>
      </c>
    </row>
    <row r="2337" spans="1:11" ht="12.75" hidden="1" customHeight="1" x14ac:dyDescent="0.2">
      <c r="A2337" s="8">
        <v>610</v>
      </c>
      <c r="B2337" s="8" t="s">
        <v>50</v>
      </c>
      <c r="C2337" s="8" t="s">
        <v>11</v>
      </c>
      <c r="D2337" s="12">
        <v>45139</v>
      </c>
      <c r="E2337" s="8">
        <v>11285</v>
      </c>
      <c r="F2337" s="10">
        <f>IF(ISTEXT(Таблицаx_2[[#This Row],[Значение]]), 0, Таблицаx_2[[#This Row],[Значение]])</f>
        <v>11285</v>
      </c>
      <c r="G2337" s="12">
        <v>45078</v>
      </c>
      <c r="H2337" s="10" t="str">
        <f>IFERROR(VLOOKUP(Таблицаx_2[[#This Row],[id]],prolongations!A:C,2,)," ")</f>
        <v>июнь 2023</v>
      </c>
      <c r="I2337" s="10">
        <f>IF(Таблицаx_2[[#This Row],[Месяц окончания]]=Таблицаx_2[[#This Row],[Месяц]],Таблицаx_2[[#This Row],[Значения числа]],0)</f>
        <v>0</v>
      </c>
      <c r="J2337" s="8">
        <f>IF(AND(Таблицаx_2[[#This Row],[Месяц окончания]]=Таблицаx_2[[#This Row],[Месяц]],Таблицаx_2[[#This Row],[id]]=A2338,EDATE(Таблицаx_2[[#This Row],[Месяц]],1)=D2338),F2338,0)</f>
        <v>0</v>
      </c>
      <c r="K2337" s="8">
        <f>IF(AND(Таблицаx_2[[#This Row],[Месяц окончания]]=Таблицаx_2[[#This Row],[Месяц]],Таблицаx_2[[#This Row],[id]]=A2338,EDATE(Таблицаx_2[[#This Row],[Месяц]],2)=D2338),F2338,0)</f>
        <v>0</v>
      </c>
    </row>
    <row r="2338" spans="1:11" ht="12.75" hidden="1" customHeight="1" x14ac:dyDescent="0.2">
      <c r="A2338" s="8">
        <v>610</v>
      </c>
      <c r="B2338" s="8" t="s">
        <v>50</v>
      </c>
      <c r="C2338" s="8" t="s">
        <v>11</v>
      </c>
      <c r="D2338" s="12">
        <v>45170</v>
      </c>
      <c r="E2338" s="8">
        <v>10675</v>
      </c>
      <c r="F2338" s="10">
        <f>IF(ISTEXT(Таблицаx_2[[#This Row],[Значение]]), 0, Таблицаx_2[[#This Row],[Значение]])</f>
        <v>10675</v>
      </c>
      <c r="G2338" s="12">
        <v>45078</v>
      </c>
      <c r="H2338" s="10" t="str">
        <f>IFERROR(VLOOKUP(Таблицаx_2[[#This Row],[id]],prolongations!A:C,2,)," ")</f>
        <v>июнь 2023</v>
      </c>
      <c r="I2338" s="10">
        <f>IF(Таблицаx_2[[#This Row],[Месяц окончания]]=Таблицаx_2[[#This Row],[Месяц]],Таблицаx_2[[#This Row],[Значения числа]],0)</f>
        <v>0</v>
      </c>
      <c r="J2338" s="8">
        <f>IF(AND(Таблицаx_2[[#This Row],[Месяц окончания]]=Таблицаx_2[[#This Row],[Месяц]],Таблицаx_2[[#This Row],[id]]=A2339,EDATE(Таблицаx_2[[#This Row],[Месяц]],1)=D2339),F2339,0)</f>
        <v>0</v>
      </c>
      <c r="K2338" s="8">
        <f>IF(AND(Таблицаx_2[[#This Row],[Месяц окончания]]=Таблицаx_2[[#This Row],[Месяц]],Таблицаx_2[[#This Row],[id]]=A2339,EDATE(Таблицаx_2[[#This Row],[Месяц]],2)=D2339),F2339,0)</f>
        <v>0</v>
      </c>
    </row>
    <row r="2339" spans="1:11" ht="12.75" hidden="1" customHeight="1" x14ac:dyDescent="0.2">
      <c r="A2339" s="8">
        <v>610</v>
      </c>
      <c r="B2339" s="8" t="s">
        <v>50</v>
      </c>
      <c r="C2339" s="8" t="s">
        <v>11</v>
      </c>
      <c r="D2339" s="12">
        <v>45200</v>
      </c>
      <c r="E2339" s="8">
        <v>10675</v>
      </c>
      <c r="F2339" s="10">
        <f>IF(ISTEXT(Таблицаx_2[[#This Row],[Значение]]), 0, Таблицаx_2[[#This Row],[Значение]])</f>
        <v>10675</v>
      </c>
      <c r="G2339" s="12">
        <v>45078</v>
      </c>
      <c r="H2339" s="10" t="str">
        <f>IFERROR(VLOOKUP(Таблицаx_2[[#This Row],[id]],prolongations!A:C,2,)," ")</f>
        <v>июнь 2023</v>
      </c>
      <c r="I2339" s="10">
        <f>IF(Таблицаx_2[[#This Row],[Месяц окончания]]=Таблицаx_2[[#This Row],[Месяц]],Таблицаx_2[[#This Row],[Значения числа]],0)</f>
        <v>0</v>
      </c>
      <c r="J2339" s="8">
        <f>IF(AND(Таблицаx_2[[#This Row],[Месяц окончания]]=Таблицаx_2[[#This Row],[Месяц]],Таблицаx_2[[#This Row],[id]]=A2340,EDATE(Таблицаx_2[[#This Row],[Месяц]],1)=D2340),F2340,0)</f>
        <v>0</v>
      </c>
      <c r="K2339" s="8">
        <f>IF(AND(Таблицаx_2[[#This Row],[Месяц окончания]]=Таблицаx_2[[#This Row],[Месяц]],Таблицаx_2[[#This Row],[id]]=A2340,EDATE(Таблицаx_2[[#This Row],[Месяц]],2)=D2340),F2340,0)</f>
        <v>0</v>
      </c>
    </row>
    <row r="2340" spans="1:11" ht="12.75" hidden="1" customHeight="1" x14ac:dyDescent="0.2">
      <c r="A2340" s="8">
        <v>610</v>
      </c>
      <c r="B2340" s="8" t="s">
        <v>50</v>
      </c>
      <c r="C2340" s="8" t="s">
        <v>11</v>
      </c>
      <c r="D2340" s="12">
        <v>45231</v>
      </c>
      <c r="E2340" s="8">
        <v>10675</v>
      </c>
      <c r="F2340" s="10">
        <f>IF(ISTEXT(Таблицаx_2[[#This Row],[Значение]]), 0, Таблицаx_2[[#This Row],[Значение]])</f>
        <v>10675</v>
      </c>
      <c r="G2340" s="12">
        <v>45078</v>
      </c>
      <c r="H2340" s="10" t="str">
        <f>IFERROR(VLOOKUP(Таблицаx_2[[#This Row],[id]],prolongations!A:C,2,)," ")</f>
        <v>июнь 2023</v>
      </c>
      <c r="I2340" s="10">
        <f>IF(Таблицаx_2[[#This Row],[Месяц окончания]]=Таблицаx_2[[#This Row],[Месяц]],Таблицаx_2[[#This Row],[Значения числа]],0)</f>
        <v>0</v>
      </c>
      <c r="J2340" s="8">
        <f>IF(AND(Таблицаx_2[[#This Row],[Месяц окончания]]=Таблицаx_2[[#This Row],[Месяц]],Таблицаx_2[[#This Row],[id]]=A2341,EDATE(Таблицаx_2[[#This Row],[Месяц]],1)=D2341),F2341,0)</f>
        <v>0</v>
      </c>
      <c r="K2340" s="8">
        <f>IF(AND(Таблицаx_2[[#This Row],[Месяц окончания]]=Таблицаx_2[[#This Row],[Месяц]],Таблицаx_2[[#This Row],[id]]=A2341,EDATE(Таблицаx_2[[#This Row],[Месяц]],2)=D2341),F2341,0)</f>
        <v>0</v>
      </c>
    </row>
    <row r="2341" spans="1:11" ht="12.75" hidden="1" customHeight="1" x14ac:dyDescent="0.2">
      <c r="A2341" s="8">
        <v>610</v>
      </c>
      <c r="B2341" s="8" t="s">
        <v>50</v>
      </c>
      <c r="C2341" s="8" t="s">
        <v>11</v>
      </c>
      <c r="D2341" s="12">
        <v>45261</v>
      </c>
      <c r="E2341" s="8">
        <v>10675</v>
      </c>
      <c r="F2341" s="10">
        <f>IF(ISTEXT(Таблицаx_2[[#This Row],[Значение]]), 0, Таблицаx_2[[#This Row],[Значение]])</f>
        <v>10675</v>
      </c>
      <c r="G2341" s="12">
        <v>45078</v>
      </c>
      <c r="H2341" s="10" t="str">
        <f>IFERROR(VLOOKUP(Таблицаx_2[[#This Row],[id]],prolongations!A:C,2,)," ")</f>
        <v>июнь 2023</v>
      </c>
      <c r="I2341" s="10">
        <f>IF(Таблицаx_2[[#This Row],[Месяц окончания]]=Таблицаx_2[[#This Row],[Месяц]],Таблицаx_2[[#This Row],[Значения числа]],0)</f>
        <v>0</v>
      </c>
      <c r="J2341" s="8">
        <f>IF(AND(Таблицаx_2[[#This Row],[Месяц окончания]]=Таблицаx_2[[#This Row],[Месяц]],Таблицаx_2[[#This Row],[id]]=A2342,EDATE(Таблицаx_2[[#This Row],[Месяц]],1)=D2342),F2342,0)</f>
        <v>0</v>
      </c>
      <c r="K2341" s="8">
        <f>IF(AND(Таблицаx_2[[#This Row],[Месяц окончания]]=Таблицаx_2[[#This Row],[Месяц]],Таблицаx_2[[#This Row],[id]]=A2342,EDATE(Таблицаx_2[[#This Row],[Месяц]],2)=D2342),F2342,0)</f>
        <v>0</v>
      </c>
    </row>
    <row r="2342" spans="1:11" ht="12.75" hidden="1" customHeight="1" x14ac:dyDescent="0.2">
      <c r="A2342" s="8">
        <v>610</v>
      </c>
      <c r="B2342" s="8" t="s">
        <v>50</v>
      </c>
      <c r="C2342" s="8" t="s">
        <v>11</v>
      </c>
      <c r="D2342" s="12">
        <v>45292</v>
      </c>
      <c r="E2342" s="8">
        <v>14000</v>
      </c>
      <c r="F2342" s="10">
        <f>IF(ISTEXT(Таблицаx_2[[#This Row],[Значение]]), 0, Таблицаx_2[[#This Row],[Значение]])</f>
        <v>14000</v>
      </c>
      <c r="G2342" s="12">
        <v>45078</v>
      </c>
      <c r="H2342" s="10" t="str">
        <f>IFERROR(VLOOKUP(Таблицаx_2[[#This Row],[id]],prolongations!A:C,2,)," ")</f>
        <v>июнь 2023</v>
      </c>
      <c r="I2342" s="10">
        <f>IF(Таблицаx_2[[#This Row],[Месяц окончания]]=Таблицаx_2[[#This Row],[Месяц]],Таблицаx_2[[#This Row],[Значения числа]],0)</f>
        <v>0</v>
      </c>
      <c r="J2342" s="8">
        <f>IF(AND(Таблицаx_2[[#This Row],[Месяц окончания]]=Таблицаx_2[[#This Row],[Месяц]],Таблицаx_2[[#This Row],[id]]=A2343,EDATE(Таблицаx_2[[#This Row],[Месяц]],1)=D2343),F2343,0)</f>
        <v>0</v>
      </c>
      <c r="K2342" s="8">
        <f>IF(AND(Таблицаx_2[[#This Row],[Месяц окончания]]=Таблицаx_2[[#This Row],[Месяц]],Таблицаx_2[[#This Row],[id]]=A2343,EDATE(Таблицаx_2[[#This Row],[Месяц]],2)=D2343),F2343,0)</f>
        <v>0</v>
      </c>
    </row>
    <row r="2343" spans="1:11" ht="12.75" hidden="1" customHeight="1" x14ac:dyDescent="0.2">
      <c r="A2343" s="8">
        <v>610</v>
      </c>
      <c r="B2343" s="8" t="s">
        <v>50</v>
      </c>
      <c r="C2343" s="8" t="s">
        <v>11</v>
      </c>
      <c r="D2343" s="12">
        <v>45323</v>
      </c>
      <c r="E2343" s="8">
        <v>14000</v>
      </c>
      <c r="F2343" s="10">
        <f>IF(ISTEXT(Таблицаx_2[[#This Row],[Значение]]), 0, Таблицаx_2[[#This Row],[Значение]])</f>
        <v>14000</v>
      </c>
      <c r="G2343" s="12">
        <v>45078</v>
      </c>
      <c r="H2343" s="10" t="str">
        <f>IFERROR(VLOOKUP(Таблицаx_2[[#This Row],[id]],prolongations!A:C,2,)," ")</f>
        <v>июнь 2023</v>
      </c>
      <c r="I2343" s="10">
        <f>IF(Таблицаx_2[[#This Row],[Месяц окончания]]=Таблицаx_2[[#This Row],[Месяц]],Таблицаx_2[[#This Row],[Значения числа]],0)</f>
        <v>0</v>
      </c>
      <c r="J2343" s="8">
        <f>IF(AND(Таблицаx_2[[#This Row],[Месяц окончания]]=Таблицаx_2[[#This Row],[Месяц]],Таблицаx_2[[#This Row],[id]]=A2344,EDATE(Таблицаx_2[[#This Row],[Месяц]],1)=D2344),F2344,0)</f>
        <v>0</v>
      </c>
      <c r="K2343" s="8">
        <f>IF(AND(Таблицаx_2[[#This Row],[Месяц окончания]]=Таблицаx_2[[#This Row],[Месяц]],Таблицаx_2[[#This Row],[id]]=A2344,EDATE(Таблицаx_2[[#This Row],[Месяц]],2)=D2344),F2344,0)</f>
        <v>0</v>
      </c>
    </row>
    <row r="2344" spans="1:11" ht="12.75" hidden="1" customHeight="1" x14ac:dyDescent="0.2">
      <c r="A2344" s="8">
        <v>629</v>
      </c>
      <c r="B2344" s="8" t="s">
        <v>45</v>
      </c>
      <c r="C2344" s="8" t="s">
        <v>11</v>
      </c>
      <c r="D2344" s="12">
        <v>44866</v>
      </c>
      <c r="E2344" s="8">
        <v>25745</v>
      </c>
      <c r="F2344" s="10">
        <f>IF(ISTEXT(Таблицаx_2[[#This Row],[Значение]]), 0, Таблицаx_2[[#This Row],[Значение]])</f>
        <v>25745</v>
      </c>
      <c r="G2344" s="12">
        <v>44896</v>
      </c>
      <c r="H2344" s="10" t="str">
        <f>IFERROR(VLOOKUP(Таблицаx_2[[#This Row],[id]],prolongations!A:C,2,)," ")</f>
        <v>декабрь 2022</v>
      </c>
      <c r="I2344" s="10">
        <f>IF(Таблицаx_2[[#This Row],[Месяц окончания]]=Таблицаx_2[[#This Row],[Месяц]],Таблицаx_2[[#This Row],[Значения числа]],0)</f>
        <v>0</v>
      </c>
      <c r="J2344" s="8">
        <f>IF(AND(Таблицаx_2[[#This Row],[Месяц окончания]]=Таблицаx_2[[#This Row],[Месяц]],Таблицаx_2[[#This Row],[id]]=A2345,EDATE(Таблицаx_2[[#This Row],[Месяц]],1)=D2345),F2345,0)</f>
        <v>0</v>
      </c>
      <c r="K2344" s="8">
        <f>IF(AND(Таблицаx_2[[#This Row],[Месяц окончания]]=Таблицаx_2[[#This Row],[Месяц]],Таблицаx_2[[#This Row],[id]]=A2345,EDATE(Таблицаx_2[[#This Row],[Месяц]],2)=D2345),F2345,0)</f>
        <v>0</v>
      </c>
    </row>
    <row r="2345" spans="1:11" hidden="1" x14ac:dyDescent="0.2">
      <c r="A2345" s="8">
        <v>629</v>
      </c>
      <c r="B2345" s="8" t="s">
        <v>45</v>
      </c>
      <c r="C2345" s="8" t="s">
        <v>11</v>
      </c>
      <c r="D2345" s="12">
        <v>44896</v>
      </c>
      <c r="E2345" s="8">
        <v>26167.5</v>
      </c>
      <c r="F2345" s="10">
        <f>IF(ISTEXT(Таблицаx_2[[#This Row],[Значение]]), 0, Таблицаx_2[[#This Row],[Значение]])</f>
        <v>26167.5</v>
      </c>
      <c r="G2345" s="12">
        <v>44896</v>
      </c>
      <c r="H2345" s="10" t="str">
        <f>IFERROR(VLOOKUP(Таблицаx_2[[#This Row],[id]],prolongations!A:C,2,)," ")</f>
        <v>декабрь 2022</v>
      </c>
      <c r="I2345" s="10">
        <f>IF(Таблицаx_2[[#This Row],[Месяц окончания]]=Таблицаx_2[[#This Row],[Месяц]],Таблицаx_2[[#This Row],[Значения числа]],0)</f>
        <v>26167.5</v>
      </c>
      <c r="J2345" s="8">
        <f>IF(AND(Таблицаx_2[[#This Row],[Месяц окончания]]=Таблицаx_2[[#This Row],[Месяц]],Таблицаx_2[[#This Row],[id]]=A2346,EDATE(Таблицаx_2[[#This Row],[Месяц]],1)=D2346),F2346,0)</f>
        <v>33127.5</v>
      </c>
      <c r="K2345" s="8">
        <f>IF(AND(Таблицаx_2[[#This Row],[Месяц окончания]]=Таблицаx_2[[#This Row],[Месяц]],Таблицаx_2[[#This Row],[id]]=A2346,EDATE(Таблицаx_2[[#This Row],[Месяц]],2)=D2346),F2346,0)</f>
        <v>0</v>
      </c>
    </row>
    <row r="2346" spans="1:11" ht="12.75" hidden="1" customHeight="1" x14ac:dyDescent="0.2">
      <c r="A2346" s="8">
        <v>629</v>
      </c>
      <c r="B2346" s="8" t="s">
        <v>45</v>
      </c>
      <c r="C2346" s="8" t="s">
        <v>11</v>
      </c>
      <c r="D2346" s="12">
        <v>44927</v>
      </c>
      <c r="E2346" s="8">
        <v>33127.5</v>
      </c>
      <c r="F2346" s="10">
        <f>IF(ISTEXT(Таблицаx_2[[#This Row],[Значение]]), 0, Таблицаx_2[[#This Row],[Значение]])</f>
        <v>33127.5</v>
      </c>
      <c r="G2346" s="12">
        <v>44896</v>
      </c>
      <c r="H2346" s="10" t="str">
        <f>IFERROR(VLOOKUP(Таблицаx_2[[#This Row],[id]],prolongations!A:C,2,)," ")</f>
        <v>декабрь 2022</v>
      </c>
      <c r="I2346" s="10">
        <f>IF(Таблицаx_2[[#This Row],[Месяц окончания]]=Таблицаx_2[[#This Row],[Месяц]],Таблицаx_2[[#This Row],[Значения числа]],0)</f>
        <v>0</v>
      </c>
      <c r="J2346" s="8">
        <f>IF(AND(Таблицаx_2[[#This Row],[Месяц окончания]]=Таблицаx_2[[#This Row],[Месяц]],Таблицаx_2[[#This Row],[id]]=A2347,EDATE(Таблицаx_2[[#This Row],[Месяц]],1)=D2347),F2347,0)</f>
        <v>0</v>
      </c>
      <c r="K2346" s="8">
        <f>IF(AND(Таблицаx_2[[#This Row],[Месяц окончания]]=Таблицаx_2[[#This Row],[Месяц]],Таблицаx_2[[#This Row],[id]]=A2347,EDATE(Таблицаx_2[[#This Row],[Месяц]],2)=D2347),F2347,0)</f>
        <v>0</v>
      </c>
    </row>
    <row r="2347" spans="1:11" ht="12.75" hidden="1" customHeight="1" x14ac:dyDescent="0.2">
      <c r="A2347" s="8">
        <v>629</v>
      </c>
      <c r="B2347" s="8" t="s">
        <v>47</v>
      </c>
      <c r="C2347" s="8" t="s">
        <v>11</v>
      </c>
      <c r="D2347" s="12">
        <v>44866</v>
      </c>
      <c r="E2347" s="8">
        <v>25745</v>
      </c>
      <c r="F2347" s="10">
        <f>IF(ISTEXT(Таблицаx_2[[#This Row],[Значение]]), 0, Таблицаx_2[[#This Row],[Значение]])</f>
        <v>25745</v>
      </c>
      <c r="G2347" s="12">
        <v>44896</v>
      </c>
      <c r="H2347" s="10" t="str">
        <f>IFERROR(VLOOKUP(Таблицаx_2[[#This Row],[id]],prolongations!A:C,2,)," ")</f>
        <v>декабрь 2022</v>
      </c>
      <c r="I2347" s="10">
        <f>IF(Таблицаx_2[[#This Row],[Месяц окончания]]=Таблицаx_2[[#This Row],[Месяц]],Таблицаx_2[[#This Row],[Значения числа]],0)</f>
        <v>0</v>
      </c>
      <c r="J2347" s="8">
        <f>IF(AND(Таблицаx_2[[#This Row],[Месяц окончания]]=Таблицаx_2[[#This Row],[Месяц]],Таблицаx_2[[#This Row],[id]]=A2348,EDATE(Таблицаx_2[[#This Row],[Месяц]],1)=D2348),F2348,0)</f>
        <v>0</v>
      </c>
      <c r="K2347" s="8">
        <f>IF(AND(Таблицаx_2[[#This Row],[Месяц окончания]]=Таблицаx_2[[#This Row],[Месяц]],Таблицаx_2[[#This Row],[id]]=A2348,EDATE(Таблицаx_2[[#This Row],[Месяц]],2)=D2348),F2348,0)</f>
        <v>0</v>
      </c>
    </row>
    <row r="2348" spans="1:11" hidden="1" x14ac:dyDescent="0.2">
      <c r="A2348" s="8">
        <v>629</v>
      </c>
      <c r="B2348" s="8" t="s">
        <v>47</v>
      </c>
      <c r="C2348" s="8" t="s">
        <v>11</v>
      </c>
      <c r="D2348" s="12">
        <v>44896</v>
      </c>
      <c r="E2348" s="8">
        <v>26167.5</v>
      </c>
      <c r="F2348" s="10">
        <f>IF(ISTEXT(Таблицаx_2[[#This Row],[Значение]]), 0, Таблицаx_2[[#This Row],[Значение]])</f>
        <v>26167.5</v>
      </c>
      <c r="G2348" s="12">
        <v>44896</v>
      </c>
      <c r="H2348" s="10" t="str">
        <f>IFERROR(VLOOKUP(Таблицаx_2[[#This Row],[id]],prolongations!A:C,2,)," ")</f>
        <v>декабрь 2022</v>
      </c>
      <c r="I2348" s="10">
        <f>IF(Таблицаx_2[[#This Row],[Месяц окончания]]=Таблицаx_2[[#This Row],[Месяц]],Таблицаx_2[[#This Row],[Значения числа]],0)</f>
        <v>26167.5</v>
      </c>
      <c r="J2348" s="8">
        <f>IF(AND(Таблицаx_2[[#This Row],[Месяц окончания]]=Таблицаx_2[[#This Row],[Месяц]],Таблицаx_2[[#This Row],[id]]=A2349,EDATE(Таблицаx_2[[#This Row],[Месяц]],1)=D2349),F2349,0)</f>
        <v>33127.5</v>
      </c>
      <c r="K2348" s="8">
        <f>IF(AND(Таблицаx_2[[#This Row],[Месяц окончания]]=Таблицаx_2[[#This Row],[Месяц]],Таблицаx_2[[#This Row],[id]]=A2349,EDATE(Таблицаx_2[[#This Row],[Месяц]],2)=D2349),F2349,0)</f>
        <v>0</v>
      </c>
    </row>
    <row r="2349" spans="1:11" ht="12.75" hidden="1" customHeight="1" x14ac:dyDescent="0.2">
      <c r="A2349" s="8">
        <v>629</v>
      </c>
      <c r="B2349" s="8" t="s">
        <v>47</v>
      </c>
      <c r="C2349" s="8" t="s">
        <v>11</v>
      </c>
      <c r="D2349" s="12">
        <v>44927</v>
      </c>
      <c r="E2349" s="8">
        <v>33127.5</v>
      </c>
      <c r="F2349" s="10">
        <f>IF(ISTEXT(Таблицаx_2[[#This Row],[Значение]]), 0, Таблицаx_2[[#This Row],[Значение]])</f>
        <v>33127.5</v>
      </c>
      <c r="G2349" s="12">
        <v>44896</v>
      </c>
      <c r="H2349" s="10" t="str">
        <f>IFERROR(VLOOKUP(Таблицаx_2[[#This Row],[id]],prolongations!A:C,2,)," ")</f>
        <v>декабрь 2022</v>
      </c>
      <c r="I2349" s="10">
        <f>IF(Таблицаx_2[[#This Row],[Месяц окончания]]=Таблицаx_2[[#This Row],[Месяц]],Таблицаx_2[[#This Row],[Значения числа]],0)</f>
        <v>0</v>
      </c>
      <c r="J2349" s="8">
        <f>IF(AND(Таблицаx_2[[#This Row],[Месяц окончания]]=Таблицаx_2[[#This Row],[Месяц]],Таблицаx_2[[#This Row],[id]]=A2350,EDATE(Таблицаx_2[[#This Row],[Месяц]],1)=D2350),F2350,0)</f>
        <v>0</v>
      </c>
      <c r="K2349" s="8">
        <f>IF(AND(Таблицаx_2[[#This Row],[Месяц окончания]]=Таблицаx_2[[#This Row],[Месяц]],Таблицаx_2[[#This Row],[id]]=A2350,EDATE(Таблицаx_2[[#This Row],[Месяц]],2)=D2350),F2350,0)</f>
        <v>0</v>
      </c>
    </row>
    <row r="2350" spans="1:11" ht="12.75" hidden="1" customHeight="1" x14ac:dyDescent="0.2">
      <c r="A2350" s="8">
        <v>629</v>
      </c>
      <c r="B2350" s="8" t="s">
        <v>47</v>
      </c>
      <c r="C2350" s="8" t="s">
        <v>11</v>
      </c>
      <c r="D2350" s="12">
        <v>44958</v>
      </c>
      <c r="E2350" s="8">
        <v>56115</v>
      </c>
      <c r="F2350" s="10">
        <f>IF(ISTEXT(Таблицаx_2[[#This Row],[Значение]]), 0, Таблицаx_2[[#This Row],[Значение]])</f>
        <v>56115</v>
      </c>
      <c r="G2350" s="12">
        <v>44896</v>
      </c>
      <c r="H2350" s="10" t="str">
        <f>IFERROR(VLOOKUP(Таблицаx_2[[#This Row],[id]],prolongations!A:C,2,)," ")</f>
        <v>декабрь 2022</v>
      </c>
      <c r="I2350" s="10">
        <f>IF(Таблицаx_2[[#This Row],[Месяц окончания]]=Таблицаx_2[[#This Row],[Месяц]],Таблицаx_2[[#This Row],[Значения числа]],0)</f>
        <v>0</v>
      </c>
      <c r="J2350" s="8">
        <f>IF(AND(Таблицаx_2[[#This Row],[Месяц окончания]]=Таблицаx_2[[#This Row],[Месяц]],Таблицаx_2[[#This Row],[id]]=A2351,EDATE(Таблицаx_2[[#This Row],[Месяц]],1)=D2351),F2351,0)</f>
        <v>0</v>
      </c>
      <c r="K2350" s="8">
        <f>IF(AND(Таблицаx_2[[#This Row],[Месяц окончания]]=Таблицаx_2[[#This Row],[Месяц]],Таблицаx_2[[#This Row],[id]]=A2351,EDATE(Таблицаx_2[[#This Row],[Месяц]],2)=D2351),F2351,0)</f>
        <v>0</v>
      </c>
    </row>
    <row r="2351" spans="1:11" ht="12.75" hidden="1" customHeight="1" x14ac:dyDescent="0.2">
      <c r="A2351" s="8">
        <v>629</v>
      </c>
      <c r="B2351" s="8" t="s">
        <v>47</v>
      </c>
      <c r="C2351" s="8" t="s">
        <v>11</v>
      </c>
      <c r="D2351" s="12">
        <v>44986</v>
      </c>
      <c r="E2351" s="8">
        <v>104976</v>
      </c>
      <c r="F2351" s="10">
        <f>IF(ISTEXT(Таблицаx_2[[#This Row],[Значение]]), 0, Таблицаx_2[[#This Row],[Значение]])</f>
        <v>104976</v>
      </c>
      <c r="G2351" s="12">
        <v>44896</v>
      </c>
      <c r="H2351" s="10" t="str">
        <f>IFERROR(VLOOKUP(Таблицаx_2[[#This Row],[id]],prolongations!A:C,2,)," ")</f>
        <v>декабрь 2022</v>
      </c>
      <c r="I2351" s="10">
        <f>IF(Таблицаx_2[[#This Row],[Месяц окончания]]=Таблицаx_2[[#This Row],[Месяц]],Таблицаx_2[[#This Row],[Значения числа]],0)</f>
        <v>0</v>
      </c>
      <c r="J2351" s="8">
        <f>IF(AND(Таблицаx_2[[#This Row],[Месяц окончания]]=Таблицаx_2[[#This Row],[Месяц]],Таблицаx_2[[#This Row],[id]]=A2352,EDATE(Таблицаx_2[[#This Row],[Месяц]],1)=D2352),F2352,0)</f>
        <v>0</v>
      </c>
      <c r="K2351" s="8">
        <f>IF(AND(Таблицаx_2[[#This Row],[Месяц окончания]]=Таблицаx_2[[#This Row],[Месяц]],Таблицаx_2[[#This Row],[id]]=A2352,EDATE(Таблицаx_2[[#This Row],[Месяц]],2)=D2352),F2352,0)</f>
        <v>0</v>
      </c>
    </row>
    <row r="2352" spans="1:11" ht="12.75" hidden="1" customHeight="1" x14ac:dyDescent="0.2">
      <c r="A2352" s="8">
        <v>629</v>
      </c>
      <c r="B2352" s="8" t="s">
        <v>47</v>
      </c>
      <c r="C2352" s="8" t="s">
        <v>11</v>
      </c>
      <c r="D2352" s="12">
        <v>45017</v>
      </c>
      <c r="E2352" s="8">
        <v>94329</v>
      </c>
      <c r="F2352" s="10">
        <f>IF(ISTEXT(Таблицаx_2[[#This Row],[Значение]]), 0, Таблицаx_2[[#This Row],[Значение]])</f>
        <v>94329</v>
      </c>
      <c r="G2352" s="12">
        <v>44896</v>
      </c>
      <c r="H2352" s="10" t="str">
        <f>IFERROR(VLOOKUP(Таблицаx_2[[#This Row],[id]],prolongations!A:C,2,)," ")</f>
        <v>декабрь 2022</v>
      </c>
      <c r="I2352" s="10">
        <f>IF(Таблицаx_2[[#This Row],[Месяц окончания]]=Таблицаx_2[[#This Row],[Месяц]],Таблицаx_2[[#This Row],[Значения числа]],0)</f>
        <v>0</v>
      </c>
      <c r="J2352" s="8">
        <f>IF(AND(Таблицаx_2[[#This Row],[Месяц окончания]]=Таблицаx_2[[#This Row],[Месяц]],Таблицаx_2[[#This Row],[id]]=A2353,EDATE(Таблицаx_2[[#This Row],[Месяц]],1)=D2353),F2353,0)</f>
        <v>0</v>
      </c>
      <c r="K2352" s="8">
        <f>IF(AND(Таблицаx_2[[#This Row],[Месяц окончания]]=Таблицаx_2[[#This Row],[Месяц]],Таблицаx_2[[#This Row],[id]]=A2353,EDATE(Таблицаx_2[[#This Row],[Месяц]],2)=D2353),F2353,0)</f>
        <v>0</v>
      </c>
    </row>
    <row r="2353" spans="1:11" ht="12.75" hidden="1" customHeight="1" x14ac:dyDescent="0.2">
      <c r="A2353" s="8">
        <v>629</v>
      </c>
      <c r="B2353" s="8" t="s">
        <v>47</v>
      </c>
      <c r="C2353" s="8" t="s">
        <v>11</v>
      </c>
      <c r="D2353" s="12">
        <v>45047</v>
      </c>
      <c r="E2353" s="8">
        <v>95850</v>
      </c>
      <c r="F2353" s="10">
        <f>IF(ISTEXT(Таблицаx_2[[#This Row],[Значение]]), 0, Таблицаx_2[[#This Row],[Значение]])</f>
        <v>95850</v>
      </c>
      <c r="G2353" s="12">
        <v>44896</v>
      </c>
      <c r="H2353" s="10" t="str">
        <f>IFERROR(VLOOKUP(Таблицаx_2[[#This Row],[id]],prolongations!A:C,2,)," ")</f>
        <v>декабрь 2022</v>
      </c>
      <c r="I2353" s="10">
        <f>IF(Таблицаx_2[[#This Row],[Месяц окончания]]=Таблицаx_2[[#This Row],[Месяц]],Таблицаx_2[[#This Row],[Значения числа]],0)</f>
        <v>0</v>
      </c>
      <c r="J2353" s="8">
        <f>IF(AND(Таблицаx_2[[#This Row],[Месяц окончания]]=Таблицаx_2[[#This Row],[Месяц]],Таблицаx_2[[#This Row],[id]]=A2354,EDATE(Таблицаx_2[[#This Row],[Месяц]],1)=D2354),F2354,0)</f>
        <v>0</v>
      </c>
      <c r="K2353" s="8">
        <f>IF(AND(Таблицаx_2[[#This Row],[Месяц окончания]]=Таблицаx_2[[#This Row],[Месяц]],Таблицаx_2[[#This Row],[id]]=A2354,EDATE(Таблицаx_2[[#This Row],[Месяц]],2)=D2354),F2354,0)</f>
        <v>0</v>
      </c>
    </row>
    <row r="2354" spans="1:11" ht="12.75" hidden="1" customHeight="1" x14ac:dyDescent="0.2">
      <c r="A2354" s="8">
        <v>629</v>
      </c>
      <c r="B2354" s="8" t="s">
        <v>47</v>
      </c>
      <c r="C2354" s="8" t="s">
        <v>11</v>
      </c>
      <c r="D2354" s="12">
        <v>45078</v>
      </c>
      <c r="E2354" s="8">
        <v>95850</v>
      </c>
      <c r="F2354" s="10">
        <f>IF(ISTEXT(Таблицаx_2[[#This Row],[Значение]]), 0, Таблицаx_2[[#This Row],[Значение]])</f>
        <v>95850</v>
      </c>
      <c r="G2354" s="12">
        <v>44896</v>
      </c>
      <c r="H2354" s="10" t="str">
        <f>IFERROR(VLOOKUP(Таблицаx_2[[#This Row],[id]],prolongations!A:C,2,)," ")</f>
        <v>декабрь 2022</v>
      </c>
      <c r="I2354" s="10">
        <f>IF(Таблицаx_2[[#This Row],[Месяц окончания]]=Таблицаx_2[[#This Row],[Месяц]],Таблицаx_2[[#This Row],[Значения числа]],0)</f>
        <v>0</v>
      </c>
      <c r="J2354" s="8">
        <f>IF(AND(Таблицаx_2[[#This Row],[Месяц окончания]]=Таблицаx_2[[#This Row],[Месяц]],Таблицаx_2[[#This Row],[id]]=A2355,EDATE(Таблицаx_2[[#This Row],[Месяц]],1)=D2355),F2355,0)</f>
        <v>0</v>
      </c>
      <c r="K2354" s="8">
        <f>IF(AND(Таблицаx_2[[#This Row],[Месяц окончания]]=Таблицаx_2[[#This Row],[Месяц]],Таблицаx_2[[#This Row],[id]]=A2355,EDATE(Таблицаx_2[[#This Row],[Месяц]],2)=D2355),F2355,0)</f>
        <v>0</v>
      </c>
    </row>
    <row r="2355" spans="1:11" ht="12.75" hidden="1" customHeight="1" x14ac:dyDescent="0.2">
      <c r="A2355" s="8">
        <v>629</v>
      </c>
      <c r="B2355" s="8" t="s">
        <v>47</v>
      </c>
      <c r="C2355" s="8" t="s">
        <v>11</v>
      </c>
      <c r="D2355" s="12">
        <v>45108</v>
      </c>
      <c r="E2355" s="8">
        <v>95850</v>
      </c>
      <c r="F2355" s="10">
        <f>IF(ISTEXT(Таблицаx_2[[#This Row],[Значение]]), 0, Таблицаx_2[[#This Row],[Значение]])</f>
        <v>95850</v>
      </c>
      <c r="G2355" s="12">
        <v>44896</v>
      </c>
      <c r="H2355" s="10" t="str">
        <f>IFERROR(VLOOKUP(Таблицаx_2[[#This Row],[id]],prolongations!A:C,2,)," ")</f>
        <v>декабрь 2022</v>
      </c>
      <c r="I2355" s="10">
        <f>IF(Таблицаx_2[[#This Row],[Месяц окончания]]=Таблицаx_2[[#This Row],[Месяц]],Таблицаx_2[[#This Row],[Значения числа]],0)</f>
        <v>0</v>
      </c>
      <c r="J2355" s="8">
        <f>IF(AND(Таблицаx_2[[#This Row],[Месяц окончания]]=Таблицаx_2[[#This Row],[Месяц]],Таблицаx_2[[#This Row],[id]]=A2356,EDATE(Таблицаx_2[[#This Row],[Месяц]],1)=D2356),F2356,0)</f>
        <v>0</v>
      </c>
      <c r="K2355" s="8">
        <f>IF(AND(Таблицаx_2[[#This Row],[Месяц окончания]]=Таблицаx_2[[#This Row],[Месяц]],Таблицаx_2[[#This Row],[id]]=A2356,EDATE(Таблицаx_2[[#This Row],[Месяц]],2)=D2356),F2356,0)</f>
        <v>0</v>
      </c>
    </row>
    <row r="2356" spans="1:11" ht="12.75" hidden="1" customHeight="1" x14ac:dyDescent="0.2">
      <c r="A2356" s="8">
        <v>629</v>
      </c>
      <c r="B2356" s="8" t="s">
        <v>47</v>
      </c>
      <c r="C2356" s="8" t="s">
        <v>11</v>
      </c>
      <c r="D2356" s="12">
        <v>45139</v>
      </c>
      <c r="E2356" s="8">
        <v>95850</v>
      </c>
      <c r="F2356" s="10">
        <f>IF(ISTEXT(Таблицаx_2[[#This Row],[Значение]]), 0, Таблицаx_2[[#This Row],[Значение]])</f>
        <v>95850</v>
      </c>
      <c r="G2356" s="12">
        <v>44896</v>
      </c>
      <c r="H2356" s="10" t="str">
        <f>IFERROR(VLOOKUP(Таблицаx_2[[#This Row],[id]],prolongations!A:C,2,)," ")</f>
        <v>декабрь 2022</v>
      </c>
      <c r="I2356" s="10">
        <f>IF(Таблицаx_2[[#This Row],[Месяц окончания]]=Таблицаx_2[[#This Row],[Месяц]],Таблицаx_2[[#This Row],[Значения числа]],0)</f>
        <v>0</v>
      </c>
      <c r="J2356" s="8">
        <f>IF(AND(Таблицаx_2[[#This Row],[Месяц окончания]]=Таблицаx_2[[#This Row],[Месяц]],Таблицаx_2[[#This Row],[id]]=A2357,EDATE(Таблицаx_2[[#This Row],[Месяц]],1)=D2357),F2357,0)</f>
        <v>0</v>
      </c>
      <c r="K2356" s="8">
        <f>IF(AND(Таблицаx_2[[#This Row],[Месяц окончания]]=Таблицаx_2[[#This Row],[Месяц]],Таблицаx_2[[#This Row],[id]]=A2357,EDATE(Таблицаx_2[[#This Row],[Месяц]],2)=D2357),F2357,0)</f>
        <v>0</v>
      </c>
    </row>
    <row r="2357" spans="1:11" ht="12.75" hidden="1" customHeight="1" x14ac:dyDescent="0.2">
      <c r="A2357" s="8">
        <v>629</v>
      </c>
      <c r="B2357" s="8" t="s">
        <v>47</v>
      </c>
      <c r="C2357" s="8" t="s">
        <v>11</v>
      </c>
      <c r="D2357" s="12">
        <v>45170</v>
      </c>
      <c r="E2357" s="8">
        <v>95850</v>
      </c>
      <c r="F2357" s="10">
        <f>IF(ISTEXT(Таблицаx_2[[#This Row],[Значение]]), 0, Таблицаx_2[[#This Row],[Значение]])</f>
        <v>95850</v>
      </c>
      <c r="G2357" s="12">
        <v>44896</v>
      </c>
      <c r="H2357" s="10" t="str">
        <f>IFERROR(VLOOKUP(Таблицаx_2[[#This Row],[id]],prolongations!A:C,2,)," ")</f>
        <v>декабрь 2022</v>
      </c>
      <c r="I2357" s="10">
        <f>IF(Таблицаx_2[[#This Row],[Месяц окончания]]=Таблицаx_2[[#This Row],[Месяц]],Таблицаx_2[[#This Row],[Значения числа]],0)</f>
        <v>0</v>
      </c>
      <c r="J2357" s="8">
        <f>IF(AND(Таблицаx_2[[#This Row],[Месяц окончания]]=Таблицаx_2[[#This Row],[Месяц]],Таблицаx_2[[#This Row],[id]]=A2358,EDATE(Таблицаx_2[[#This Row],[Месяц]],1)=D2358),F2358,0)</f>
        <v>0</v>
      </c>
      <c r="K2357" s="8">
        <f>IF(AND(Таблицаx_2[[#This Row],[Месяц окончания]]=Таблицаx_2[[#This Row],[Месяц]],Таблицаx_2[[#This Row],[id]]=A2358,EDATE(Таблицаx_2[[#This Row],[Месяц]],2)=D2358),F2358,0)</f>
        <v>0</v>
      </c>
    </row>
    <row r="2358" spans="1:11" ht="12.75" hidden="1" customHeight="1" x14ac:dyDescent="0.2">
      <c r="A2358" s="8">
        <v>629</v>
      </c>
      <c r="B2358" s="8" t="s">
        <v>47</v>
      </c>
      <c r="C2358" s="8" t="s">
        <v>11</v>
      </c>
      <c r="D2358" s="12">
        <v>45200</v>
      </c>
      <c r="E2358" s="8">
        <v>95850</v>
      </c>
      <c r="F2358" s="10">
        <f>IF(ISTEXT(Таблицаx_2[[#This Row],[Значение]]), 0, Таблицаx_2[[#This Row],[Значение]])</f>
        <v>95850</v>
      </c>
      <c r="G2358" s="12">
        <v>44896</v>
      </c>
      <c r="H2358" s="10" t="str">
        <f>IFERROR(VLOOKUP(Таблицаx_2[[#This Row],[id]],prolongations!A:C,2,)," ")</f>
        <v>декабрь 2022</v>
      </c>
      <c r="I2358" s="10">
        <f>IF(Таблицаx_2[[#This Row],[Месяц окончания]]=Таблицаx_2[[#This Row],[Месяц]],Таблицаx_2[[#This Row],[Значения числа]],0)</f>
        <v>0</v>
      </c>
      <c r="J2358" s="8">
        <f>IF(AND(Таблицаx_2[[#This Row],[Месяц окончания]]=Таблицаx_2[[#This Row],[Месяц]],Таблицаx_2[[#This Row],[id]]=A2359,EDATE(Таблицаx_2[[#This Row],[Месяц]],1)=D2359),F2359,0)</f>
        <v>0</v>
      </c>
      <c r="K2358" s="8">
        <f>IF(AND(Таблицаx_2[[#This Row],[Месяц окончания]]=Таблицаx_2[[#This Row],[Месяц]],Таблицаx_2[[#This Row],[id]]=A2359,EDATE(Таблицаx_2[[#This Row],[Месяц]],2)=D2359),F2359,0)</f>
        <v>0</v>
      </c>
    </row>
    <row r="2359" spans="1:11" ht="12.75" hidden="1" customHeight="1" x14ac:dyDescent="0.2">
      <c r="A2359" s="8">
        <v>629</v>
      </c>
      <c r="B2359" s="8" t="s">
        <v>47</v>
      </c>
      <c r="C2359" s="8" t="s">
        <v>11</v>
      </c>
      <c r="D2359" s="12">
        <v>45231</v>
      </c>
      <c r="E2359" s="8">
        <v>95850</v>
      </c>
      <c r="F2359" s="10">
        <f>IF(ISTEXT(Таблицаx_2[[#This Row],[Значение]]), 0, Таблицаx_2[[#This Row],[Значение]])</f>
        <v>95850</v>
      </c>
      <c r="G2359" s="12">
        <v>44896</v>
      </c>
      <c r="H2359" s="10" t="str">
        <f>IFERROR(VLOOKUP(Таблицаx_2[[#This Row],[id]],prolongations!A:C,2,)," ")</f>
        <v>декабрь 2022</v>
      </c>
      <c r="I2359" s="10">
        <f>IF(Таблицаx_2[[#This Row],[Месяц окончания]]=Таблицаx_2[[#This Row],[Месяц]],Таблицаx_2[[#This Row],[Значения числа]],0)</f>
        <v>0</v>
      </c>
      <c r="J2359" s="8">
        <f>IF(AND(Таблицаx_2[[#This Row],[Месяц окончания]]=Таблицаx_2[[#This Row],[Месяц]],Таблицаx_2[[#This Row],[id]]=A2360,EDATE(Таблицаx_2[[#This Row],[Месяц]],1)=D2360),F2360,0)</f>
        <v>0</v>
      </c>
      <c r="K2359" s="8">
        <f>IF(AND(Таблицаx_2[[#This Row],[Месяц окончания]]=Таблицаx_2[[#This Row],[Месяц]],Таблицаx_2[[#This Row],[id]]=A2360,EDATE(Таблицаx_2[[#This Row],[Месяц]],2)=D2360),F2360,0)</f>
        <v>0</v>
      </c>
    </row>
    <row r="2360" spans="1:11" ht="12.75" hidden="1" customHeight="1" x14ac:dyDescent="0.2">
      <c r="A2360" s="8">
        <v>629</v>
      </c>
      <c r="B2360" s="8" t="s">
        <v>47</v>
      </c>
      <c r="C2360" s="8" t="s">
        <v>11</v>
      </c>
      <c r="D2360" s="12">
        <v>45261</v>
      </c>
      <c r="E2360" s="8">
        <v>95850</v>
      </c>
      <c r="F2360" s="10">
        <f>IF(ISTEXT(Таблицаx_2[[#This Row],[Значение]]), 0, Таблицаx_2[[#This Row],[Значение]])</f>
        <v>95850</v>
      </c>
      <c r="G2360" s="12">
        <v>44896</v>
      </c>
      <c r="H2360" s="10" t="str">
        <f>IFERROR(VLOOKUP(Таблицаx_2[[#This Row],[id]],prolongations!A:C,2,)," ")</f>
        <v>декабрь 2022</v>
      </c>
      <c r="I2360" s="10">
        <f>IF(Таблицаx_2[[#This Row],[Месяц окончания]]=Таблицаx_2[[#This Row],[Месяц]],Таблицаx_2[[#This Row],[Значения числа]],0)</f>
        <v>0</v>
      </c>
      <c r="J2360" s="8">
        <f>IF(AND(Таблицаx_2[[#This Row],[Месяц окончания]]=Таблицаx_2[[#This Row],[Месяц]],Таблицаx_2[[#This Row],[id]]=A2361,EDATE(Таблицаx_2[[#This Row],[Месяц]],1)=D2361),F2361,0)</f>
        <v>0</v>
      </c>
      <c r="K2360" s="8">
        <f>IF(AND(Таблицаx_2[[#This Row],[Месяц окончания]]=Таблицаx_2[[#This Row],[Месяц]],Таблицаx_2[[#This Row],[id]]=A2361,EDATE(Таблицаx_2[[#This Row],[Месяц]],2)=D2361),F2361,0)</f>
        <v>0</v>
      </c>
    </row>
    <row r="2361" spans="1:11" ht="12.75" hidden="1" customHeight="1" x14ac:dyDescent="0.2">
      <c r="A2361" s="8">
        <v>228</v>
      </c>
      <c r="B2361" s="8" t="s">
        <v>53</v>
      </c>
      <c r="C2361" s="8" t="s">
        <v>4</v>
      </c>
      <c r="D2361" s="12">
        <v>44866</v>
      </c>
      <c r="E2361" s="8">
        <v>28200</v>
      </c>
      <c r="F2361" s="10">
        <f>IF(ISTEXT(Таблицаx_2[[#This Row],[Значение]]), 0, Таблицаx_2[[#This Row],[Значение]])</f>
        <v>28200</v>
      </c>
      <c r="G2361" s="12">
        <v>44896</v>
      </c>
      <c r="H2361" s="10" t="str">
        <f>IFERROR(VLOOKUP(Таблицаx_2[[#This Row],[id]],prolongations!A:C,2,)," ")</f>
        <v>декабрь 2022</v>
      </c>
      <c r="I2361" s="10">
        <f>IF(Таблицаx_2[[#This Row],[Месяц окончания]]=Таблицаx_2[[#This Row],[Месяц]],Таблицаx_2[[#This Row],[Значения числа]],0)</f>
        <v>0</v>
      </c>
      <c r="J2361" s="8">
        <f>IF(AND(Таблицаx_2[[#This Row],[Месяц окончания]]=Таблицаx_2[[#This Row],[Месяц]],Таблицаx_2[[#This Row],[id]]=A2362,EDATE(Таблицаx_2[[#This Row],[Месяц]],1)=D2362),F2362,0)</f>
        <v>0</v>
      </c>
      <c r="K2361" s="8">
        <f>IF(AND(Таблицаx_2[[#This Row],[Месяц окончания]]=Таблицаx_2[[#This Row],[Месяц]],Таблицаx_2[[#This Row],[id]]=A2362,EDATE(Таблицаx_2[[#This Row],[Месяц]],2)=D2362),F2362,0)</f>
        <v>0</v>
      </c>
    </row>
    <row r="2362" spans="1:11" hidden="1" x14ac:dyDescent="0.2">
      <c r="A2362" s="8">
        <v>228</v>
      </c>
      <c r="B2362" s="8" t="s">
        <v>53</v>
      </c>
      <c r="C2362" s="8" t="s">
        <v>4</v>
      </c>
      <c r="D2362" s="12">
        <v>44896</v>
      </c>
      <c r="E2362" s="8">
        <v>28200</v>
      </c>
      <c r="F2362" s="10">
        <f>IF(ISTEXT(Таблицаx_2[[#This Row],[Значение]]), 0, Таблицаx_2[[#This Row],[Значение]])</f>
        <v>28200</v>
      </c>
      <c r="G2362" s="12">
        <v>44896</v>
      </c>
      <c r="H2362" s="10" t="str">
        <f>IFERROR(VLOOKUP(Таблицаx_2[[#This Row],[id]],prolongations!A:C,2,)," ")</f>
        <v>декабрь 2022</v>
      </c>
      <c r="I2362" s="10">
        <f>IF(Таблицаx_2[[#This Row],[Месяц окончания]]=Таблицаx_2[[#This Row],[Месяц]],Таблицаx_2[[#This Row],[Значения числа]],0)</f>
        <v>28200</v>
      </c>
      <c r="J2362" s="8">
        <f>IF(AND(Таблицаx_2[[#This Row],[Месяц окончания]]=Таблицаx_2[[#This Row],[Месяц]],Таблицаx_2[[#This Row],[id]]=A2363,EDATE(Таблицаx_2[[#This Row],[Месяц]],1)=D2363),F2363,0)</f>
        <v>33885</v>
      </c>
      <c r="K2362" s="8">
        <f>IF(AND(Таблицаx_2[[#This Row],[Месяц окончания]]=Таблицаx_2[[#This Row],[Месяц]],Таблицаx_2[[#This Row],[id]]=A2363,EDATE(Таблицаx_2[[#This Row],[Месяц]],2)=D2363),F2363,0)</f>
        <v>0</v>
      </c>
    </row>
    <row r="2363" spans="1:11" ht="12.75" hidden="1" customHeight="1" x14ac:dyDescent="0.2">
      <c r="A2363" s="8">
        <v>228</v>
      </c>
      <c r="B2363" s="8" t="s">
        <v>53</v>
      </c>
      <c r="C2363" s="8" t="s">
        <v>4</v>
      </c>
      <c r="D2363" s="12">
        <v>44927</v>
      </c>
      <c r="E2363" s="8">
        <v>33885</v>
      </c>
      <c r="F2363" s="10">
        <f>IF(ISTEXT(Таблицаx_2[[#This Row],[Значение]]), 0, Таблицаx_2[[#This Row],[Значение]])</f>
        <v>33885</v>
      </c>
      <c r="G2363" s="12">
        <v>44896</v>
      </c>
      <c r="H2363" s="10" t="str">
        <f>IFERROR(VLOOKUP(Таблицаx_2[[#This Row],[id]],prolongations!A:C,2,)," ")</f>
        <v>декабрь 2022</v>
      </c>
      <c r="I2363" s="10">
        <f>IF(Таблицаx_2[[#This Row],[Месяц окончания]]=Таблицаx_2[[#This Row],[Месяц]],Таблицаx_2[[#This Row],[Значения числа]],0)</f>
        <v>0</v>
      </c>
      <c r="J2363" s="8">
        <f>IF(AND(Таблицаx_2[[#This Row],[Месяц окончания]]=Таблицаx_2[[#This Row],[Месяц]],Таблицаx_2[[#This Row],[id]]=A2364,EDATE(Таблицаx_2[[#This Row],[Месяц]],1)=D2364),F2364,0)</f>
        <v>0</v>
      </c>
      <c r="K2363" s="8">
        <f>IF(AND(Таблицаx_2[[#This Row],[Месяц окончания]]=Таблицаx_2[[#This Row],[Месяц]],Таблицаx_2[[#This Row],[id]]=A2364,EDATE(Таблицаx_2[[#This Row],[Месяц]],2)=D2364),F2364,0)</f>
        <v>0</v>
      </c>
    </row>
    <row r="2364" spans="1:11" ht="12.75" hidden="1" customHeight="1" x14ac:dyDescent="0.2">
      <c r="A2364" s="8">
        <v>228</v>
      </c>
      <c r="B2364" s="8" t="s">
        <v>53</v>
      </c>
      <c r="C2364" s="8" t="s">
        <v>4</v>
      </c>
      <c r="D2364" s="12">
        <v>44958</v>
      </c>
      <c r="E2364" s="8">
        <v>33885</v>
      </c>
      <c r="F2364" s="10">
        <f>IF(ISTEXT(Таблицаx_2[[#This Row],[Значение]]), 0, Таблицаx_2[[#This Row],[Значение]])</f>
        <v>33885</v>
      </c>
      <c r="G2364" s="12">
        <v>44896</v>
      </c>
      <c r="H2364" s="10" t="str">
        <f>IFERROR(VLOOKUP(Таблицаx_2[[#This Row],[id]],prolongations!A:C,2,)," ")</f>
        <v>декабрь 2022</v>
      </c>
      <c r="I2364" s="10">
        <f>IF(Таблицаx_2[[#This Row],[Месяц окончания]]=Таблицаx_2[[#This Row],[Месяц]],Таблицаx_2[[#This Row],[Значения числа]],0)</f>
        <v>0</v>
      </c>
      <c r="J2364" s="8">
        <f>IF(AND(Таблицаx_2[[#This Row],[Месяц окончания]]=Таблицаx_2[[#This Row],[Месяц]],Таблицаx_2[[#This Row],[id]]=A2365,EDATE(Таблицаx_2[[#This Row],[Месяц]],1)=D2365),F2365,0)</f>
        <v>0</v>
      </c>
      <c r="K2364" s="8">
        <f>IF(AND(Таблицаx_2[[#This Row],[Месяц окончания]]=Таблицаx_2[[#This Row],[Месяц]],Таблицаx_2[[#This Row],[id]]=A2365,EDATE(Таблицаx_2[[#This Row],[Месяц]],2)=D2365),F2365,0)</f>
        <v>0</v>
      </c>
    </row>
    <row r="2365" spans="1:11" ht="12.75" hidden="1" customHeight="1" x14ac:dyDescent="0.2">
      <c r="A2365" s="8">
        <v>228</v>
      </c>
      <c r="B2365" s="8" t="s">
        <v>53</v>
      </c>
      <c r="C2365" s="8" t="s">
        <v>4</v>
      </c>
      <c r="D2365" s="12">
        <v>44986</v>
      </c>
      <c r="E2365" s="8">
        <v>33885</v>
      </c>
      <c r="F2365" s="10">
        <f>IF(ISTEXT(Таблицаx_2[[#This Row],[Значение]]), 0, Таблицаx_2[[#This Row],[Значение]])</f>
        <v>33885</v>
      </c>
      <c r="G2365" s="12">
        <v>44896</v>
      </c>
      <c r="H2365" s="10" t="str">
        <f>IFERROR(VLOOKUP(Таблицаx_2[[#This Row],[id]],prolongations!A:C,2,)," ")</f>
        <v>декабрь 2022</v>
      </c>
      <c r="I2365" s="10">
        <f>IF(Таблицаx_2[[#This Row],[Месяц окончания]]=Таблицаx_2[[#This Row],[Месяц]],Таблицаx_2[[#This Row],[Значения числа]],0)</f>
        <v>0</v>
      </c>
      <c r="J2365" s="8">
        <f>IF(AND(Таблицаx_2[[#This Row],[Месяц окончания]]=Таблицаx_2[[#This Row],[Месяц]],Таблицаx_2[[#This Row],[id]]=A2366,EDATE(Таблицаx_2[[#This Row],[Месяц]],1)=D2366),F2366,0)</f>
        <v>0</v>
      </c>
      <c r="K2365" s="8">
        <f>IF(AND(Таблицаx_2[[#This Row],[Месяц окончания]]=Таблицаx_2[[#This Row],[Месяц]],Таблицаx_2[[#This Row],[id]]=A2366,EDATE(Таблицаx_2[[#This Row],[Месяц]],2)=D2366),F2366,0)</f>
        <v>0</v>
      </c>
    </row>
    <row r="2366" spans="1:11" ht="12.75" hidden="1" customHeight="1" x14ac:dyDescent="0.2">
      <c r="A2366" s="8">
        <v>228</v>
      </c>
      <c r="B2366" s="8" t="s">
        <v>53</v>
      </c>
      <c r="C2366" s="8" t="s">
        <v>4</v>
      </c>
      <c r="D2366" s="12">
        <v>45017</v>
      </c>
      <c r="E2366" s="8">
        <v>33885</v>
      </c>
      <c r="F2366" s="10">
        <f>IF(ISTEXT(Таблицаx_2[[#This Row],[Значение]]), 0, Таблицаx_2[[#This Row],[Значение]])</f>
        <v>33885</v>
      </c>
      <c r="G2366" s="12">
        <v>44896</v>
      </c>
      <c r="H2366" s="10" t="str">
        <f>IFERROR(VLOOKUP(Таблицаx_2[[#This Row],[id]],prolongations!A:C,2,)," ")</f>
        <v>декабрь 2022</v>
      </c>
      <c r="I2366" s="10">
        <f>IF(Таблицаx_2[[#This Row],[Месяц окончания]]=Таблицаx_2[[#This Row],[Месяц]],Таблицаx_2[[#This Row],[Значения числа]],0)</f>
        <v>0</v>
      </c>
      <c r="J2366" s="8">
        <f>IF(AND(Таблицаx_2[[#This Row],[Месяц окончания]]=Таблицаx_2[[#This Row],[Месяц]],Таблицаx_2[[#This Row],[id]]=A2367,EDATE(Таблицаx_2[[#This Row],[Месяц]],1)=D2367),F2367,0)</f>
        <v>0</v>
      </c>
      <c r="K2366" s="8">
        <f>IF(AND(Таблицаx_2[[#This Row],[Месяц окончания]]=Таблицаx_2[[#This Row],[Месяц]],Таблицаx_2[[#This Row],[id]]=A2367,EDATE(Таблицаx_2[[#This Row],[Месяц]],2)=D2367),F2367,0)</f>
        <v>0</v>
      </c>
    </row>
    <row r="2367" spans="1:11" ht="12.75" hidden="1" customHeight="1" x14ac:dyDescent="0.2">
      <c r="A2367" s="8">
        <v>228</v>
      </c>
      <c r="B2367" s="8" t="s">
        <v>53</v>
      </c>
      <c r="C2367" s="8" t="s">
        <v>4</v>
      </c>
      <c r="D2367" s="12">
        <v>45047</v>
      </c>
      <c r="E2367" s="8">
        <v>33885</v>
      </c>
      <c r="F2367" s="10">
        <f>IF(ISTEXT(Таблицаx_2[[#This Row],[Значение]]), 0, Таблицаx_2[[#This Row],[Значение]])</f>
        <v>33885</v>
      </c>
      <c r="G2367" s="12">
        <v>44896</v>
      </c>
      <c r="H2367" s="10" t="str">
        <f>IFERROR(VLOOKUP(Таблицаx_2[[#This Row],[id]],prolongations!A:C,2,)," ")</f>
        <v>декабрь 2022</v>
      </c>
      <c r="I2367" s="10">
        <f>IF(Таблицаx_2[[#This Row],[Месяц окончания]]=Таблицаx_2[[#This Row],[Месяц]],Таблицаx_2[[#This Row],[Значения числа]],0)</f>
        <v>0</v>
      </c>
      <c r="J2367" s="8">
        <f>IF(AND(Таблицаx_2[[#This Row],[Месяц окончания]]=Таблицаx_2[[#This Row],[Месяц]],Таблицаx_2[[#This Row],[id]]=A2368,EDATE(Таблицаx_2[[#This Row],[Месяц]],1)=D2368),F2368,0)</f>
        <v>0</v>
      </c>
      <c r="K2367" s="8">
        <f>IF(AND(Таблицаx_2[[#This Row],[Месяц окончания]]=Таблицаx_2[[#This Row],[Месяц]],Таблицаx_2[[#This Row],[id]]=A2368,EDATE(Таблицаx_2[[#This Row],[Месяц]],2)=D2368),F2368,0)</f>
        <v>0</v>
      </c>
    </row>
    <row r="2368" spans="1:11" ht="12.75" hidden="1" customHeight="1" x14ac:dyDescent="0.2">
      <c r="A2368" s="8">
        <v>228</v>
      </c>
      <c r="B2368" s="8" t="s">
        <v>53</v>
      </c>
      <c r="C2368" s="8" t="s">
        <v>4</v>
      </c>
      <c r="D2368" s="12">
        <v>45078</v>
      </c>
      <c r="E2368" s="8">
        <v>33885</v>
      </c>
      <c r="F2368" s="10">
        <f>IF(ISTEXT(Таблицаx_2[[#This Row],[Значение]]), 0, Таблицаx_2[[#This Row],[Значение]])</f>
        <v>33885</v>
      </c>
      <c r="G2368" s="12">
        <v>44896</v>
      </c>
      <c r="H2368" s="10" t="str">
        <f>IFERROR(VLOOKUP(Таблицаx_2[[#This Row],[id]],prolongations!A:C,2,)," ")</f>
        <v>декабрь 2022</v>
      </c>
      <c r="I2368" s="10">
        <f>IF(Таблицаx_2[[#This Row],[Месяц окончания]]=Таблицаx_2[[#This Row],[Месяц]],Таблицаx_2[[#This Row],[Значения числа]],0)</f>
        <v>0</v>
      </c>
      <c r="J2368" s="8">
        <f>IF(AND(Таблицаx_2[[#This Row],[Месяц окончания]]=Таблицаx_2[[#This Row],[Месяц]],Таблицаx_2[[#This Row],[id]]=A2369,EDATE(Таблицаx_2[[#This Row],[Месяц]],1)=D2369),F2369,0)</f>
        <v>0</v>
      </c>
      <c r="K2368" s="8">
        <f>IF(AND(Таблицаx_2[[#This Row],[Месяц окончания]]=Таблицаx_2[[#This Row],[Месяц]],Таблицаx_2[[#This Row],[id]]=A2369,EDATE(Таблицаx_2[[#This Row],[Месяц]],2)=D2369),F2369,0)</f>
        <v>0</v>
      </c>
    </row>
    <row r="2369" spans="1:11" ht="12.75" hidden="1" customHeight="1" x14ac:dyDescent="0.2">
      <c r="A2369" s="8">
        <v>228</v>
      </c>
      <c r="B2369" s="8" t="s">
        <v>53</v>
      </c>
      <c r="C2369" s="8" t="s">
        <v>4</v>
      </c>
      <c r="D2369" s="12">
        <v>45108</v>
      </c>
      <c r="E2369" s="8">
        <v>33885</v>
      </c>
      <c r="F2369" s="10">
        <f>IF(ISTEXT(Таблицаx_2[[#This Row],[Значение]]), 0, Таблицаx_2[[#This Row],[Значение]])</f>
        <v>33885</v>
      </c>
      <c r="G2369" s="12">
        <v>44896</v>
      </c>
      <c r="H2369" s="10" t="str">
        <f>IFERROR(VLOOKUP(Таблицаx_2[[#This Row],[id]],prolongations!A:C,2,)," ")</f>
        <v>декабрь 2022</v>
      </c>
      <c r="I2369" s="10">
        <f>IF(Таблицаx_2[[#This Row],[Месяц окончания]]=Таблицаx_2[[#This Row],[Месяц]],Таблицаx_2[[#This Row],[Значения числа]],0)</f>
        <v>0</v>
      </c>
      <c r="J2369" s="8">
        <f>IF(AND(Таблицаx_2[[#This Row],[Месяц окончания]]=Таблицаx_2[[#This Row],[Месяц]],Таблицаx_2[[#This Row],[id]]=A2370,EDATE(Таблицаx_2[[#This Row],[Месяц]],1)=D2370),F2370,0)</f>
        <v>0</v>
      </c>
      <c r="K2369" s="8">
        <f>IF(AND(Таблицаx_2[[#This Row],[Месяц окончания]]=Таблицаx_2[[#This Row],[Месяц]],Таблицаx_2[[#This Row],[id]]=A2370,EDATE(Таблицаx_2[[#This Row],[Месяц]],2)=D2370),F2370,0)</f>
        <v>0</v>
      </c>
    </row>
    <row r="2370" spans="1:11" ht="12.75" hidden="1" customHeight="1" x14ac:dyDescent="0.2">
      <c r="A2370" s="8">
        <v>228</v>
      </c>
      <c r="B2370" s="8" t="s">
        <v>53</v>
      </c>
      <c r="C2370" s="8" t="s">
        <v>4</v>
      </c>
      <c r="D2370" s="12">
        <v>45139</v>
      </c>
      <c r="E2370" s="8">
        <v>33885</v>
      </c>
      <c r="F2370" s="10">
        <f>IF(ISTEXT(Таблицаx_2[[#This Row],[Значение]]), 0, Таблицаx_2[[#This Row],[Значение]])</f>
        <v>33885</v>
      </c>
      <c r="G2370" s="12">
        <v>44896</v>
      </c>
      <c r="H2370" s="10" t="str">
        <f>IFERROR(VLOOKUP(Таблицаx_2[[#This Row],[id]],prolongations!A:C,2,)," ")</f>
        <v>декабрь 2022</v>
      </c>
      <c r="I2370" s="10">
        <f>IF(Таблицаx_2[[#This Row],[Месяц окончания]]=Таблицаx_2[[#This Row],[Месяц]],Таблицаx_2[[#This Row],[Значения числа]],0)</f>
        <v>0</v>
      </c>
      <c r="J2370" s="8">
        <f>IF(AND(Таблицаx_2[[#This Row],[Месяц окончания]]=Таблицаx_2[[#This Row],[Месяц]],Таблицаx_2[[#This Row],[id]]=A2371,EDATE(Таблицаx_2[[#This Row],[Месяц]],1)=D2371),F2371,0)</f>
        <v>0</v>
      </c>
      <c r="K2370" s="8">
        <f>IF(AND(Таблицаx_2[[#This Row],[Месяц окончания]]=Таблицаx_2[[#This Row],[Месяц]],Таблицаx_2[[#This Row],[id]]=A2371,EDATE(Таблицаx_2[[#This Row],[Месяц]],2)=D2371),F2371,0)</f>
        <v>0</v>
      </c>
    </row>
    <row r="2371" spans="1:11" ht="12.75" hidden="1" customHeight="1" x14ac:dyDescent="0.2">
      <c r="A2371" s="8">
        <v>228</v>
      </c>
      <c r="B2371" s="8" t="s">
        <v>53</v>
      </c>
      <c r="C2371" s="8" t="s">
        <v>4</v>
      </c>
      <c r="D2371" s="12">
        <v>45170</v>
      </c>
      <c r="E2371" s="8">
        <v>33885</v>
      </c>
      <c r="F2371" s="10">
        <f>IF(ISTEXT(Таблицаx_2[[#This Row],[Значение]]), 0, Таблицаx_2[[#This Row],[Значение]])</f>
        <v>33885</v>
      </c>
      <c r="G2371" s="12">
        <v>44896</v>
      </c>
      <c r="H2371" s="10" t="str">
        <f>IFERROR(VLOOKUP(Таблицаx_2[[#This Row],[id]],prolongations!A:C,2,)," ")</f>
        <v>декабрь 2022</v>
      </c>
      <c r="I2371" s="10">
        <f>IF(Таблицаx_2[[#This Row],[Месяц окончания]]=Таблицаx_2[[#This Row],[Месяц]],Таблицаx_2[[#This Row],[Значения числа]],0)</f>
        <v>0</v>
      </c>
      <c r="J2371" s="8">
        <f>IF(AND(Таблицаx_2[[#This Row],[Месяц окончания]]=Таблицаx_2[[#This Row],[Месяц]],Таблицаx_2[[#This Row],[id]]=A2372,EDATE(Таблицаx_2[[#This Row],[Месяц]],1)=D2372),F2372,0)</f>
        <v>0</v>
      </c>
      <c r="K2371" s="8">
        <f>IF(AND(Таблицаx_2[[#This Row],[Месяц окончания]]=Таблицаx_2[[#This Row],[Месяц]],Таблицаx_2[[#This Row],[id]]=A2372,EDATE(Таблицаx_2[[#This Row],[Месяц]],2)=D2372),F2372,0)</f>
        <v>0</v>
      </c>
    </row>
    <row r="2372" spans="1:11" ht="12.75" hidden="1" customHeight="1" x14ac:dyDescent="0.2">
      <c r="A2372" s="8">
        <v>228</v>
      </c>
      <c r="B2372" s="8" t="s">
        <v>53</v>
      </c>
      <c r="C2372" s="8" t="s">
        <v>4</v>
      </c>
      <c r="D2372" s="12">
        <v>45200</v>
      </c>
      <c r="E2372" s="8">
        <v>33885</v>
      </c>
      <c r="F2372" s="10">
        <f>IF(ISTEXT(Таблицаx_2[[#This Row],[Значение]]), 0, Таблицаx_2[[#This Row],[Значение]])</f>
        <v>33885</v>
      </c>
      <c r="G2372" s="12">
        <v>44896</v>
      </c>
      <c r="H2372" s="10" t="str">
        <f>IFERROR(VLOOKUP(Таблицаx_2[[#This Row],[id]],prolongations!A:C,2,)," ")</f>
        <v>декабрь 2022</v>
      </c>
      <c r="I2372" s="10">
        <f>IF(Таблицаx_2[[#This Row],[Месяц окончания]]=Таблицаx_2[[#This Row],[Месяц]],Таблицаx_2[[#This Row],[Значения числа]],0)</f>
        <v>0</v>
      </c>
      <c r="J2372" s="8">
        <f>IF(AND(Таблицаx_2[[#This Row],[Месяц окончания]]=Таблицаx_2[[#This Row],[Месяц]],Таблицаx_2[[#This Row],[id]]=A2373,EDATE(Таблицаx_2[[#This Row],[Месяц]],1)=D2373),F2373,0)</f>
        <v>0</v>
      </c>
      <c r="K2372" s="8">
        <f>IF(AND(Таблицаx_2[[#This Row],[Месяц окончания]]=Таблицаx_2[[#This Row],[Месяц]],Таблицаx_2[[#This Row],[id]]=A2373,EDATE(Таблицаx_2[[#This Row],[Месяц]],2)=D2373),F2373,0)</f>
        <v>0</v>
      </c>
    </row>
    <row r="2373" spans="1:11" ht="12.75" hidden="1" customHeight="1" x14ac:dyDescent="0.2">
      <c r="A2373" s="8">
        <v>228</v>
      </c>
      <c r="B2373" s="8" t="s">
        <v>53</v>
      </c>
      <c r="C2373" s="8" t="s">
        <v>4</v>
      </c>
      <c r="D2373" s="12">
        <v>45231</v>
      </c>
      <c r="E2373" s="8">
        <v>33885</v>
      </c>
      <c r="F2373" s="10">
        <f>IF(ISTEXT(Таблицаx_2[[#This Row],[Значение]]), 0, Таблицаx_2[[#This Row],[Значение]])</f>
        <v>33885</v>
      </c>
      <c r="G2373" s="12">
        <v>44896</v>
      </c>
      <c r="H2373" s="10" t="str">
        <f>IFERROR(VLOOKUP(Таблицаx_2[[#This Row],[id]],prolongations!A:C,2,)," ")</f>
        <v>декабрь 2022</v>
      </c>
      <c r="I2373" s="10">
        <f>IF(Таблицаx_2[[#This Row],[Месяц окончания]]=Таблицаx_2[[#This Row],[Месяц]],Таблицаx_2[[#This Row],[Значения числа]],0)</f>
        <v>0</v>
      </c>
      <c r="J2373" s="8">
        <f>IF(AND(Таблицаx_2[[#This Row],[Месяц окончания]]=Таблицаx_2[[#This Row],[Месяц]],Таблицаx_2[[#This Row],[id]]=A2374,EDATE(Таблицаx_2[[#This Row],[Месяц]],1)=D2374),F2374,0)</f>
        <v>0</v>
      </c>
      <c r="K2373" s="8">
        <f>IF(AND(Таблицаx_2[[#This Row],[Месяц окончания]]=Таблицаx_2[[#This Row],[Месяц]],Таблицаx_2[[#This Row],[id]]=A2374,EDATE(Таблицаx_2[[#This Row],[Месяц]],2)=D2374),F2374,0)</f>
        <v>0</v>
      </c>
    </row>
    <row r="2374" spans="1:11" ht="12.75" hidden="1" customHeight="1" x14ac:dyDescent="0.2">
      <c r="A2374" s="8">
        <v>228</v>
      </c>
      <c r="B2374" s="8" t="s">
        <v>53</v>
      </c>
      <c r="C2374" s="8" t="s">
        <v>4</v>
      </c>
      <c r="D2374" s="12">
        <v>45261</v>
      </c>
      <c r="E2374" s="8">
        <v>33885</v>
      </c>
      <c r="F2374" s="10">
        <f>IF(ISTEXT(Таблицаx_2[[#This Row],[Значение]]), 0, Таблицаx_2[[#This Row],[Значение]])</f>
        <v>33885</v>
      </c>
      <c r="G2374" s="12">
        <v>44896</v>
      </c>
      <c r="H2374" s="10" t="str">
        <f>IFERROR(VLOOKUP(Таблицаx_2[[#This Row],[id]],prolongations!A:C,2,)," ")</f>
        <v>декабрь 2022</v>
      </c>
      <c r="I2374" s="10">
        <f>IF(Таблицаx_2[[#This Row],[Месяц окончания]]=Таблицаx_2[[#This Row],[Месяц]],Таблицаx_2[[#This Row],[Значения числа]],0)</f>
        <v>0</v>
      </c>
      <c r="J2374" s="8">
        <f>IF(AND(Таблицаx_2[[#This Row],[Месяц окончания]]=Таблицаx_2[[#This Row],[Месяц]],Таблицаx_2[[#This Row],[id]]=A2375,EDATE(Таблицаx_2[[#This Row],[Месяц]],1)=D2375),F2375,0)</f>
        <v>0</v>
      </c>
      <c r="K2374" s="8">
        <f>IF(AND(Таблицаx_2[[#This Row],[Месяц окончания]]=Таблицаx_2[[#This Row],[Месяц]],Таблицаx_2[[#This Row],[id]]=A2375,EDATE(Таблицаx_2[[#This Row],[Месяц]],2)=D2375),F2375,0)</f>
        <v>0</v>
      </c>
    </row>
    <row r="2375" spans="1:11" ht="12.75" hidden="1" customHeight="1" x14ac:dyDescent="0.2">
      <c r="A2375" s="8">
        <v>228</v>
      </c>
      <c r="B2375" s="8" t="s">
        <v>53</v>
      </c>
      <c r="C2375" s="8" t="s">
        <v>4</v>
      </c>
      <c r="D2375" s="12">
        <v>45292</v>
      </c>
      <c r="E2375" s="8">
        <v>43400</v>
      </c>
      <c r="F2375" s="10">
        <f>IF(ISTEXT(Таблицаx_2[[#This Row],[Значение]]), 0, Таблицаx_2[[#This Row],[Значение]])</f>
        <v>43400</v>
      </c>
      <c r="G2375" s="12">
        <v>44896</v>
      </c>
      <c r="H2375" s="10" t="str">
        <f>IFERROR(VLOOKUP(Таблицаx_2[[#This Row],[id]],prolongations!A:C,2,)," ")</f>
        <v>декабрь 2022</v>
      </c>
      <c r="I2375" s="10">
        <f>IF(Таблицаx_2[[#This Row],[Месяц окончания]]=Таблицаx_2[[#This Row],[Месяц]],Таблицаx_2[[#This Row],[Значения числа]],0)</f>
        <v>0</v>
      </c>
      <c r="J2375" s="8">
        <f>IF(AND(Таблицаx_2[[#This Row],[Месяц окончания]]=Таблицаx_2[[#This Row],[Месяц]],Таблицаx_2[[#This Row],[id]]=A2376,EDATE(Таблицаx_2[[#This Row],[Месяц]],1)=D2376),F2376,0)</f>
        <v>0</v>
      </c>
      <c r="K2375" s="8">
        <f>IF(AND(Таблицаx_2[[#This Row],[Месяц окончания]]=Таблицаx_2[[#This Row],[Месяц]],Таблицаx_2[[#This Row],[id]]=A2376,EDATE(Таблицаx_2[[#This Row],[Месяц]],2)=D2376),F2376,0)</f>
        <v>0</v>
      </c>
    </row>
    <row r="2376" spans="1:11" ht="12.75" hidden="1" customHeight="1" x14ac:dyDescent="0.2">
      <c r="A2376" s="8">
        <v>228</v>
      </c>
      <c r="B2376" s="8" t="s">
        <v>53</v>
      </c>
      <c r="C2376" s="8" t="s">
        <v>4</v>
      </c>
      <c r="D2376" s="12">
        <v>45323</v>
      </c>
      <c r="E2376" s="8">
        <v>43400</v>
      </c>
      <c r="F2376" s="10">
        <f>IF(ISTEXT(Таблицаx_2[[#This Row],[Значение]]), 0, Таблицаx_2[[#This Row],[Значение]])</f>
        <v>43400</v>
      </c>
      <c r="G2376" s="12">
        <v>44896</v>
      </c>
      <c r="H2376" s="10" t="str">
        <f>IFERROR(VLOOKUP(Таблицаx_2[[#This Row],[id]],prolongations!A:C,2,)," ")</f>
        <v>декабрь 2022</v>
      </c>
      <c r="I2376" s="10">
        <f>IF(Таблицаx_2[[#This Row],[Месяц окончания]]=Таблицаx_2[[#This Row],[Месяц]],Таблицаx_2[[#This Row],[Значения числа]],0)</f>
        <v>0</v>
      </c>
      <c r="J2376" s="8">
        <f>IF(AND(Таблицаx_2[[#This Row],[Месяц окончания]]=Таблицаx_2[[#This Row],[Месяц]],Таблицаx_2[[#This Row],[id]]=A2377,EDATE(Таблицаx_2[[#This Row],[Месяц]],1)=D2377),F2377,0)</f>
        <v>0</v>
      </c>
      <c r="K2376" s="8">
        <f>IF(AND(Таблицаx_2[[#This Row],[Месяц окончания]]=Таблицаx_2[[#This Row],[Месяц]],Таблицаx_2[[#This Row],[id]]=A2377,EDATE(Таблицаx_2[[#This Row],[Месяц]],2)=D2377),F2377,0)</f>
        <v>0</v>
      </c>
    </row>
    <row r="2377" spans="1:11" ht="12.75" hidden="1" customHeight="1" x14ac:dyDescent="0.2">
      <c r="A2377" s="8">
        <v>890</v>
      </c>
      <c r="B2377" s="8" t="s">
        <v>45</v>
      </c>
      <c r="C2377" s="8" t="s">
        <v>4</v>
      </c>
      <c r="D2377" s="12">
        <v>44866</v>
      </c>
      <c r="E2377" s="8">
        <v>68700</v>
      </c>
      <c r="F2377" s="10">
        <f>IF(ISTEXT(Таблицаx_2[[#This Row],[Значение]]), 0, Таблицаx_2[[#This Row],[Значение]])</f>
        <v>68700</v>
      </c>
      <c r="G2377" s="12">
        <v>45261</v>
      </c>
      <c r="H2377" s="10" t="str">
        <f>IFERROR(VLOOKUP(Таблицаx_2[[#This Row],[id]],prolongations!A:C,2,)," ")</f>
        <v>декабрь 2023</v>
      </c>
      <c r="I2377" s="10">
        <f>IF(Таблицаx_2[[#This Row],[Месяц окончания]]=Таблицаx_2[[#This Row],[Месяц]],Таблицаx_2[[#This Row],[Значения числа]],0)</f>
        <v>0</v>
      </c>
      <c r="J2377" s="8">
        <f>IF(AND(Таблицаx_2[[#This Row],[Месяц окончания]]=Таблицаx_2[[#This Row],[Месяц]],Таблицаx_2[[#This Row],[id]]=A2378,EDATE(Таблицаx_2[[#This Row],[Месяц]],1)=D2378),F2378,0)</f>
        <v>0</v>
      </c>
      <c r="K2377" s="8">
        <f>IF(AND(Таблицаx_2[[#This Row],[Месяц окончания]]=Таблицаx_2[[#This Row],[Месяц]],Таблицаx_2[[#This Row],[id]]=A2378,EDATE(Таблицаx_2[[#This Row],[Месяц]],2)=D2378),F2378,0)</f>
        <v>0</v>
      </c>
    </row>
    <row r="2378" spans="1:11" ht="12.75" hidden="1" customHeight="1" x14ac:dyDescent="0.2">
      <c r="A2378" s="8">
        <v>890</v>
      </c>
      <c r="B2378" s="8" t="s">
        <v>45</v>
      </c>
      <c r="C2378" s="8" t="s">
        <v>4</v>
      </c>
      <c r="D2378" s="12">
        <v>44896</v>
      </c>
      <c r="E2378" s="8">
        <v>68700</v>
      </c>
      <c r="F2378" s="10">
        <f>IF(ISTEXT(Таблицаx_2[[#This Row],[Значение]]), 0, Таблицаx_2[[#This Row],[Значение]])</f>
        <v>68700</v>
      </c>
      <c r="G2378" s="12">
        <v>45261</v>
      </c>
      <c r="H2378" s="10" t="str">
        <f>IFERROR(VLOOKUP(Таблицаx_2[[#This Row],[id]],prolongations!A:C,2,)," ")</f>
        <v>декабрь 2023</v>
      </c>
      <c r="I2378" s="10">
        <f>IF(Таблицаx_2[[#This Row],[Месяц окончания]]=Таблицаx_2[[#This Row],[Месяц]],Таблицаx_2[[#This Row],[Значения числа]],0)</f>
        <v>0</v>
      </c>
      <c r="J2378" s="8">
        <f>IF(AND(Таблицаx_2[[#This Row],[Месяц окончания]]=Таблицаx_2[[#This Row],[Месяц]],Таблицаx_2[[#This Row],[id]]=A2379,EDATE(Таблицаx_2[[#This Row],[Месяц]],1)=D2379),F2379,0)</f>
        <v>0</v>
      </c>
      <c r="K2378" s="8">
        <f>IF(AND(Таблицаx_2[[#This Row],[Месяц окончания]]=Таблицаx_2[[#This Row],[Месяц]],Таблицаx_2[[#This Row],[id]]=A2379,EDATE(Таблицаx_2[[#This Row],[Месяц]],2)=D2379),F2379,0)</f>
        <v>0</v>
      </c>
    </row>
    <row r="2379" spans="1:11" ht="12.75" hidden="1" customHeight="1" x14ac:dyDescent="0.2">
      <c r="A2379" s="8">
        <v>890</v>
      </c>
      <c r="B2379" s="8" t="s">
        <v>45</v>
      </c>
      <c r="C2379" s="8" t="s">
        <v>4</v>
      </c>
      <c r="D2379" s="12">
        <v>44927</v>
      </c>
      <c r="E2379" s="8">
        <v>70470</v>
      </c>
      <c r="F2379" s="10">
        <f>IF(ISTEXT(Таблицаx_2[[#This Row],[Значение]]), 0, Таблицаx_2[[#This Row],[Значение]])</f>
        <v>70470</v>
      </c>
      <c r="G2379" s="12">
        <v>45261</v>
      </c>
      <c r="H2379" s="10" t="str">
        <f>IFERROR(VLOOKUP(Таблицаx_2[[#This Row],[id]],prolongations!A:C,2,)," ")</f>
        <v>декабрь 2023</v>
      </c>
      <c r="I2379" s="10">
        <f>IF(Таблицаx_2[[#This Row],[Месяц окончания]]=Таблицаx_2[[#This Row],[Месяц]],Таблицаx_2[[#This Row],[Значения числа]],0)</f>
        <v>0</v>
      </c>
      <c r="J2379" s="8">
        <f>IF(AND(Таблицаx_2[[#This Row],[Месяц окончания]]=Таблицаx_2[[#This Row],[Месяц]],Таблицаx_2[[#This Row],[id]]=A2380,EDATE(Таблицаx_2[[#This Row],[Месяц]],1)=D2380),F2380,0)</f>
        <v>0</v>
      </c>
      <c r="K2379" s="8">
        <f>IF(AND(Таблицаx_2[[#This Row],[Месяц окончания]]=Таблицаx_2[[#This Row],[Месяц]],Таблицаx_2[[#This Row],[id]]=A2380,EDATE(Таблицаx_2[[#This Row],[Месяц]],2)=D2380),F2380,0)</f>
        <v>0</v>
      </c>
    </row>
    <row r="2380" spans="1:11" ht="12.75" hidden="1" customHeight="1" x14ac:dyDescent="0.2">
      <c r="A2380" s="8">
        <v>890</v>
      </c>
      <c r="B2380" s="8" t="s">
        <v>45</v>
      </c>
      <c r="C2380" s="8" t="s">
        <v>4</v>
      </c>
      <c r="D2380" s="12">
        <v>44958</v>
      </c>
      <c r="E2380" s="8">
        <v>89650</v>
      </c>
      <c r="F2380" s="10">
        <f>IF(ISTEXT(Таблицаx_2[[#This Row],[Значение]]), 0, Таблицаx_2[[#This Row],[Значение]])</f>
        <v>89650</v>
      </c>
      <c r="G2380" s="12">
        <v>45261</v>
      </c>
      <c r="H2380" s="10" t="str">
        <f>IFERROR(VLOOKUP(Таблицаx_2[[#This Row],[id]],prolongations!A:C,2,)," ")</f>
        <v>декабрь 2023</v>
      </c>
      <c r="I2380" s="10">
        <f>IF(Таблицаx_2[[#This Row],[Месяц окончания]]=Таблицаx_2[[#This Row],[Месяц]],Таблицаx_2[[#This Row],[Значения числа]],0)</f>
        <v>0</v>
      </c>
      <c r="J2380" s="8">
        <f>IF(AND(Таблицаx_2[[#This Row],[Месяц окончания]]=Таблицаx_2[[#This Row],[Месяц]],Таблицаx_2[[#This Row],[id]]=A2381,EDATE(Таблицаx_2[[#This Row],[Месяц]],1)=D2381),F2381,0)</f>
        <v>0</v>
      </c>
      <c r="K2380" s="8">
        <f>IF(AND(Таблицаx_2[[#This Row],[Месяц окончания]]=Таблицаx_2[[#This Row],[Месяц]],Таблицаx_2[[#This Row],[id]]=A2381,EDATE(Таблицаx_2[[#This Row],[Месяц]],2)=D2381),F2381,0)</f>
        <v>0</v>
      </c>
    </row>
    <row r="2381" spans="1:11" ht="12.75" hidden="1" customHeight="1" x14ac:dyDescent="0.2">
      <c r="A2381" s="8">
        <v>890</v>
      </c>
      <c r="B2381" s="8" t="s">
        <v>45</v>
      </c>
      <c r="C2381" s="8" t="s">
        <v>4</v>
      </c>
      <c r="D2381" s="12">
        <v>44986</v>
      </c>
      <c r="E2381" s="8">
        <v>77320</v>
      </c>
      <c r="F2381" s="10">
        <f>IF(ISTEXT(Таблицаx_2[[#This Row],[Значение]]), 0, Таблицаx_2[[#This Row],[Значение]])</f>
        <v>77320</v>
      </c>
      <c r="G2381" s="12">
        <v>45261</v>
      </c>
      <c r="H2381" s="10" t="str">
        <f>IFERROR(VLOOKUP(Таблицаx_2[[#This Row],[id]],prolongations!A:C,2,)," ")</f>
        <v>декабрь 2023</v>
      </c>
      <c r="I2381" s="10">
        <f>IF(Таблицаx_2[[#This Row],[Месяц окончания]]=Таблицаx_2[[#This Row],[Месяц]],Таблицаx_2[[#This Row],[Значения числа]],0)</f>
        <v>0</v>
      </c>
      <c r="J2381" s="8">
        <f>IF(AND(Таблицаx_2[[#This Row],[Месяц окончания]]=Таблицаx_2[[#This Row],[Месяц]],Таблицаx_2[[#This Row],[id]]=A2382,EDATE(Таблицаx_2[[#This Row],[Месяц]],1)=D2382),F2382,0)</f>
        <v>0</v>
      </c>
      <c r="K2381" s="8">
        <f>IF(AND(Таблицаx_2[[#This Row],[Месяц окончания]]=Таблицаx_2[[#This Row],[Месяц]],Таблицаx_2[[#This Row],[id]]=A2382,EDATE(Таблицаx_2[[#This Row],[Месяц]],2)=D2382),F2382,0)</f>
        <v>0</v>
      </c>
    </row>
    <row r="2382" spans="1:11" ht="12.75" hidden="1" customHeight="1" x14ac:dyDescent="0.2">
      <c r="A2382" s="8">
        <v>890</v>
      </c>
      <c r="B2382" s="8" t="s">
        <v>45</v>
      </c>
      <c r="C2382" s="8" t="s">
        <v>4</v>
      </c>
      <c r="D2382" s="12">
        <v>45017</v>
      </c>
      <c r="E2382" s="8">
        <v>83900</v>
      </c>
      <c r="F2382" s="10">
        <f>IF(ISTEXT(Таблицаx_2[[#This Row],[Значение]]), 0, Таблицаx_2[[#This Row],[Значение]])</f>
        <v>83900</v>
      </c>
      <c r="G2382" s="12">
        <v>45261</v>
      </c>
      <c r="H2382" s="10" t="str">
        <f>IFERROR(VLOOKUP(Таблицаx_2[[#This Row],[id]],prolongations!A:C,2,)," ")</f>
        <v>декабрь 2023</v>
      </c>
      <c r="I2382" s="10">
        <f>IF(Таблицаx_2[[#This Row],[Месяц окончания]]=Таблицаx_2[[#This Row],[Месяц]],Таблицаx_2[[#This Row],[Значения числа]],0)</f>
        <v>0</v>
      </c>
      <c r="J2382" s="8">
        <f>IF(AND(Таблицаx_2[[#This Row],[Месяц окончания]]=Таблицаx_2[[#This Row],[Месяц]],Таблицаx_2[[#This Row],[id]]=A2383,EDATE(Таблицаx_2[[#This Row],[Месяц]],1)=D2383),F2383,0)</f>
        <v>0</v>
      </c>
      <c r="K2382" s="8">
        <f>IF(AND(Таблицаx_2[[#This Row],[Месяц окончания]]=Таблицаx_2[[#This Row],[Месяц]],Таблицаx_2[[#This Row],[id]]=A2383,EDATE(Таблицаx_2[[#This Row],[Месяц]],2)=D2383),F2383,0)</f>
        <v>0</v>
      </c>
    </row>
    <row r="2383" spans="1:11" ht="12.75" hidden="1" customHeight="1" x14ac:dyDescent="0.2">
      <c r="A2383" s="8">
        <v>890</v>
      </c>
      <c r="B2383" s="8" t="s">
        <v>45</v>
      </c>
      <c r="C2383" s="8" t="s">
        <v>4</v>
      </c>
      <c r="D2383" s="12">
        <v>45047</v>
      </c>
      <c r="E2383" s="8">
        <v>83900</v>
      </c>
      <c r="F2383" s="10">
        <f>IF(ISTEXT(Таблицаx_2[[#This Row],[Значение]]), 0, Таблицаx_2[[#This Row],[Значение]])</f>
        <v>83900</v>
      </c>
      <c r="G2383" s="12">
        <v>45261</v>
      </c>
      <c r="H2383" s="10" t="str">
        <f>IFERROR(VLOOKUP(Таблицаx_2[[#This Row],[id]],prolongations!A:C,2,)," ")</f>
        <v>декабрь 2023</v>
      </c>
      <c r="I2383" s="10">
        <f>IF(Таблицаx_2[[#This Row],[Месяц окончания]]=Таблицаx_2[[#This Row],[Месяц]],Таблицаx_2[[#This Row],[Значения числа]],0)</f>
        <v>0</v>
      </c>
      <c r="J2383" s="8">
        <f>IF(AND(Таблицаx_2[[#This Row],[Месяц окончания]]=Таблицаx_2[[#This Row],[Месяц]],Таблицаx_2[[#This Row],[id]]=A2384,EDATE(Таблицаx_2[[#This Row],[Месяц]],1)=D2384),F2384,0)</f>
        <v>0</v>
      </c>
      <c r="K2383" s="8">
        <f>IF(AND(Таблицаx_2[[#This Row],[Месяц окончания]]=Таблицаx_2[[#This Row],[Месяц]],Таблицаx_2[[#This Row],[id]]=A2384,EDATE(Таблицаx_2[[#This Row],[Месяц]],2)=D2384),F2384,0)</f>
        <v>0</v>
      </c>
    </row>
    <row r="2384" spans="1:11" ht="12.75" hidden="1" customHeight="1" x14ac:dyDescent="0.2">
      <c r="A2384" s="8">
        <v>890</v>
      </c>
      <c r="B2384" s="8" t="s">
        <v>45</v>
      </c>
      <c r="C2384" s="8" t="s">
        <v>4</v>
      </c>
      <c r="D2384" s="12">
        <v>45078</v>
      </c>
      <c r="E2384" s="8">
        <v>83900</v>
      </c>
      <c r="F2384" s="10">
        <f>IF(ISTEXT(Таблицаx_2[[#This Row],[Значение]]), 0, Таблицаx_2[[#This Row],[Значение]])</f>
        <v>83900</v>
      </c>
      <c r="G2384" s="12">
        <v>45261</v>
      </c>
      <c r="H2384" s="10" t="str">
        <f>IFERROR(VLOOKUP(Таблицаx_2[[#This Row],[id]],prolongations!A:C,2,)," ")</f>
        <v>декабрь 2023</v>
      </c>
      <c r="I2384" s="10">
        <f>IF(Таблицаx_2[[#This Row],[Месяц окончания]]=Таблицаx_2[[#This Row],[Месяц]],Таблицаx_2[[#This Row],[Значения числа]],0)</f>
        <v>0</v>
      </c>
      <c r="J2384" s="8">
        <f>IF(AND(Таблицаx_2[[#This Row],[Месяц окончания]]=Таблицаx_2[[#This Row],[Месяц]],Таблицаx_2[[#This Row],[id]]=A2385,EDATE(Таблицаx_2[[#This Row],[Месяц]],1)=D2385),F2385,0)</f>
        <v>0</v>
      </c>
      <c r="K2384" s="8">
        <f>IF(AND(Таблицаx_2[[#This Row],[Месяц окончания]]=Таблицаx_2[[#This Row],[Месяц]],Таблицаx_2[[#This Row],[id]]=A2385,EDATE(Таблицаx_2[[#This Row],[Месяц]],2)=D2385),F2385,0)</f>
        <v>0</v>
      </c>
    </row>
    <row r="2385" spans="1:11" ht="12.75" hidden="1" customHeight="1" x14ac:dyDescent="0.2">
      <c r="A2385" s="8">
        <v>890</v>
      </c>
      <c r="B2385" s="8" t="s">
        <v>45</v>
      </c>
      <c r="C2385" s="8" t="s">
        <v>4</v>
      </c>
      <c r="D2385" s="12">
        <v>45108</v>
      </c>
      <c r="E2385" s="8">
        <v>83900</v>
      </c>
      <c r="F2385" s="10">
        <f>IF(ISTEXT(Таблицаx_2[[#This Row],[Значение]]), 0, Таблицаx_2[[#This Row],[Значение]])</f>
        <v>83900</v>
      </c>
      <c r="G2385" s="12">
        <v>45261</v>
      </c>
      <c r="H2385" s="10" t="str">
        <f>IFERROR(VLOOKUP(Таблицаx_2[[#This Row],[id]],prolongations!A:C,2,)," ")</f>
        <v>декабрь 2023</v>
      </c>
      <c r="I2385" s="10">
        <f>IF(Таблицаx_2[[#This Row],[Месяц окончания]]=Таблицаx_2[[#This Row],[Месяц]],Таблицаx_2[[#This Row],[Значения числа]],0)</f>
        <v>0</v>
      </c>
      <c r="J2385" s="8">
        <f>IF(AND(Таблицаx_2[[#This Row],[Месяц окончания]]=Таблицаx_2[[#This Row],[Месяц]],Таблицаx_2[[#This Row],[id]]=A2386,EDATE(Таблицаx_2[[#This Row],[Месяц]],1)=D2386),F2386,0)</f>
        <v>0</v>
      </c>
      <c r="K2385" s="8">
        <f>IF(AND(Таблицаx_2[[#This Row],[Месяц окончания]]=Таблицаx_2[[#This Row],[Месяц]],Таблицаx_2[[#This Row],[id]]=A2386,EDATE(Таблицаx_2[[#This Row],[Месяц]],2)=D2386),F2386,0)</f>
        <v>0</v>
      </c>
    </row>
    <row r="2386" spans="1:11" ht="12.75" hidden="1" customHeight="1" x14ac:dyDescent="0.2">
      <c r="A2386" s="8">
        <v>890</v>
      </c>
      <c r="B2386" s="8" t="s">
        <v>45</v>
      </c>
      <c r="C2386" s="8" t="s">
        <v>4</v>
      </c>
      <c r="D2386" s="12">
        <v>45139</v>
      </c>
      <c r="E2386" s="8">
        <v>83900</v>
      </c>
      <c r="F2386" s="10">
        <f>IF(ISTEXT(Таблицаx_2[[#This Row],[Значение]]), 0, Таблицаx_2[[#This Row],[Значение]])</f>
        <v>83900</v>
      </c>
      <c r="G2386" s="12">
        <v>45261</v>
      </c>
      <c r="H2386" s="10" t="str">
        <f>IFERROR(VLOOKUP(Таблицаx_2[[#This Row],[id]],prolongations!A:C,2,)," ")</f>
        <v>декабрь 2023</v>
      </c>
      <c r="I2386" s="10">
        <f>IF(Таблицаx_2[[#This Row],[Месяц окончания]]=Таблицаx_2[[#This Row],[Месяц]],Таблицаx_2[[#This Row],[Значения числа]],0)</f>
        <v>0</v>
      </c>
      <c r="J2386" s="8">
        <f>IF(AND(Таблицаx_2[[#This Row],[Месяц окончания]]=Таблицаx_2[[#This Row],[Месяц]],Таблицаx_2[[#This Row],[id]]=A2387,EDATE(Таблицаx_2[[#This Row],[Месяц]],1)=D2387),F2387,0)</f>
        <v>0</v>
      </c>
      <c r="K2386" s="8">
        <f>IF(AND(Таблицаx_2[[#This Row],[Месяц окончания]]=Таблицаx_2[[#This Row],[Месяц]],Таблицаx_2[[#This Row],[id]]=A2387,EDATE(Таблицаx_2[[#This Row],[Месяц]],2)=D2387),F2387,0)</f>
        <v>0</v>
      </c>
    </row>
    <row r="2387" spans="1:11" ht="12.75" hidden="1" customHeight="1" x14ac:dyDescent="0.2">
      <c r="A2387" s="8">
        <v>890</v>
      </c>
      <c r="B2387" s="8" t="s">
        <v>45</v>
      </c>
      <c r="C2387" s="8" t="s">
        <v>4</v>
      </c>
      <c r="D2387" s="12">
        <v>45170</v>
      </c>
      <c r="E2387" s="8">
        <v>83900</v>
      </c>
      <c r="F2387" s="10">
        <f>IF(ISTEXT(Таблицаx_2[[#This Row],[Значение]]), 0, Таблицаx_2[[#This Row],[Значение]])</f>
        <v>83900</v>
      </c>
      <c r="G2387" s="12">
        <v>45261</v>
      </c>
      <c r="H2387" s="10" t="str">
        <f>IFERROR(VLOOKUP(Таблицаx_2[[#This Row],[id]],prolongations!A:C,2,)," ")</f>
        <v>декабрь 2023</v>
      </c>
      <c r="I2387" s="10">
        <f>IF(Таблицаx_2[[#This Row],[Месяц окончания]]=Таблицаx_2[[#This Row],[Месяц]],Таблицаx_2[[#This Row],[Значения числа]],0)</f>
        <v>0</v>
      </c>
      <c r="J2387" s="8">
        <f>IF(AND(Таблицаx_2[[#This Row],[Месяц окончания]]=Таблицаx_2[[#This Row],[Месяц]],Таблицаx_2[[#This Row],[id]]=A2388,EDATE(Таблицаx_2[[#This Row],[Месяц]],1)=D2388),F2388,0)</f>
        <v>0</v>
      </c>
      <c r="K2387" s="8">
        <f>IF(AND(Таблицаx_2[[#This Row],[Месяц окончания]]=Таблицаx_2[[#This Row],[Месяц]],Таблицаx_2[[#This Row],[id]]=A2388,EDATE(Таблицаx_2[[#This Row],[Месяц]],2)=D2388),F2388,0)</f>
        <v>0</v>
      </c>
    </row>
    <row r="2388" spans="1:11" ht="12.75" hidden="1" customHeight="1" x14ac:dyDescent="0.2">
      <c r="A2388" s="8">
        <v>890</v>
      </c>
      <c r="B2388" s="8" t="s">
        <v>45</v>
      </c>
      <c r="C2388" s="8" t="s">
        <v>4</v>
      </c>
      <c r="D2388" s="12">
        <v>45200</v>
      </c>
      <c r="E2388" s="8">
        <v>83900</v>
      </c>
      <c r="F2388" s="10">
        <f>IF(ISTEXT(Таблицаx_2[[#This Row],[Значение]]), 0, Таблицаx_2[[#This Row],[Значение]])</f>
        <v>83900</v>
      </c>
      <c r="G2388" s="12">
        <v>45261</v>
      </c>
      <c r="H2388" s="10" t="str">
        <f>IFERROR(VLOOKUP(Таблицаx_2[[#This Row],[id]],prolongations!A:C,2,)," ")</f>
        <v>декабрь 2023</v>
      </c>
      <c r="I2388" s="10">
        <f>IF(Таблицаx_2[[#This Row],[Месяц окончания]]=Таблицаx_2[[#This Row],[Месяц]],Таблицаx_2[[#This Row],[Значения числа]],0)</f>
        <v>0</v>
      </c>
      <c r="J2388" s="8">
        <f>IF(AND(Таблицаx_2[[#This Row],[Месяц окончания]]=Таблицаx_2[[#This Row],[Месяц]],Таблицаx_2[[#This Row],[id]]=A2389,EDATE(Таблицаx_2[[#This Row],[Месяц]],1)=D2389),F2389,0)</f>
        <v>0</v>
      </c>
      <c r="K2388" s="8">
        <f>IF(AND(Таблицаx_2[[#This Row],[Месяц окончания]]=Таблицаx_2[[#This Row],[Месяц]],Таблицаx_2[[#This Row],[id]]=A2389,EDATE(Таблицаx_2[[#This Row],[Месяц]],2)=D2389),F2389,0)</f>
        <v>0</v>
      </c>
    </row>
    <row r="2389" spans="1:11" ht="12.75" hidden="1" customHeight="1" x14ac:dyDescent="0.2">
      <c r="A2389" s="8">
        <v>890</v>
      </c>
      <c r="B2389" s="8" t="s">
        <v>45</v>
      </c>
      <c r="C2389" s="8" t="s">
        <v>4</v>
      </c>
      <c r="D2389" s="12">
        <v>45231</v>
      </c>
      <c r="E2389" s="8">
        <v>83900</v>
      </c>
      <c r="F2389" s="10">
        <f>IF(ISTEXT(Таблицаx_2[[#This Row],[Значение]]), 0, Таблицаx_2[[#This Row],[Значение]])</f>
        <v>83900</v>
      </c>
      <c r="G2389" s="12">
        <v>45261</v>
      </c>
      <c r="H2389" s="10" t="str">
        <f>IFERROR(VLOOKUP(Таблицаx_2[[#This Row],[id]],prolongations!A:C,2,)," ")</f>
        <v>декабрь 2023</v>
      </c>
      <c r="I2389" s="10">
        <f>IF(Таблицаx_2[[#This Row],[Месяц окончания]]=Таблицаx_2[[#This Row],[Месяц]],Таблицаx_2[[#This Row],[Значения числа]],0)</f>
        <v>0</v>
      </c>
      <c r="J2389" s="8">
        <f>IF(AND(Таблицаx_2[[#This Row],[Месяц окончания]]=Таблицаx_2[[#This Row],[Месяц]],Таблицаx_2[[#This Row],[id]]=A2390,EDATE(Таблицаx_2[[#This Row],[Месяц]],1)=D2390),F2390,0)</f>
        <v>0</v>
      </c>
      <c r="K2389" s="8">
        <f>IF(AND(Таблицаx_2[[#This Row],[Месяц окончания]]=Таблицаx_2[[#This Row],[Месяц]],Таблицаx_2[[#This Row],[id]]=A2390,EDATE(Таблицаx_2[[#This Row],[Месяц]],2)=D2390),F2390,0)</f>
        <v>0</v>
      </c>
    </row>
    <row r="2390" spans="1:11" ht="12.75" hidden="1" customHeight="1" x14ac:dyDescent="0.2">
      <c r="A2390" s="8">
        <v>890</v>
      </c>
      <c r="B2390" s="8" t="s">
        <v>45</v>
      </c>
      <c r="C2390" s="8" t="s">
        <v>4</v>
      </c>
      <c r="D2390" s="12">
        <v>45261</v>
      </c>
      <c r="E2390" s="8">
        <v>83900</v>
      </c>
      <c r="F2390" s="10">
        <f>IF(ISTEXT(Таблицаx_2[[#This Row],[Значение]]), 0, Таблицаx_2[[#This Row],[Значение]])</f>
        <v>83900</v>
      </c>
      <c r="G2390" s="12">
        <v>45261</v>
      </c>
      <c r="H2390" s="10" t="str">
        <f>IFERROR(VLOOKUP(Таблицаx_2[[#This Row],[id]],prolongations!A:C,2,)," ")</f>
        <v>декабрь 2023</v>
      </c>
      <c r="I2390" s="10">
        <f>IF(Таблицаx_2[[#This Row],[Месяц окончания]]=Таблицаx_2[[#This Row],[Месяц]],Таблицаx_2[[#This Row],[Значения числа]],0)</f>
        <v>83900</v>
      </c>
      <c r="J2390" s="8">
        <f>IF(AND(Таблицаx_2[[#This Row],[Месяц окончания]]=Таблицаx_2[[#This Row],[Месяц]],Таблицаx_2[[#This Row],[id]]=A2391,EDATE(Таблицаx_2[[#This Row],[Месяц]],1)=D2391),F2391,0)</f>
        <v>42300</v>
      </c>
      <c r="K2390" s="8">
        <f>IF(AND(Таблицаx_2[[#This Row],[Месяц окончания]]=Таблицаx_2[[#This Row],[Месяц]],Таблицаx_2[[#This Row],[id]]=A2391,EDATE(Таблицаx_2[[#This Row],[Месяц]],2)=D2391),F2391,0)</f>
        <v>0</v>
      </c>
    </row>
    <row r="2391" spans="1:11" ht="12.75" hidden="1" customHeight="1" x14ac:dyDescent="0.2">
      <c r="A2391" s="8">
        <v>890</v>
      </c>
      <c r="B2391" s="8" t="s">
        <v>45</v>
      </c>
      <c r="C2391" s="8" t="s">
        <v>4</v>
      </c>
      <c r="D2391" s="12">
        <v>45292</v>
      </c>
      <c r="E2391" s="8">
        <v>42300</v>
      </c>
      <c r="F2391" s="10">
        <f>IF(ISTEXT(Таблицаx_2[[#This Row],[Значение]]), 0, Таблицаx_2[[#This Row],[Значение]])</f>
        <v>42300</v>
      </c>
      <c r="G2391" s="12">
        <v>45261</v>
      </c>
      <c r="H2391" s="10" t="str">
        <f>IFERROR(VLOOKUP(Таблицаx_2[[#This Row],[id]],prolongations!A:C,2,)," ")</f>
        <v>декабрь 2023</v>
      </c>
      <c r="I2391" s="10">
        <f>IF(Таблицаx_2[[#This Row],[Месяц окончания]]=Таблицаx_2[[#This Row],[Месяц]],Таблицаx_2[[#This Row],[Значения числа]],0)</f>
        <v>0</v>
      </c>
      <c r="J2391" s="8">
        <f>IF(AND(Таблицаx_2[[#This Row],[Месяц окончания]]=Таблицаx_2[[#This Row],[Месяц]],Таблицаx_2[[#This Row],[id]]=A2392,EDATE(Таблицаx_2[[#This Row],[Месяц]],1)=D2392),F2392,0)</f>
        <v>0</v>
      </c>
      <c r="K2391" s="8">
        <f>IF(AND(Таблицаx_2[[#This Row],[Месяц окончания]]=Таблицаx_2[[#This Row],[Месяц]],Таблицаx_2[[#This Row],[id]]=A2392,EDATE(Таблицаx_2[[#This Row],[Месяц]],2)=D2392),F2392,0)</f>
        <v>0</v>
      </c>
    </row>
    <row r="2392" spans="1:11" ht="12.75" hidden="1" customHeight="1" x14ac:dyDescent="0.2">
      <c r="A2392" s="8">
        <v>890</v>
      </c>
      <c r="B2392" s="8" t="s">
        <v>45</v>
      </c>
      <c r="C2392" s="8" t="s">
        <v>4</v>
      </c>
      <c r="D2392" s="12">
        <v>45323</v>
      </c>
      <c r="E2392" s="8">
        <v>42300</v>
      </c>
      <c r="F2392" s="10">
        <f>IF(ISTEXT(Таблицаx_2[[#This Row],[Значение]]), 0, Таблицаx_2[[#This Row],[Значение]])</f>
        <v>42300</v>
      </c>
      <c r="G2392" s="12">
        <v>45261</v>
      </c>
      <c r="H2392" s="10" t="str">
        <f>IFERROR(VLOOKUP(Таблицаx_2[[#This Row],[id]],prolongations!A:C,2,)," ")</f>
        <v>декабрь 2023</v>
      </c>
      <c r="I2392" s="10">
        <f>IF(Таблицаx_2[[#This Row],[Месяц окончания]]=Таблицаx_2[[#This Row],[Месяц]],Таблицаx_2[[#This Row],[Значения числа]],0)</f>
        <v>0</v>
      </c>
      <c r="J2392" s="8">
        <f>IF(AND(Таблицаx_2[[#This Row],[Месяц окончания]]=Таблицаx_2[[#This Row],[Месяц]],Таблицаx_2[[#This Row],[id]]=A2393,EDATE(Таблицаx_2[[#This Row],[Месяц]],1)=D2393),F2393,0)</f>
        <v>0</v>
      </c>
      <c r="K2392" s="8">
        <f>IF(AND(Таблицаx_2[[#This Row],[Месяц окончания]]=Таблицаx_2[[#This Row],[Месяц]],Таблицаx_2[[#This Row],[id]]=A2393,EDATE(Таблицаx_2[[#This Row],[Месяц]],2)=D2393),F2393,0)</f>
        <v>0</v>
      </c>
    </row>
    <row r="2393" spans="1:11" ht="12.75" hidden="1" customHeight="1" x14ac:dyDescent="0.2">
      <c r="A2393" s="8">
        <v>890</v>
      </c>
      <c r="B2393" s="8" t="s">
        <v>47</v>
      </c>
      <c r="C2393" s="8" t="s">
        <v>4</v>
      </c>
      <c r="D2393" s="12">
        <v>45108</v>
      </c>
      <c r="E2393" s="8">
        <v>38330</v>
      </c>
      <c r="F2393" s="10">
        <f>IF(ISTEXT(Таблицаx_2[[#This Row],[Значение]]), 0, Таблицаx_2[[#This Row],[Значение]])</f>
        <v>38330</v>
      </c>
      <c r="G2393" s="12">
        <v>45261</v>
      </c>
      <c r="H2393" s="10" t="str">
        <f>IFERROR(VLOOKUP(Таблицаx_2[[#This Row],[id]],prolongations!A:C,2,)," ")</f>
        <v>декабрь 2023</v>
      </c>
      <c r="I2393" s="10">
        <f>IF(Таблицаx_2[[#This Row],[Месяц окончания]]=Таблицаx_2[[#This Row],[Месяц]],Таблицаx_2[[#This Row],[Значения числа]],0)</f>
        <v>0</v>
      </c>
      <c r="J2393" s="8">
        <f>IF(AND(Таблицаx_2[[#This Row],[Месяц окончания]]=Таблицаx_2[[#This Row],[Месяц]],Таблицаx_2[[#This Row],[id]]=A2394,EDATE(Таблицаx_2[[#This Row],[Месяц]],1)=D2394),F2394,0)</f>
        <v>0</v>
      </c>
      <c r="K2393" s="8">
        <f>IF(AND(Таблицаx_2[[#This Row],[Месяц окончания]]=Таблицаx_2[[#This Row],[Месяц]],Таблицаx_2[[#This Row],[id]]=A2394,EDATE(Таблицаx_2[[#This Row],[Месяц]],2)=D2394),F2394,0)</f>
        <v>0</v>
      </c>
    </row>
    <row r="2394" spans="1:11" ht="12.75" hidden="1" customHeight="1" x14ac:dyDescent="0.2">
      <c r="A2394" s="8">
        <v>890</v>
      </c>
      <c r="B2394" s="8" t="s">
        <v>47</v>
      </c>
      <c r="C2394" s="8" t="s">
        <v>4</v>
      </c>
      <c r="D2394" s="12">
        <v>45139</v>
      </c>
      <c r="E2394" s="8">
        <v>40410</v>
      </c>
      <c r="F2394" s="10">
        <f>IF(ISTEXT(Таблицаx_2[[#This Row],[Значение]]), 0, Таблицаx_2[[#This Row],[Значение]])</f>
        <v>40410</v>
      </c>
      <c r="G2394" s="12">
        <v>45261</v>
      </c>
      <c r="H2394" s="10" t="str">
        <f>IFERROR(VLOOKUP(Таблицаx_2[[#This Row],[id]],prolongations!A:C,2,)," ")</f>
        <v>декабрь 2023</v>
      </c>
      <c r="I2394" s="10">
        <f>IF(Таблицаx_2[[#This Row],[Месяц окончания]]=Таблицаx_2[[#This Row],[Месяц]],Таблицаx_2[[#This Row],[Значения числа]],0)</f>
        <v>0</v>
      </c>
      <c r="J2394" s="8">
        <f>IF(AND(Таблицаx_2[[#This Row],[Месяц окончания]]=Таблицаx_2[[#This Row],[Месяц]],Таблицаx_2[[#This Row],[id]]=A2395,EDATE(Таблицаx_2[[#This Row],[Месяц]],1)=D2395),F2395,0)</f>
        <v>0</v>
      </c>
      <c r="K2394" s="8">
        <f>IF(AND(Таблицаx_2[[#This Row],[Месяц окончания]]=Таблицаx_2[[#This Row],[Месяц]],Таблицаx_2[[#This Row],[id]]=A2395,EDATE(Таблицаx_2[[#This Row],[Месяц]],2)=D2395),F2395,0)</f>
        <v>0</v>
      </c>
    </row>
    <row r="2395" spans="1:11" ht="12.75" hidden="1" customHeight="1" x14ac:dyDescent="0.2">
      <c r="A2395" s="8">
        <v>890</v>
      </c>
      <c r="B2395" s="8" t="s">
        <v>47</v>
      </c>
      <c r="C2395" s="8" t="s">
        <v>4</v>
      </c>
      <c r="D2395" s="12">
        <v>45170</v>
      </c>
      <c r="E2395" s="8">
        <v>58520</v>
      </c>
      <c r="F2395" s="10">
        <f>IF(ISTEXT(Таблицаx_2[[#This Row],[Значение]]), 0, Таблицаx_2[[#This Row],[Значение]])</f>
        <v>58520</v>
      </c>
      <c r="G2395" s="12">
        <v>45261</v>
      </c>
      <c r="H2395" s="10" t="str">
        <f>IFERROR(VLOOKUP(Таблицаx_2[[#This Row],[id]],prolongations!A:C,2,)," ")</f>
        <v>декабрь 2023</v>
      </c>
      <c r="I2395" s="10">
        <f>IF(Таблицаx_2[[#This Row],[Месяц окончания]]=Таблицаx_2[[#This Row],[Месяц]],Таблицаx_2[[#This Row],[Значения числа]],0)</f>
        <v>0</v>
      </c>
      <c r="J2395" s="8">
        <f>IF(AND(Таблицаx_2[[#This Row],[Месяц окончания]]=Таблицаx_2[[#This Row],[Месяц]],Таблицаx_2[[#This Row],[id]]=A2396,EDATE(Таблицаx_2[[#This Row],[Месяц]],1)=D2396),F2396,0)</f>
        <v>0</v>
      </c>
      <c r="K2395" s="8">
        <f>IF(AND(Таблицаx_2[[#This Row],[Месяц окончания]]=Таблицаx_2[[#This Row],[Месяц]],Таблицаx_2[[#This Row],[id]]=A2396,EDATE(Таблицаx_2[[#This Row],[Месяц]],2)=D2396),F2396,0)</f>
        <v>0</v>
      </c>
    </row>
    <row r="2396" spans="1:11" ht="12.75" hidden="1" customHeight="1" x14ac:dyDescent="0.2">
      <c r="A2396" s="8">
        <v>890</v>
      </c>
      <c r="B2396" s="8" t="s">
        <v>47</v>
      </c>
      <c r="C2396" s="8" t="s">
        <v>4</v>
      </c>
      <c r="D2396" s="12">
        <v>45200</v>
      </c>
      <c r="E2396" s="8">
        <v>34495</v>
      </c>
      <c r="F2396" s="10">
        <f>IF(ISTEXT(Таблицаx_2[[#This Row],[Значение]]), 0, Таблицаx_2[[#This Row],[Значение]])</f>
        <v>34495</v>
      </c>
      <c r="G2396" s="12">
        <v>45261</v>
      </c>
      <c r="H2396" s="10" t="str">
        <f>IFERROR(VLOOKUP(Таблицаx_2[[#This Row],[id]],prolongations!A:C,2,)," ")</f>
        <v>декабрь 2023</v>
      </c>
      <c r="I2396" s="10">
        <f>IF(Таблицаx_2[[#This Row],[Месяц окончания]]=Таблицаx_2[[#This Row],[Месяц]],Таблицаx_2[[#This Row],[Значения числа]],0)</f>
        <v>0</v>
      </c>
      <c r="J2396" s="8">
        <f>IF(AND(Таблицаx_2[[#This Row],[Месяц окончания]]=Таблицаx_2[[#This Row],[Месяц]],Таблицаx_2[[#This Row],[id]]=A2397,EDATE(Таблицаx_2[[#This Row],[Месяц]],1)=D2397),F2397,0)</f>
        <v>0</v>
      </c>
      <c r="K2396" s="8">
        <f>IF(AND(Таблицаx_2[[#This Row],[Месяц окончания]]=Таблицаx_2[[#This Row],[Месяц]],Таблицаx_2[[#This Row],[id]]=A2397,EDATE(Таблицаx_2[[#This Row],[Месяц]],2)=D2397),F2397,0)</f>
        <v>0</v>
      </c>
    </row>
    <row r="2397" spans="1:11" ht="12.75" hidden="1" customHeight="1" x14ac:dyDescent="0.2">
      <c r="A2397" s="8">
        <v>890</v>
      </c>
      <c r="B2397" s="8" t="s">
        <v>47</v>
      </c>
      <c r="C2397" s="8" t="s">
        <v>4</v>
      </c>
      <c r="D2397" s="12">
        <v>45231</v>
      </c>
      <c r="E2397" s="8">
        <v>33865</v>
      </c>
      <c r="F2397" s="10">
        <f>IF(ISTEXT(Таблицаx_2[[#This Row],[Значение]]), 0, Таблицаx_2[[#This Row],[Значение]])</f>
        <v>33865</v>
      </c>
      <c r="G2397" s="12">
        <v>45261</v>
      </c>
      <c r="H2397" s="10" t="str">
        <f>IFERROR(VLOOKUP(Таблицаx_2[[#This Row],[id]],prolongations!A:C,2,)," ")</f>
        <v>декабрь 2023</v>
      </c>
      <c r="I2397" s="10">
        <f>IF(Таблицаx_2[[#This Row],[Месяц окончания]]=Таблицаx_2[[#This Row],[Месяц]],Таблицаx_2[[#This Row],[Значения числа]],0)</f>
        <v>0</v>
      </c>
      <c r="J2397" s="8">
        <f>IF(AND(Таблицаx_2[[#This Row],[Месяц окончания]]=Таблицаx_2[[#This Row],[Месяц]],Таблицаx_2[[#This Row],[id]]=A2398,EDATE(Таблицаx_2[[#This Row],[Месяц]],1)=D2398),F2398,0)</f>
        <v>0</v>
      </c>
      <c r="K2397" s="8">
        <f>IF(AND(Таблицаx_2[[#This Row],[Месяц окончания]]=Таблицаx_2[[#This Row],[Месяц]],Таблицаx_2[[#This Row],[id]]=A2398,EDATE(Таблицаx_2[[#This Row],[Месяц]],2)=D2398),F2398,0)</f>
        <v>0</v>
      </c>
    </row>
    <row r="2398" spans="1:11" ht="12.75" hidden="1" customHeight="1" x14ac:dyDescent="0.2">
      <c r="A2398" s="8">
        <v>890</v>
      </c>
      <c r="B2398" s="8" t="s">
        <v>47</v>
      </c>
      <c r="C2398" s="8" t="s">
        <v>4</v>
      </c>
      <c r="D2398" s="12">
        <v>45261</v>
      </c>
      <c r="E2398" s="8">
        <v>45990</v>
      </c>
      <c r="F2398" s="10">
        <f>IF(ISTEXT(Таблицаx_2[[#This Row],[Значение]]), 0, Таблицаx_2[[#This Row],[Значение]])</f>
        <v>45990</v>
      </c>
      <c r="G2398" s="12">
        <v>45261</v>
      </c>
      <c r="H2398" s="10" t="str">
        <f>IFERROR(VLOOKUP(Таблицаx_2[[#This Row],[id]],prolongations!A:C,2,)," ")</f>
        <v>декабрь 2023</v>
      </c>
      <c r="I2398" s="10">
        <f>IF(Таблицаx_2[[#This Row],[Месяц окончания]]=Таблицаx_2[[#This Row],[Месяц]],Таблицаx_2[[#This Row],[Значения числа]],0)</f>
        <v>45990</v>
      </c>
      <c r="J2398" s="8">
        <f>IF(AND(Таблицаx_2[[#This Row],[Месяц окончания]]=Таблицаx_2[[#This Row],[Месяц]],Таблицаx_2[[#This Row],[id]]=A2399,EDATE(Таблицаx_2[[#This Row],[Месяц]],1)=D2399),F2399,0)</f>
        <v>86400</v>
      </c>
      <c r="K2398" s="8">
        <f>IF(AND(Таблицаx_2[[#This Row],[Месяц окончания]]=Таблицаx_2[[#This Row],[Месяц]],Таблицаx_2[[#This Row],[id]]=A2399,EDATE(Таблицаx_2[[#This Row],[Месяц]],2)=D2399),F2399,0)</f>
        <v>0</v>
      </c>
    </row>
    <row r="2399" spans="1:11" ht="12.75" hidden="1" customHeight="1" x14ac:dyDescent="0.2">
      <c r="A2399" s="8">
        <v>890</v>
      </c>
      <c r="B2399" s="8" t="s">
        <v>47</v>
      </c>
      <c r="C2399" s="8" t="s">
        <v>4</v>
      </c>
      <c r="D2399" s="12">
        <v>45292</v>
      </c>
      <c r="E2399" s="8">
        <v>86400</v>
      </c>
      <c r="F2399" s="10">
        <f>IF(ISTEXT(Таблицаx_2[[#This Row],[Значение]]), 0, Таблицаx_2[[#This Row],[Значение]])</f>
        <v>86400</v>
      </c>
      <c r="G2399" s="12">
        <v>45261</v>
      </c>
      <c r="H2399" s="10" t="str">
        <f>IFERROR(VLOOKUP(Таблицаx_2[[#This Row],[id]],prolongations!A:C,2,)," ")</f>
        <v>декабрь 2023</v>
      </c>
      <c r="I2399" s="10">
        <f>IF(Таблицаx_2[[#This Row],[Месяц окончания]]=Таблицаx_2[[#This Row],[Месяц]],Таблицаx_2[[#This Row],[Значения числа]],0)</f>
        <v>0</v>
      </c>
      <c r="J2399" s="8">
        <f>IF(AND(Таблицаx_2[[#This Row],[Месяц окончания]]=Таблицаx_2[[#This Row],[Месяц]],Таблицаx_2[[#This Row],[id]]=A2400,EDATE(Таблицаx_2[[#This Row],[Месяц]],1)=D2400),F2400,0)</f>
        <v>0</v>
      </c>
      <c r="K2399" s="8">
        <f>IF(AND(Таблицаx_2[[#This Row],[Месяц окончания]]=Таблицаx_2[[#This Row],[Месяц]],Таблицаx_2[[#This Row],[id]]=A2400,EDATE(Таблицаx_2[[#This Row],[Месяц]],2)=D2400),F2400,0)</f>
        <v>0</v>
      </c>
    </row>
    <row r="2400" spans="1:11" ht="12.75" hidden="1" customHeight="1" x14ac:dyDescent="0.2">
      <c r="A2400" s="8">
        <v>890</v>
      </c>
      <c r="B2400" s="8" t="s">
        <v>47</v>
      </c>
      <c r="C2400" s="8" t="s">
        <v>4</v>
      </c>
      <c r="D2400" s="12">
        <v>45323</v>
      </c>
      <c r="E2400" s="8">
        <v>126900</v>
      </c>
      <c r="F2400" s="10">
        <f>IF(ISTEXT(Таблицаx_2[[#This Row],[Значение]]), 0, Таблицаx_2[[#This Row],[Значение]])</f>
        <v>126900</v>
      </c>
      <c r="G2400" s="12">
        <v>45261</v>
      </c>
      <c r="H2400" s="10" t="str">
        <f>IFERROR(VLOOKUP(Таблицаx_2[[#This Row],[id]],prolongations!A:C,2,)," ")</f>
        <v>декабрь 2023</v>
      </c>
      <c r="I2400" s="10">
        <f>IF(Таблицаx_2[[#This Row],[Месяц окончания]]=Таблицаx_2[[#This Row],[Месяц]],Таблицаx_2[[#This Row],[Значения числа]],0)</f>
        <v>0</v>
      </c>
      <c r="J2400" s="8">
        <f>IF(AND(Таблицаx_2[[#This Row],[Месяц окончания]]=Таблицаx_2[[#This Row],[Месяц]],Таблицаx_2[[#This Row],[id]]=A2401,EDATE(Таблицаx_2[[#This Row],[Месяц]],1)=D2401),F2401,0)</f>
        <v>0</v>
      </c>
      <c r="K2400" s="8">
        <f>IF(AND(Таблицаx_2[[#This Row],[Месяц окончания]]=Таблицаx_2[[#This Row],[Месяц]],Таблицаx_2[[#This Row],[id]]=A2401,EDATE(Таблицаx_2[[#This Row],[Месяц]],2)=D2401),F2401,0)</f>
        <v>0</v>
      </c>
    </row>
    <row r="2401" spans="1:11" ht="12.75" customHeight="1" x14ac:dyDescent="0.2">
      <c r="A2401" s="8">
        <v>940</v>
      </c>
      <c r="B2401" s="8" t="s">
        <v>52</v>
      </c>
      <c r="C2401" s="8" t="s">
        <v>10</v>
      </c>
      <c r="D2401" s="12">
        <v>45139</v>
      </c>
      <c r="E2401" s="8">
        <v>40500</v>
      </c>
      <c r="F2401" s="10">
        <f>IF(ISTEXT(Таблицаx_2[[#This Row],[Значение]]), 0, Таблицаx_2[[#This Row],[Значение]])</f>
        <v>40500</v>
      </c>
      <c r="G2401" s="12">
        <v>45200</v>
      </c>
      <c r="H2401" s="10" t="str">
        <f>IFERROR(VLOOKUP(Таблицаx_2[[#This Row],[id]],prolongations!A:C,2,)," ")</f>
        <v>октябрь 2023</v>
      </c>
      <c r="I2401" s="10">
        <f>IF(Таблицаx_2[[#This Row],[Месяц окончания]]=Таблицаx_2[[#This Row],[Месяц]],Таблицаx_2[[#This Row],[Значения числа]],0)</f>
        <v>0</v>
      </c>
      <c r="J2401" s="8">
        <f>IF(AND(Таблицаx_2[[#This Row],[Месяц окончания]]=Таблицаx_2[[#This Row],[Месяц]],Таблицаx_2[[#This Row],[id]]=A2402,EDATE(Таблицаx_2[[#This Row],[Месяц]],1)=D2402),F2402,0)</f>
        <v>0</v>
      </c>
      <c r="K2401" s="8">
        <f>IF(AND(Таблицаx_2[[#This Row],[Месяц окончания]]=Таблицаx_2[[#This Row],[Месяц]],Таблицаx_2[[#This Row],[id]]=A2402,EDATE(Таблицаx_2[[#This Row],[Месяц]],2)=D2402),F2402,0)</f>
        <v>0</v>
      </c>
    </row>
    <row r="2402" spans="1:11" ht="12.75" customHeight="1" x14ac:dyDescent="0.2">
      <c r="A2402" s="8">
        <v>940</v>
      </c>
      <c r="B2402" s="8" t="s">
        <v>52</v>
      </c>
      <c r="C2402" s="8" t="s">
        <v>10</v>
      </c>
      <c r="D2402" s="12">
        <v>45200</v>
      </c>
      <c r="E2402" s="8">
        <v>41200</v>
      </c>
      <c r="F2402" s="10">
        <f>IF(ISTEXT(Таблицаx_2[[#This Row],[Значение]]), 0, Таблицаx_2[[#This Row],[Значение]])</f>
        <v>41200</v>
      </c>
      <c r="G2402" s="12">
        <v>45200</v>
      </c>
      <c r="H2402" s="10" t="str">
        <f>IFERROR(VLOOKUP(Таблицаx_2[[#This Row],[id]],prolongations!A:C,2,)," ")</f>
        <v>октябрь 2023</v>
      </c>
      <c r="I2402" s="10">
        <f>IF(Таблицаx_2[[#This Row],[Месяц окончания]]=Таблицаx_2[[#This Row],[Месяц]],Таблицаx_2[[#This Row],[Значения числа]],0)</f>
        <v>41200</v>
      </c>
      <c r="J2402" s="8">
        <f>IF(AND(Таблицаx_2[[#This Row],[Месяц окончания]]=Таблицаx_2[[#This Row],[Месяц]],Таблицаx_2[[#This Row],[id]]=A2403,EDATE(Таблицаx_2[[#This Row],[Месяц]],1)=D2403),F2403,0)</f>
        <v>0</v>
      </c>
      <c r="K2402" s="8">
        <f>IF(AND(Таблицаx_2[[#This Row],[Месяц окончания]]=Таблицаx_2[[#This Row],[Месяц]],Таблицаx_2[[#This Row],[id]]=A2403,EDATE(Таблицаx_2[[#This Row],[Месяц]],2)=D2403),F2403,0)</f>
        <v>41200</v>
      </c>
    </row>
    <row r="2403" spans="1:11" ht="12.75" customHeight="1" x14ac:dyDescent="0.2">
      <c r="A2403" s="8">
        <v>940</v>
      </c>
      <c r="B2403" s="8" t="s">
        <v>52</v>
      </c>
      <c r="C2403" s="8" t="s">
        <v>10</v>
      </c>
      <c r="D2403" s="12">
        <v>45261</v>
      </c>
      <c r="E2403" s="8">
        <v>41200</v>
      </c>
      <c r="F2403" s="10">
        <f>IF(ISTEXT(Таблицаx_2[[#This Row],[Значение]]), 0, Таблицаx_2[[#This Row],[Значение]])</f>
        <v>41200</v>
      </c>
      <c r="G2403" s="12">
        <v>45200</v>
      </c>
      <c r="H2403" s="10" t="str">
        <f>IFERROR(VLOOKUP(Таблицаx_2[[#This Row],[id]],prolongations!A:C,2,)," ")</f>
        <v>октябрь 2023</v>
      </c>
      <c r="I2403" s="10">
        <f>IF(Таблицаx_2[[#This Row],[Месяц окончания]]=Таблицаx_2[[#This Row],[Месяц]],Таблицаx_2[[#This Row],[Значения числа]],0)</f>
        <v>0</v>
      </c>
      <c r="J2403" s="8">
        <f>IF(AND(Таблицаx_2[[#This Row],[Месяц окончания]]=Таблицаx_2[[#This Row],[Месяц]],Таблицаx_2[[#This Row],[id]]=A2404,EDATE(Таблицаx_2[[#This Row],[Месяц]],1)=D2404),F2404,0)</f>
        <v>0</v>
      </c>
      <c r="K2403" s="8">
        <f>IF(AND(Таблицаx_2[[#This Row],[Месяц окончания]]=Таблицаx_2[[#This Row],[Месяц]],Таблицаx_2[[#This Row],[id]]=A2404,EDATE(Таблицаx_2[[#This Row],[Месяц]],2)=D2404),F2404,0)</f>
        <v>0</v>
      </c>
    </row>
    <row r="2404" spans="1:11" ht="12.75" customHeight="1" x14ac:dyDescent="0.2">
      <c r="A2404" s="8">
        <v>940</v>
      </c>
      <c r="B2404" s="8" t="s">
        <v>52</v>
      </c>
      <c r="C2404" s="8" t="s">
        <v>10</v>
      </c>
      <c r="D2404" s="12">
        <v>45323</v>
      </c>
      <c r="E2404" s="8">
        <v>41200</v>
      </c>
      <c r="F2404" s="10">
        <f>IF(ISTEXT(Таблицаx_2[[#This Row],[Значение]]), 0, Таблицаx_2[[#This Row],[Значение]])</f>
        <v>41200</v>
      </c>
      <c r="G2404" s="12">
        <v>45200</v>
      </c>
      <c r="H2404" s="10" t="str">
        <f>IFERROR(VLOOKUP(Таблицаx_2[[#This Row],[id]],prolongations!A:C,2,)," ")</f>
        <v>октябрь 2023</v>
      </c>
      <c r="I2404" s="10">
        <f>IF(Таблицаx_2[[#This Row],[Месяц окончания]]=Таблицаx_2[[#This Row],[Месяц]],Таблицаx_2[[#This Row],[Значения числа]],0)</f>
        <v>0</v>
      </c>
      <c r="J2404" s="8">
        <f>IF(AND(Таблицаx_2[[#This Row],[Месяц окончания]]=Таблицаx_2[[#This Row],[Месяц]],Таблицаx_2[[#This Row],[id]]=A2405,EDATE(Таблицаx_2[[#This Row],[Месяц]],1)=D2405),F2405,0)</f>
        <v>0</v>
      </c>
      <c r="K2404" s="8">
        <f>IF(AND(Таблицаx_2[[#This Row],[Месяц окончания]]=Таблицаx_2[[#This Row],[Месяц]],Таблицаx_2[[#This Row],[id]]=A2405,EDATE(Таблицаx_2[[#This Row],[Месяц]],2)=D2405),F2405,0)</f>
        <v>0</v>
      </c>
    </row>
    <row r="2405" spans="1:11" ht="12.75" customHeight="1" x14ac:dyDescent="0.2">
      <c r="A2405" s="8">
        <v>940</v>
      </c>
      <c r="B2405" s="8" t="s">
        <v>50</v>
      </c>
      <c r="C2405" s="8" t="s">
        <v>10</v>
      </c>
      <c r="D2405" s="12">
        <v>45200</v>
      </c>
      <c r="E2405" s="8">
        <v>20000</v>
      </c>
      <c r="F2405" s="10">
        <f>IF(ISTEXT(Таблицаx_2[[#This Row],[Значение]]), 0, Таблицаx_2[[#This Row],[Значение]])</f>
        <v>20000</v>
      </c>
      <c r="G2405" s="12">
        <v>45200</v>
      </c>
      <c r="H2405" s="10" t="str">
        <f>IFERROR(VLOOKUP(Таблицаx_2[[#This Row],[id]],prolongations!A:C,2,)," ")</f>
        <v>октябрь 2023</v>
      </c>
      <c r="I2405" s="10">
        <f>IF(Таблицаx_2[[#This Row],[Месяц окончания]]=Таблицаx_2[[#This Row],[Месяц]],Таблицаx_2[[#This Row],[Значения числа]],0)</f>
        <v>20000</v>
      </c>
      <c r="J2405" s="8">
        <f>IF(AND(Таблицаx_2[[#This Row],[Месяц окончания]]=Таблицаx_2[[#This Row],[Месяц]],Таблицаx_2[[#This Row],[id]]=A2406,EDATE(Таблицаx_2[[#This Row],[Месяц]],1)=D2406),F2406,0)</f>
        <v>79655</v>
      </c>
      <c r="K2405" s="8">
        <f>IF(AND(Таблицаx_2[[#This Row],[Месяц окончания]]=Таблицаx_2[[#This Row],[Месяц]],Таблицаx_2[[#This Row],[id]]=A2406,EDATE(Таблицаx_2[[#This Row],[Месяц]],2)=D2406),F2406,0)</f>
        <v>0</v>
      </c>
    </row>
    <row r="2406" spans="1:11" ht="12.75" customHeight="1" x14ac:dyDescent="0.2">
      <c r="A2406" s="8">
        <v>940</v>
      </c>
      <c r="B2406" s="8" t="s">
        <v>50</v>
      </c>
      <c r="C2406" s="8" t="s">
        <v>10</v>
      </c>
      <c r="D2406" s="12">
        <v>45231</v>
      </c>
      <c r="E2406" s="8">
        <v>79655</v>
      </c>
      <c r="F2406" s="10">
        <f>IF(ISTEXT(Таблицаx_2[[#This Row],[Значение]]), 0, Таблицаx_2[[#This Row],[Значение]])</f>
        <v>79655</v>
      </c>
      <c r="G2406" s="12">
        <v>45200</v>
      </c>
      <c r="H2406" s="10" t="str">
        <f>IFERROR(VLOOKUP(Таблицаx_2[[#This Row],[id]],prolongations!A:C,2,)," ")</f>
        <v>октябрь 2023</v>
      </c>
      <c r="I2406" s="10">
        <f>IF(Таблицаx_2[[#This Row],[Месяц окончания]]=Таблицаx_2[[#This Row],[Месяц]],Таблицаx_2[[#This Row],[Значения числа]],0)</f>
        <v>0</v>
      </c>
      <c r="J2406" s="8">
        <f>IF(AND(Таблицаx_2[[#This Row],[Месяц окончания]]=Таблицаx_2[[#This Row],[Месяц]],Таблицаx_2[[#This Row],[id]]=A2407,EDATE(Таблицаx_2[[#This Row],[Месяц]],1)=D2407),F2407,0)</f>
        <v>0</v>
      </c>
      <c r="K2406" s="8">
        <f>IF(AND(Таблицаx_2[[#This Row],[Месяц окончания]]=Таблицаx_2[[#This Row],[Месяц]],Таблицаx_2[[#This Row],[id]]=A2407,EDATE(Таблицаx_2[[#This Row],[Месяц]],2)=D2407),F2407,0)</f>
        <v>0</v>
      </c>
    </row>
    <row r="2407" spans="1:11" ht="12.75" customHeight="1" x14ac:dyDescent="0.2">
      <c r="A2407" s="8">
        <v>940</v>
      </c>
      <c r="B2407" s="8" t="s">
        <v>50</v>
      </c>
      <c r="C2407" s="8" t="s">
        <v>10</v>
      </c>
      <c r="D2407" s="12">
        <v>45261</v>
      </c>
      <c r="E2407" s="8">
        <v>62093.3</v>
      </c>
      <c r="F2407" s="10">
        <f>IF(ISTEXT(Таблицаx_2[[#This Row],[Значение]]), 0, Таблицаx_2[[#This Row],[Значение]])</f>
        <v>62093.3</v>
      </c>
      <c r="G2407" s="12">
        <v>45200</v>
      </c>
      <c r="H2407" s="10" t="str">
        <f>IFERROR(VLOOKUP(Таблицаx_2[[#This Row],[id]],prolongations!A:C,2,)," ")</f>
        <v>октябрь 2023</v>
      </c>
      <c r="I2407" s="10">
        <f>IF(Таблицаx_2[[#This Row],[Месяц окончания]]=Таблицаx_2[[#This Row],[Месяц]],Таблицаx_2[[#This Row],[Значения числа]],0)</f>
        <v>0</v>
      </c>
      <c r="J2407" s="8">
        <f>IF(AND(Таблицаx_2[[#This Row],[Месяц окончания]]=Таблицаx_2[[#This Row],[Месяц]],Таблицаx_2[[#This Row],[id]]=A2408,EDATE(Таблицаx_2[[#This Row],[Месяц]],1)=D2408),F2408,0)</f>
        <v>0</v>
      </c>
      <c r="K2407" s="8">
        <f>IF(AND(Таблицаx_2[[#This Row],[Месяц окончания]]=Таблицаx_2[[#This Row],[Месяц]],Таблицаx_2[[#This Row],[id]]=A2408,EDATE(Таблицаx_2[[#This Row],[Месяц]],2)=D2408),F2408,0)</f>
        <v>0</v>
      </c>
    </row>
    <row r="2408" spans="1:11" ht="12.75" customHeight="1" x14ac:dyDescent="0.2">
      <c r="A2408" s="8">
        <v>940</v>
      </c>
      <c r="B2408" s="8" t="s">
        <v>50</v>
      </c>
      <c r="C2408" s="8" t="s">
        <v>10</v>
      </c>
      <c r="D2408" s="12">
        <v>45292</v>
      </c>
      <c r="E2408" s="8">
        <v>61093.3</v>
      </c>
      <c r="F2408" s="10">
        <f>IF(ISTEXT(Таблицаx_2[[#This Row],[Значение]]), 0, Таблицаx_2[[#This Row],[Значение]])</f>
        <v>61093.3</v>
      </c>
      <c r="G2408" s="12">
        <v>45200</v>
      </c>
      <c r="H2408" s="10" t="str">
        <f>IFERROR(VLOOKUP(Таблицаx_2[[#This Row],[id]],prolongations!A:C,2,)," ")</f>
        <v>октябрь 2023</v>
      </c>
      <c r="I2408" s="10">
        <f>IF(Таблицаx_2[[#This Row],[Месяц окончания]]=Таблицаx_2[[#This Row],[Месяц]],Таблицаx_2[[#This Row],[Значения числа]],0)</f>
        <v>0</v>
      </c>
      <c r="J2408" s="8">
        <f>IF(AND(Таблицаx_2[[#This Row],[Месяц окончания]]=Таблицаx_2[[#This Row],[Месяц]],Таблицаx_2[[#This Row],[id]]=A2409,EDATE(Таблицаx_2[[#This Row],[Месяц]],1)=D2409),F2409,0)</f>
        <v>0</v>
      </c>
      <c r="K2408" s="8">
        <f>IF(AND(Таблицаx_2[[#This Row],[Месяц окончания]]=Таблицаx_2[[#This Row],[Месяц]],Таблицаx_2[[#This Row],[id]]=A2409,EDATE(Таблицаx_2[[#This Row],[Месяц]],2)=D2409),F2409,0)</f>
        <v>0</v>
      </c>
    </row>
    <row r="2409" spans="1:11" ht="12.75" customHeight="1" x14ac:dyDescent="0.2">
      <c r="A2409" s="8">
        <v>940</v>
      </c>
      <c r="B2409" s="8" t="s">
        <v>50</v>
      </c>
      <c r="C2409" s="8" t="s">
        <v>10</v>
      </c>
      <c r="D2409" s="12">
        <v>45323</v>
      </c>
      <c r="E2409" s="8">
        <v>61335</v>
      </c>
      <c r="F2409" s="10">
        <f>IF(ISTEXT(Таблицаx_2[[#This Row],[Значение]]), 0, Таблицаx_2[[#This Row],[Значение]])</f>
        <v>61335</v>
      </c>
      <c r="G2409" s="12">
        <v>45200</v>
      </c>
      <c r="H2409" s="10" t="str">
        <f>IFERROR(VLOOKUP(Таблицаx_2[[#This Row],[id]],prolongations!A:C,2,)," ")</f>
        <v>октябрь 2023</v>
      </c>
      <c r="I2409" s="10">
        <f>IF(Таблицаx_2[[#This Row],[Месяц окончания]]=Таблицаx_2[[#This Row],[Месяц]],Таблицаx_2[[#This Row],[Значения числа]],0)</f>
        <v>0</v>
      </c>
      <c r="J2409" s="8">
        <f>IF(AND(Таблицаx_2[[#This Row],[Месяц окончания]]=Таблицаx_2[[#This Row],[Месяц]],Таблицаx_2[[#This Row],[id]]=A2410,EDATE(Таблицаx_2[[#This Row],[Месяц]],1)=D2410),F2410,0)</f>
        <v>0</v>
      </c>
      <c r="K2409" s="8">
        <f>IF(AND(Таблицаx_2[[#This Row],[Месяц окончания]]=Таблицаx_2[[#This Row],[Месяц]],Таблицаx_2[[#This Row],[id]]=A2410,EDATE(Таблицаx_2[[#This Row],[Месяц]],2)=D2410),F2410,0)</f>
        <v>0</v>
      </c>
    </row>
    <row r="2410" spans="1:11" ht="12.75" customHeight="1" x14ac:dyDescent="0.2">
      <c r="A2410" s="8">
        <v>941</v>
      </c>
      <c r="B2410" s="8"/>
      <c r="C2410" s="8" t="s">
        <v>10</v>
      </c>
      <c r="D2410" s="12">
        <v>45139</v>
      </c>
      <c r="E2410" s="8">
        <v>26200</v>
      </c>
      <c r="F2410" s="10">
        <f>IF(ISTEXT(Таблицаx_2[[#This Row],[Значение]]), 0, Таблицаx_2[[#This Row],[Значение]])</f>
        <v>26200</v>
      </c>
      <c r="G2410" s="12">
        <v>45200</v>
      </c>
      <c r="H2410" s="10" t="str">
        <f>IFERROR(VLOOKUP(Таблицаx_2[[#This Row],[id]],prolongations!A:C,2,)," ")</f>
        <v>октябрь 2023</v>
      </c>
      <c r="I2410" s="10">
        <f>IF(Таблицаx_2[[#This Row],[Месяц окончания]]=Таблицаx_2[[#This Row],[Месяц]],Таблицаx_2[[#This Row],[Значения числа]],0)</f>
        <v>0</v>
      </c>
      <c r="J2410" s="8">
        <f>IF(AND(Таблицаx_2[[#This Row],[Месяц окончания]]=Таблицаx_2[[#This Row],[Месяц]],Таблицаx_2[[#This Row],[id]]=A2411,EDATE(Таблицаx_2[[#This Row],[Месяц]],1)=D2411),F2411,0)</f>
        <v>0</v>
      </c>
      <c r="K2410" s="8">
        <f>IF(AND(Таблицаx_2[[#This Row],[Месяц окончания]]=Таблицаx_2[[#This Row],[Месяц]],Таблицаx_2[[#This Row],[id]]=A2411,EDATE(Таблицаx_2[[#This Row],[Месяц]],2)=D2411),F2411,0)</f>
        <v>0</v>
      </c>
    </row>
    <row r="2411" spans="1:11" ht="12.75" customHeight="1" x14ac:dyDescent="0.2">
      <c r="A2411" s="8">
        <v>941</v>
      </c>
      <c r="B2411" s="8"/>
      <c r="C2411" s="8" t="s">
        <v>10</v>
      </c>
      <c r="D2411" s="12">
        <v>45200</v>
      </c>
      <c r="E2411" s="8">
        <v>26200</v>
      </c>
      <c r="F2411" s="10">
        <f>IF(ISTEXT(Таблицаx_2[[#This Row],[Значение]]), 0, Таблицаx_2[[#This Row],[Значение]])</f>
        <v>26200</v>
      </c>
      <c r="G2411" s="12">
        <v>45200</v>
      </c>
      <c r="H2411" s="10" t="str">
        <f>IFERROR(VLOOKUP(Таблицаx_2[[#This Row],[id]],prolongations!A:C,2,)," ")</f>
        <v>октябрь 2023</v>
      </c>
      <c r="I2411" s="10">
        <f>IF(Таблицаx_2[[#This Row],[Месяц окончания]]=Таблицаx_2[[#This Row],[Месяц]],Таблицаx_2[[#This Row],[Значения числа]],0)</f>
        <v>26200</v>
      </c>
      <c r="J2411" s="8">
        <f>IF(AND(Таблицаx_2[[#This Row],[Месяц окончания]]=Таблицаx_2[[#This Row],[Месяц]],Таблицаx_2[[#This Row],[id]]=A2412,EDATE(Таблицаx_2[[#This Row],[Месяц]],1)=D2412),F2412,0)</f>
        <v>0</v>
      </c>
      <c r="K2411" s="8">
        <f>IF(AND(Таблицаx_2[[#This Row],[Месяц окончания]]=Таблицаx_2[[#This Row],[Месяц]],Таблицаx_2[[#This Row],[id]]=A2412,EDATE(Таблицаx_2[[#This Row],[Месяц]],2)=D2412),F2412,0)</f>
        <v>26900</v>
      </c>
    </row>
    <row r="2412" spans="1:11" ht="12.75" customHeight="1" x14ac:dyDescent="0.2">
      <c r="A2412" s="8">
        <v>941</v>
      </c>
      <c r="B2412" s="8"/>
      <c r="C2412" s="8" t="s">
        <v>10</v>
      </c>
      <c r="D2412" s="12">
        <v>45261</v>
      </c>
      <c r="E2412" s="8">
        <v>26900</v>
      </c>
      <c r="F2412" s="10">
        <f>IF(ISTEXT(Таблицаx_2[[#This Row],[Значение]]), 0, Таблицаx_2[[#This Row],[Значение]])</f>
        <v>26900</v>
      </c>
      <c r="G2412" s="12">
        <v>45200</v>
      </c>
      <c r="H2412" s="10" t="str">
        <f>IFERROR(VLOOKUP(Таблицаx_2[[#This Row],[id]],prolongations!A:C,2,)," ")</f>
        <v>октябрь 2023</v>
      </c>
      <c r="I2412" s="10">
        <f>IF(Таблицаx_2[[#This Row],[Месяц окончания]]=Таблицаx_2[[#This Row],[Месяц]],Таблицаx_2[[#This Row],[Значения числа]],0)</f>
        <v>0</v>
      </c>
      <c r="J2412" s="8">
        <f>IF(AND(Таблицаx_2[[#This Row],[Месяц окончания]]=Таблицаx_2[[#This Row],[Месяц]],Таблицаx_2[[#This Row],[id]]=A2413,EDATE(Таблицаx_2[[#This Row],[Месяц]],1)=D2413),F2413,0)</f>
        <v>0</v>
      </c>
      <c r="K2412" s="8">
        <f>IF(AND(Таблицаx_2[[#This Row],[Месяц окончания]]=Таблицаx_2[[#This Row],[Месяц]],Таблицаx_2[[#This Row],[id]]=A2413,EDATE(Таблицаx_2[[#This Row],[Месяц]],2)=D2413),F2413,0)</f>
        <v>0</v>
      </c>
    </row>
    <row r="2413" spans="1:11" ht="12.75" customHeight="1" x14ac:dyDescent="0.2">
      <c r="A2413" s="8">
        <v>941</v>
      </c>
      <c r="B2413" s="8"/>
      <c r="C2413" s="8" t="s">
        <v>10</v>
      </c>
      <c r="D2413" s="12">
        <v>45323</v>
      </c>
      <c r="E2413" s="8">
        <v>26900</v>
      </c>
      <c r="F2413" s="10">
        <f>IF(ISTEXT(Таблицаx_2[[#This Row],[Значение]]), 0, Таблицаx_2[[#This Row],[Значение]])</f>
        <v>26900</v>
      </c>
      <c r="G2413" s="12">
        <v>45200</v>
      </c>
      <c r="H2413" s="10" t="str">
        <f>IFERROR(VLOOKUP(Таблицаx_2[[#This Row],[id]],prolongations!A:C,2,)," ")</f>
        <v>октябрь 2023</v>
      </c>
      <c r="I2413" s="10">
        <f>IF(Таблицаx_2[[#This Row],[Месяц окончания]]=Таблицаx_2[[#This Row],[Месяц]],Таблицаx_2[[#This Row],[Значения числа]],0)</f>
        <v>0</v>
      </c>
      <c r="J2413" s="8">
        <f>IF(AND(Таблицаx_2[[#This Row],[Месяц окончания]]=Таблицаx_2[[#This Row],[Месяц]],Таблицаx_2[[#This Row],[id]]=A2414,EDATE(Таблицаx_2[[#This Row],[Месяц]],1)=D2414),F2414,0)</f>
        <v>0</v>
      </c>
      <c r="K2413" s="8">
        <f>IF(AND(Таблицаx_2[[#This Row],[Месяц окончания]]=Таблицаx_2[[#This Row],[Месяц]],Таблицаx_2[[#This Row],[id]]=A2414,EDATE(Таблицаx_2[[#This Row],[Месяц]],2)=D2414),F2414,0)</f>
        <v>0</v>
      </c>
    </row>
    <row r="2414" spans="1:11" ht="12.75" hidden="1" customHeight="1" x14ac:dyDescent="0.2">
      <c r="A2414" s="8">
        <v>471</v>
      </c>
      <c r="B2414" s="8" t="s">
        <v>45</v>
      </c>
      <c r="C2414" s="8" t="s">
        <v>4</v>
      </c>
      <c r="D2414" s="12">
        <v>44866</v>
      </c>
      <c r="E2414" s="8">
        <v>89185.11</v>
      </c>
      <c r="F2414" s="10">
        <f>IF(ISTEXT(Таблицаx_2[[#This Row],[Значение]]), 0, Таблицаx_2[[#This Row],[Значение]])</f>
        <v>89185.11</v>
      </c>
      <c r="G2414" s="12">
        <v>44896</v>
      </c>
      <c r="H2414" s="10" t="str">
        <f>IFERROR(VLOOKUP(Таблицаx_2[[#This Row],[id]],prolongations!A:C,2,)," ")</f>
        <v>декабрь 2022</v>
      </c>
      <c r="I2414" s="10">
        <f>IF(Таблицаx_2[[#This Row],[Месяц окончания]]=Таблицаx_2[[#This Row],[Месяц]],Таблицаx_2[[#This Row],[Значения числа]],0)</f>
        <v>0</v>
      </c>
      <c r="J2414" s="8">
        <f>IF(AND(Таблицаx_2[[#This Row],[Месяц окончания]]=Таблицаx_2[[#This Row],[Месяц]],Таблицаx_2[[#This Row],[id]]=A2415,EDATE(Таблицаx_2[[#This Row],[Месяц]],1)=D2415),F2415,0)</f>
        <v>0</v>
      </c>
      <c r="K2414" s="8">
        <f>IF(AND(Таблицаx_2[[#This Row],[Месяц окончания]]=Таблицаx_2[[#This Row],[Месяц]],Таблицаx_2[[#This Row],[id]]=A2415,EDATE(Таблицаx_2[[#This Row],[Месяц]],2)=D2415),F2415,0)</f>
        <v>0</v>
      </c>
    </row>
    <row r="2415" spans="1:11" hidden="1" x14ac:dyDescent="0.2">
      <c r="A2415" s="8">
        <v>471</v>
      </c>
      <c r="B2415" s="8" t="s">
        <v>45</v>
      </c>
      <c r="C2415" s="8" t="s">
        <v>4</v>
      </c>
      <c r="D2415" s="12">
        <v>44896</v>
      </c>
      <c r="E2415" s="8">
        <v>74986.179999999993</v>
      </c>
      <c r="F2415" s="10">
        <f>IF(ISTEXT(Таблицаx_2[[#This Row],[Значение]]), 0, Таблицаx_2[[#This Row],[Значение]])</f>
        <v>74986.179999999993</v>
      </c>
      <c r="G2415" s="12">
        <v>44896</v>
      </c>
      <c r="H2415" s="10" t="str">
        <f>IFERROR(VLOOKUP(Таблицаx_2[[#This Row],[id]],prolongations!A:C,2,)," ")</f>
        <v>декабрь 2022</v>
      </c>
      <c r="I2415" s="10">
        <f>IF(Таблицаx_2[[#This Row],[Месяц окончания]]=Таблицаx_2[[#This Row],[Месяц]],Таблицаx_2[[#This Row],[Значения числа]],0)</f>
        <v>74986.179999999993</v>
      </c>
      <c r="J2415" s="8">
        <f>IF(AND(Таблицаx_2[[#This Row],[Месяц окончания]]=Таблицаx_2[[#This Row],[Месяц]],Таблицаx_2[[#This Row],[id]]=A2416,EDATE(Таблицаx_2[[#This Row],[Месяц]],1)=D2416),F2416,0)</f>
        <v>63305.1</v>
      </c>
      <c r="K2415" s="8">
        <f>IF(AND(Таблицаx_2[[#This Row],[Месяц окончания]]=Таблицаx_2[[#This Row],[Месяц]],Таблицаx_2[[#This Row],[id]]=A2416,EDATE(Таблицаx_2[[#This Row],[Месяц]],2)=D2416),F2416,0)</f>
        <v>0</v>
      </c>
    </row>
    <row r="2416" spans="1:11" ht="12.75" hidden="1" customHeight="1" x14ac:dyDescent="0.2">
      <c r="A2416" s="8">
        <v>471</v>
      </c>
      <c r="B2416" s="8" t="s">
        <v>45</v>
      </c>
      <c r="C2416" s="8" t="s">
        <v>4</v>
      </c>
      <c r="D2416" s="12">
        <v>44927</v>
      </c>
      <c r="E2416" s="8">
        <v>63305.1</v>
      </c>
      <c r="F2416" s="10">
        <f>IF(ISTEXT(Таблицаx_2[[#This Row],[Значение]]), 0, Таблицаx_2[[#This Row],[Значение]])</f>
        <v>63305.1</v>
      </c>
      <c r="G2416" s="12">
        <v>44896</v>
      </c>
      <c r="H2416" s="10" t="str">
        <f>IFERROR(VLOOKUP(Таблицаx_2[[#This Row],[id]],prolongations!A:C,2,)," ")</f>
        <v>декабрь 2022</v>
      </c>
      <c r="I2416" s="10">
        <f>IF(Таблицаx_2[[#This Row],[Месяц окончания]]=Таблицаx_2[[#This Row],[Месяц]],Таблицаx_2[[#This Row],[Значения числа]],0)</f>
        <v>0</v>
      </c>
      <c r="J2416" s="8">
        <f>IF(AND(Таблицаx_2[[#This Row],[Месяц окончания]]=Таблицаx_2[[#This Row],[Месяц]],Таблицаx_2[[#This Row],[id]]=A2417,EDATE(Таблицаx_2[[#This Row],[Месяц]],1)=D2417),F2417,0)</f>
        <v>0</v>
      </c>
      <c r="K2416" s="8">
        <f>IF(AND(Таблицаx_2[[#This Row],[Месяц окончания]]=Таблицаx_2[[#This Row],[Месяц]],Таблицаx_2[[#This Row],[id]]=A2417,EDATE(Таблицаx_2[[#This Row],[Месяц]],2)=D2417),F2417,0)</f>
        <v>0</v>
      </c>
    </row>
    <row r="2417" spans="1:11" ht="12.75" hidden="1" customHeight="1" x14ac:dyDescent="0.2">
      <c r="A2417" s="8">
        <v>471</v>
      </c>
      <c r="B2417" s="8" t="s">
        <v>45</v>
      </c>
      <c r="C2417" s="8" t="s">
        <v>4</v>
      </c>
      <c r="D2417" s="12">
        <v>44958</v>
      </c>
      <c r="E2417" s="8">
        <v>69513.19</v>
      </c>
      <c r="F2417" s="10">
        <f>IF(ISTEXT(Таблицаx_2[[#This Row],[Значение]]), 0, Таблицаx_2[[#This Row],[Значение]])</f>
        <v>69513.19</v>
      </c>
      <c r="G2417" s="12">
        <v>44896</v>
      </c>
      <c r="H2417" s="10" t="str">
        <f>IFERROR(VLOOKUP(Таблицаx_2[[#This Row],[id]],prolongations!A:C,2,)," ")</f>
        <v>декабрь 2022</v>
      </c>
      <c r="I2417" s="10">
        <f>IF(Таблицаx_2[[#This Row],[Месяц окончания]]=Таблицаx_2[[#This Row],[Месяц]],Таблицаx_2[[#This Row],[Значения числа]],0)</f>
        <v>0</v>
      </c>
      <c r="J2417" s="8">
        <f>IF(AND(Таблицаx_2[[#This Row],[Месяц окончания]]=Таблицаx_2[[#This Row],[Месяц]],Таблицаx_2[[#This Row],[id]]=A2418,EDATE(Таблицаx_2[[#This Row],[Месяц]],1)=D2418),F2418,0)</f>
        <v>0</v>
      </c>
      <c r="K2417" s="8">
        <f>IF(AND(Таблицаx_2[[#This Row],[Месяц окончания]]=Таблицаx_2[[#This Row],[Месяц]],Таблицаx_2[[#This Row],[id]]=A2418,EDATE(Таблицаx_2[[#This Row],[Месяц]],2)=D2418),F2418,0)</f>
        <v>0</v>
      </c>
    </row>
    <row r="2418" spans="1:11" ht="12.75" hidden="1" customHeight="1" x14ac:dyDescent="0.2">
      <c r="A2418" s="8">
        <v>471</v>
      </c>
      <c r="B2418" s="8" t="s">
        <v>45</v>
      </c>
      <c r="C2418" s="8" t="s">
        <v>4</v>
      </c>
      <c r="D2418" s="12">
        <v>44986</v>
      </c>
      <c r="E2418" s="8">
        <v>75127.44</v>
      </c>
      <c r="F2418" s="10">
        <f>IF(ISTEXT(Таблицаx_2[[#This Row],[Значение]]), 0, Таблицаx_2[[#This Row],[Значение]])</f>
        <v>75127.44</v>
      </c>
      <c r="G2418" s="12">
        <v>44896</v>
      </c>
      <c r="H2418" s="10" t="str">
        <f>IFERROR(VLOOKUP(Таблицаx_2[[#This Row],[id]],prolongations!A:C,2,)," ")</f>
        <v>декабрь 2022</v>
      </c>
      <c r="I2418" s="10">
        <f>IF(Таблицаx_2[[#This Row],[Месяц окончания]]=Таблицаx_2[[#This Row],[Месяц]],Таблицаx_2[[#This Row],[Значения числа]],0)</f>
        <v>0</v>
      </c>
      <c r="J2418" s="8">
        <f>IF(AND(Таблицаx_2[[#This Row],[Месяц окончания]]=Таблицаx_2[[#This Row],[Месяц]],Таблицаx_2[[#This Row],[id]]=A2419,EDATE(Таблицаx_2[[#This Row],[Месяц]],1)=D2419),F2419,0)</f>
        <v>0</v>
      </c>
      <c r="K2418" s="8">
        <f>IF(AND(Таблицаx_2[[#This Row],[Месяц окончания]]=Таблицаx_2[[#This Row],[Месяц]],Таблицаx_2[[#This Row],[id]]=A2419,EDATE(Таблицаx_2[[#This Row],[Месяц]],2)=D2419),F2419,0)</f>
        <v>0</v>
      </c>
    </row>
    <row r="2419" spans="1:11" ht="12.75" hidden="1" customHeight="1" x14ac:dyDescent="0.2">
      <c r="A2419" s="8">
        <v>471</v>
      </c>
      <c r="B2419" s="8" t="s">
        <v>45</v>
      </c>
      <c r="C2419" s="8" t="s">
        <v>4</v>
      </c>
      <c r="D2419" s="12">
        <v>45017</v>
      </c>
      <c r="E2419" s="8">
        <v>100518.83</v>
      </c>
      <c r="F2419" s="10">
        <f>IF(ISTEXT(Таблицаx_2[[#This Row],[Значение]]), 0, Таблицаx_2[[#This Row],[Значение]])</f>
        <v>100518.83</v>
      </c>
      <c r="G2419" s="12">
        <v>44896</v>
      </c>
      <c r="H2419" s="10" t="str">
        <f>IFERROR(VLOOKUP(Таблицаx_2[[#This Row],[id]],prolongations!A:C,2,)," ")</f>
        <v>декабрь 2022</v>
      </c>
      <c r="I2419" s="10">
        <f>IF(Таблицаx_2[[#This Row],[Месяц окончания]]=Таблицаx_2[[#This Row],[Месяц]],Таблицаx_2[[#This Row],[Значения числа]],0)</f>
        <v>0</v>
      </c>
      <c r="J2419" s="8">
        <f>IF(AND(Таблицаx_2[[#This Row],[Месяц окончания]]=Таблицаx_2[[#This Row],[Месяц]],Таблицаx_2[[#This Row],[id]]=A2420,EDATE(Таблицаx_2[[#This Row],[Месяц]],1)=D2420),F2420,0)</f>
        <v>0</v>
      </c>
      <c r="K2419" s="8">
        <f>IF(AND(Таблицаx_2[[#This Row],[Месяц окончания]]=Таблицаx_2[[#This Row],[Месяц]],Таблицаx_2[[#This Row],[id]]=A2420,EDATE(Таблицаx_2[[#This Row],[Месяц]],2)=D2420),F2420,0)</f>
        <v>0</v>
      </c>
    </row>
    <row r="2420" spans="1:11" ht="12.75" hidden="1" customHeight="1" x14ac:dyDescent="0.2">
      <c r="A2420" s="8">
        <v>471</v>
      </c>
      <c r="B2420" s="8" t="s">
        <v>45</v>
      </c>
      <c r="C2420" s="8" t="s">
        <v>4</v>
      </c>
      <c r="D2420" s="12">
        <v>45047</v>
      </c>
      <c r="E2420" s="8">
        <v>91826.81</v>
      </c>
      <c r="F2420" s="10">
        <f>IF(ISTEXT(Таблицаx_2[[#This Row],[Значение]]), 0, Таблицаx_2[[#This Row],[Значение]])</f>
        <v>91826.81</v>
      </c>
      <c r="G2420" s="12">
        <v>44896</v>
      </c>
      <c r="H2420" s="10" t="str">
        <f>IFERROR(VLOOKUP(Таблицаx_2[[#This Row],[id]],prolongations!A:C,2,)," ")</f>
        <v>декабрь 2022</v>
      </c>
      <c r="I2420" s="10">
        <f>IF(Таблицаx_2[[#This Row],[Месяц окончания]]=Таблицаx_2[[#This Row],[Месяц]],Таблицаx_2[[#This Row],[Значения числа]],0)</f>
        <v>0</v>
      </c>
      <c r="J2420" s="8">
        <f>IF(AND(Таблицаx_2[[#This Row],[Месяц окончания]]=Таблицаx_2[[#This Row],[Месяц]],Таблицаx_2[[#This Row],[id]]=A2421,EDATE(Таблицаx_2[[#This Row],[Месяц]],1)=D2421),F2421,0)</f>
        <v>0</v>
      </c>
      <c r="K2420" s="8">
        <f>IF(AND(Таблицаx_2[[#This Row],[Месяц окончания]]=Таблицаx_2[[#This Row],[Месяц]],Таблицаx_2[[#This Row],[id]]=A2421,EDATE(Таблицаx_2[[#This Row],[Месяц]],2)=D2421),F2421,0)</f>
        <v>0</v>
      </c>
    </row>
    <row r="2421" spans="1:11" ht="12.75" hidden="1" customHeight="1" x14ac:dyDescent="0.2">
      <c r="A2421" s="8">
        <v>471</v>
      </c>
      <c r="B2421" s="8" t="s">
        <v>45</v>
      </c>
      <c r="C2421" s="8" t="s">
        <v>4</v>
      </c>
      <c r="D2421" s="12">
        <v>45078</v>
      </c>
      <c r="E2421" s="8">
        <v>103176.17</v>
      </c>
      <c r="F2421" s="10">
        <f>IF(ISTEXT(Таблицаx_2[[#This Row],[Значение]]), 0, Таблицаx_2[[#This Row],[Значение]])</f>
        <v>103176.17</v>
      </c>
      <c r="G2421" s="12">
        <v>44896</v>
      </c>
      <c r="H2421" s="10" t="str">
        <f>IFERROR(VLOOKUP(Таблицаx_2[[#This Row],[id]],prolongations!A:C,2,)," ")</f>
        <v>декабрь 2022</v>
      </c>
      <c r="I2421" s="10">
        <f>IF(Таблицаx_2[[#This Row],[Месяц окончания]]=Таблицаx_2[[#This Row],[Месяц]],Таблицаx_2[[#This Row],[Значения числа]],0)</f>
        <v>0</v>
      </c>
      <c r="J2421" s="8">
        <f>IF(AND(Таблицаx_2[[#This Row],[Месяц окончания]]=Таблицаx_2[[#This Row],[Месяц]],Таблицаx_2[[#This Row],[id]]=A2422,EDATE(Таблицаx_2[[#This Row],[Месяц]],1)=D2422),F2422,0)</f>
        <v>0</v>
      </c>
      <c r="K2421" s="8">
        <f>IF(AND(Таблицаx_2[[#This Row],[Месяц окончания]]=Таблицаx_2[[#This Row],[Месяц]],Таблицаx_2[[#This Row],[id]]=A2422,EDATE(Таблицаx_2[[#This Row],[Месяц]],2)=D2422),F2422,0)</f>
        <v>0</v>
      </c>
    </row>
    <row r="2422" spans="1:11" ht="12.75" hidden="1" customHeight="1" x14ac:dyDescent="0.2">
      <c r="A2422" s="8">
        <v>471</v>
      </c>
      <c r="B2422" s="8" t="s">
        <v>45</v>
      </c>
      <c r="C2422" s="8" t="s">
        <v>4</v>
      </c>
      <c r="D2422" s="12">
        <v>45108</v>
      </c>
      <c r="E2422" s="8">
        <v>100914.15</v>
      </c>
      <c r="F2422" s="10">
        <f>IF(ISTEXT(Таблицаx_2[[#This Row],[Значение]]), 0, Таблицаx_2[[#This Row],[Значение]])</f>
        <v>100914.15</v>
      </c>
      <c r="G2422" s="12">
        <v>44896</v>
      </c>
      <c r="H2422" s="10" t="str">
        <f>IFERROR(VLOOKUP(Таблицаx_2[[#This Row],[id]],prolongations!A:C,2,)," ")</f>
        <v>декабрь 2022</v>
      </c>
      <c r="I2422" s="10">
        <f>IF(Таблицаx_2[[#This Row],[Месяц окончания]]=Таблицаx_2[[#This Row],[Месяц]],Таблицаx_2[[#This Row],[Значения числа]],0)</f>
        <v>0</v>
      </c>
      <c r="J2422" s="8">
        <f>IF(AND(Таблицаx_2[[#This Row],[Месяц окончания]]=Таблицаx_2[[#This Row],[Месяц]],Таблицаx_2[[#This Row],[id]]=A2423,EDATE(Таблицаx_2[[#This Row],[Месяц]],1)=D2423),F2423,0)</f>
        <v>0</v>
      </c>
      <c r="K2422" s="8">
        <f>IF(AND(Таблицаx_2[[#This Row],[Месяц окончания]]=Таблицаx_2[[#This Row],[Месяц]],Таблицаx_2[[#This Row],[id]]=A2423,EDATE(Таблицаx_2[[#This Row],[Месяц]],2)=D2423),F2423,0)</f>
        <v>0</v>
      </c>
    </row>
    <row r="2423" spans="1:11" ht="12.75" hidden="1" customHeight="1" x14ac:dyDescent="0.2">
      <c r="A2423" s="8">
        <v>471</v>
      </c>
      <c r="B2423" s="8" t="s">
        <v>45</v>
      </c>
      <c r="C2423" s="8" t="s">
        <v>4</v>
      </c>
      <c r="D2423" s="12">
        <v>45139</v>
      </c>
      <c r="E2423" s="8">
        <v>95501.13</v>
      </c>
      <c r="F2423" s="10">
        <f>IF(ISTEXT(Таблицаx_2[[#This Row],[Значение]]), 0, Таблицаx_2[[#This Row],[Значение]])</f>
        <v>95501.13</v>
      </c>
      <c r="G2423" s="12">
        <v>44896</v>
      </c>
      <c r="H2423" s="10" t="str">
        <f>IFERROR(VLOOKUP(Таблицаx_2[[#This Row],[id]],prolongations!A:C,2,)," ")</f>
        <v>декабрь 2022</v>
      </c>
      <c r="I2423" s="10">
        <f>IF(Таблицаx_2[[#This Row],[Месяц окончания]]=Таблицаx_2[[#This Row],[Месяц]],Таблицаx_2[[#This Row],[Значения числа]],0)</f>
        <v>0</v>
      </c>
      <c r="J2423" s="8">
        <f>IF(AND(Таблицаx_2[[#This Row],[Месяц окончания]]=Таблицаx_2[[#This Row],[Месяц]],Таблицаx_2[[#This Row],[id]]=A2424,EDATE(Таблицаx_2[[#This Row],[Месяц]],1)=D2424),F2424,0)</f>
        <v>0</v>
      </c>
      <c r="K2423" s="8">
        <f>IF(AND(Таблицаx_2[[#This Row],[Месяц окончания]]=Таблицаx_2[[#This Row],[Месяц]],Таблицаx_2[[#This Row],[id]]=A2424,EDATE(Таблицаx_2[[#This Row],[Месяц]],2)=D2424),F2424,0)</f>
        <v>0</v>
      </c>
    </row>
    <row r="2424" spans="1:11" ht="12.75" hidden="1" customHeight="1" x14ac:dyDescent="0.2">
      <c r="A2424" s="8">
        <v>471</v>
      </c>
      <c r="B2424" s="8" t="s">
        <v>45</v>
      </c>
      <c r="C2424" s="8" t="s">
        <v>4</v>
      </c>
      <c r="D2424" s="12">
        <v>45170</v>
      </c>
      <c r="E2424" s="8">
        <v>96679.360000000001</v>
      </c>
      <c r="F2424" s="10">
        <f>IF(ISTEXT(Таблицаx_2[[#This Row],[Значение]]), 0, Таблицаx_2[[#This Row],[Значение]])</f>
        <v>96679.360000000001</v>
      </c>
      <c r="G2424" s="12">
        <v>44896</v>
      </c>
      <c r="H2424" s="10" t="str">
        <f>IFERROR(VLOOKUP(Таблицаx_2[[#This Row],[id]],prolongations!A:C,2,)," ")</f>
        <v>декабрь 2022</v>
      </c>
      <c r="I2424" s="10">
        <f>IF(Таблицаx_2[[#This Row],[Месяц окончания]]=Таблицаx_2[[#This Row],[Месяц]],Таблицаx_2[[#This Row],[Значения числа]],0)</f>
        <v>0</v>
      </c>
      <c r="J2424" s="8">
        <f>IF(AND(Таблицаx_2[[#This Row],[Месяц окончания]]=Таблицаx_2[[#This Row],[Месяц]],Таблицаx_2[[#This Row],[id]]=A2425,EDATE(Таблицаx_2[[#This Row],[Месяц]],1)=D2425),F2425,0)</f>
        <v>0</v>
      </c>
      <c r="K2424" s="8">
        <f>IF(AND(Таблицаx_2[[#This Row],[Месяц окончания]]=Таблицаx_2[[#This Row],[Месяц]],Таблицаx_2[[#This Row],[id]]=A2425,EDATE(Таблицаx_2[[#This Row],[Месяц]],2)=D2425),F2425,0)</f>
        <v>0</v>
      </c>
    </row>
    <row r="2425" spans="1:11" ht="12.75" hidden="1" customHeight="1" x14ac:dyDescent="0.2">
      <c r="A2425" s="8">
        <v>471</v>
      </c>
      <c r="B2425" s="8" t="s">
        <v>45</v>
      </c>
      <c r="C2425" s="8" t="s">
        <v>4</v>
      </c>
      <c r="D2425" s="12">
        <v>45200</v>
      </c>
      <c r="E2425" s="8">
        <v>113011</v>
      </c>
      <c r="F2425" s="10">
        <f>IF(ISTEXT(Таблицаx_2[[#This Row],[Значение]]), 0, Таблицаx_2[[#This Row],[Значение]])</f>
        <v>113011</v>
      </c>
      <c r="G2425" s="12">
        <v>44896</v>
      </c>
      <c r="H2425" s="10" t="str">
        <f>IFERROR(VLOOKUP(Таблицаx_2[[#This Row],[id]],prolongations!A:C,2,)," ")</f>
        <v>декабрь 2022</v>
      </c>
      <c r="I2425" s="10">
        <f>IF(Таблицаx_2[[#This Row],[Месяц окончания]]=Таблицаx_2[[#This Row],[Месяц]],Таблицаx_2[[#This Row],[Значения числа]],0)</f>
        <v>0</v>
      </c>
      <c r="J2425" s="8">
        <f>IF(AND(Таблицаx_2[[#This Row],[Месяц окончания]]=Таблицаx_2[[#This Row],[Месяц]],Таблицаx_2[[#This Row],[id]]=A2426,EDATE(Таблицаx_2[[#This Row],[Месяц]],1)=D2426),F2426,0)</f>
        <v>0</v>
      </c>
      <c r="K2425" s="8">
        <f>IF(AND(Таблицаx_2[[#This Row],[Месяц окончания]]=Таблицаx_2[[#This Row],[Месяц]],Таблицаx_2[[#This Row],[id]]=A2426,EDATE(Таблицаx_2[[#This Row],[Месяц]],2)=D2426),F2426,0)</f>
        <v>0</v>
      </c>
    </row>
    <row r="2426" spans="1:11" ht="12.75" hidden="1" customHeight="1" x14ac:dyDescent="0.2">
      <c r="A2426" s="8">
        <v>471</v>
      </c>
      <c r="B2426" s="8" t="s">
        <v>45</v>
      </c>
      <c r="C2426" s="8" t="s">
        <v>4</v>
      </c>
      <c r="D2426" s="12">
        <v>45231</v>
      </c>
      <c r="E2426" s="8">
        <v>91770.64</v>
      </c>
      <c r="F2426" s="10">
        <f>IF(ISTEXT(Таблицаx_2[[#This Row],[Значение]]), 0, Таблицаx_2[[#This Row],[Значение]])</f>
        <v>91770.64</v>
      </c>
      <c r="G2426" s="12">
        <v>44896</v>
      </c>
      <c r="H2426" s="10" t="str">
        <f>IFERROR(VLOOKUP(Таблицаx_2[[#This Row],[id]],prolongations!A:C,2,)," ")</f>
        <v>декабрь 2022</v>
      </c>
      <c r="I2426" s="10">
        <f>IF(Таблицаx_2[[#This Row],[Месяц окончания]]=Таблицаx_2[[#This Row],[Месяц]],Таблицаx_2[[#This Row],[Значения числа]],0)</f>
        <v>0</v>
      </c>
      <c r="J2426" s="8">
        <f>IF(AND(Таблицаx_2[[#This Row],[Месяц окончания]]=Таблицаx_2[[#This Row],[Месяц]],Таблицаx_2[[#This Row],[id]]=A2427,EDATE(Таблицаx_2[[#This Row],[Месяц]],1)=D2427),F2427,0)</f>
        <v>0</v>
      </c>
      <c r="K2426" s="8">
        <f>IF(AND(Таблицаx_2[[#This Row],[Месяц окончания]]=Таблицаx_2[[#This Row],[Месяц]],Таблицаx_2[[#This Row],[id]]=A2427,EDATE(Таблицаx_2[[#This Row],[Месяц]],2)=D2427),F2427,0)</f>
        <v>0</v>
      </c>
    </row>
    <row r="2427" spans="1:11" ht="12.75" hidden="1" customHeight="1" x14ac:dyDescent="0.2">
      <c r="A2427" s="8">
        <v>471</v>
      </c>
      <c r="B2427" s="8" t="s">
        <v>45</v>
      </c>
      <c r="C2427" s="8" t="s">
        <v>4</v>
      </c>
      <c r="D2427" s="12">
        <v>45261</v>
      </c>
      <c r="E2427" s="8">
        <v>99410.96</v>
      </c>
      <c r="F2427" s="10">
        <f>IF(ISTEXT(Таблицаx_2[[#This Row],[Значение]]), 0, Таблицаx_2[[#This Row],[Значение]])</f>
        <v>99410.96</v>
      </c>
      <c r="G2427" s="12">
        <v>44896</v>
      </c>
      <c r="H2427" s="10" t="str">
        <f>IFERROR(VLOOKUP(Таблицаx_2[[#This Row],[id]],prolongations!A:C,2,)," ")</f>
        <v>декабрь 2022</v>
      </c>
      <c r="I2427" s="10">
        <f>IF(Таблицаx_2[[#This Row],[Месяц окончания]]=Таблицаx_2[[#This Row],[Месяц]],Таблицаx_2[[#This Row],[Значения числа]],0)</f>
        <v>0</v>
      </c>
      <c r="J2427" s="8">
        <f>IF(AND(Таблицаx_2[[#This Row],[Месяц окончания]]=Таблицаx_2[[#This Row],[Месяц]],Таблицаx_2[[#This Row],[id]]=A2428,EDATE(Таблицаx_2[[#This Row],[Месяц]],1)=D2428),F2428,0)</f>
        <v>0</v>
      </c>
      <c r="K2427" s="8">
        <f>IF(AND(Таблицаx_2[[#This Row],[Месяц окончания]]=Таблицаx_2[[#This Row],[Месяц]],Таблицаx_2[[#This Row],[id]]=A2428,EDATE(Таблицаx_2[[#This Row],[Месяц]],2)=D2428),F2428,0)</f>
        <v>0</v>
      </c>
    </row>
    <row r="2428" spans="1:11" ht="12.75" hidden="1" customHeight="1" x14ac:dyDescent="0.2">
      <c r="A2428" s="8">
        <v>471</v>
      </c>
      <c r="B2428" s="8" t="s">
        <v>45</v>
      </c>
      <c r="C2428" s="8" t="s">
        <v>4</v>
      </c>
      <c r="D2428" s="12">
        <v>45292</v>
      </c>
      <c r="E2428" s="8">
        <v>115821</v>
      </c>
      <c r="F2428" s="10">
        <f>IF(ISTEXT(Таблицаx_2[[#This Row],[Значение]]), 0, Таблицаx_2[[#This Row],[Значение]])</f>
        <v>115821</v>
      </c>
      <c r="G2428" s="12">
        <v>44896</v>
      </c>
      <c r="H2428" s="10" t="str">
        <f>IFERROR(VLOOKUP(Таблицаx_2[[#This Row],[id]],prolongations!A:C,2,)," ")</f>
        <v>декабрь 2022</v>
      </c>
      <c r="I2428" s="10">
        <f>IF(Таблицаx_2[[#This Row],[Месяц окончания]]=Таблицаx_2[[#This Row],[Месяц]],Таблицаx_2[[#This Row],[Значения числа]],0)</f>
        <v>0</v>
      </c>
      <c r="J2428" s="8">
        <f>IF(AND(Таблицаx_2[[#This Row],[Месяц окончания]]=Таблицаx_2[[#This Row],[Месяц]],Таблицаx_2[[#This Row],[id]]=A2429,EDATE(Таблицаx_2[[#This Row],[Месяц]],1)=D2429),F2429,0)</f>
        <v>0</v>
      </c>
      <c r="K2428" s="8">
        <f>IF(AND(Таблицаx_2[[#This Row],[Месяц окончания]]=Таблицаx_2[[#This Row],[Месяц]],Таблицаx_2[[#This Row],[id]]=A2429,EDATE(Таблицаx_2[[#This Row],[Месяц]],2)=D2429),F2429,0)</f>
        <v>0</v>
      </c>
    </row>
    <row r="2429" spans="1:11" ht="12.75" hidden="1" customHeight="1" x14ac:dyDescent="0.2">
      <c r="A2429" s="8">
        <v>471</v>
      </c>
      <c r="B2429" s="8" t="s">
        <v>45</v>
      </c>
      <c r="C2429" s="8" t="s">
        <v>4</v>
      </c>
      <c r="D2429" s="12">
        <v>45323</v>
      </c>
      <c r="E2429" s="8">
        <v>127200</v>
      </c>
      <c r="F2429" s="10">
        <f>IF(ISTEXT(Таблицаx_2[[#This Row],[Значение]]), 0, Таблицаx_2[[#This Row],[Значение]])</f>
        <v>127200</v>
      </c>
      <c r="G2429" s="12">
        <v>44896</v>
      </c>
      <c r="H2429" s="10" t="str">
        <f>IFERROR(VLOOKUP(Таблицаx_2[[#This Row],[id]],prolongations!A:C,2,)," ")</f>
        <v>декабрь 2022</v>
      </c>
      <c r="I2429" s="10">
        <f>IF(Таблицаx_2[[#This Row],[Месяц окончания]]=Таблицаx_2[[#This Row],[Месяц]],Таблицаx_2[[#This Row],[Значения числа]],0)</f>
        <v>0</v>
      </c>
      <c r="J2429" s="8">
        <f>IF(AND(Таблицаx_2[[#This Row],[Месяц окончания]]=Таблицаx_2[[#This Row],[Месяц]],Таблицаx_2[[#This Row],[id]]=A2430,EDATE(Таблицаx_2[[#This Row],[Месяц]],1)=D2430),F2430,0)</f>
        <v>0</v>
      </c>
      <c r="K2429" s="8">
        <f>IF(AND(Таблицаx_2[[#This Row],[Месяц окончания]]=Таблицаx_2[[#This Row],[Месяц]],Таблицаx_2[[#This Row],[id]]=A2430,EDATE(Таблицаx_2[[#This Row],[Месяц]],2)=D2430),F2430,0)</f>
        <v>0</v>
      </c>
    </row>
    <row r="2430" spans="1:11" ht="12.75" hidden="1" customHeight="1" x14ac:dyDescent="0.2">
      <c r="A2430" s="8">
        <v>471</v>
      </c>
      <c r="B2430" s="8" t="s">
        <v>47</v>
      </c>
      <c r="C2430" s="8" t="s">
        <v>4</v>
      </c>
      <c r="D2430" s="12">
        <v>44986</v>
      </c>
      <c r="E2430" s="8">
        <v>0.01</v>
      </c>
      <c r="F2430" s="10">
        <f>IF(ISTEXT(Таблицаx_2[[#This Row],[Значение]]), 0, Таблицаx_2[[#This Row],[Значение]])</f>
        <v>0.01</v>
      </c>
      <c r="G2430" s="12">
        <v>44896</v>
      </c>
      <c r="H2430" s="10" t="str">
        <f>IFERROR(VLOOKUP(Таблицаx_2[[#This Row],[id]],prolongations!A:C,2,)," ")</f>
        <v>декабрь 2022</v>
      </c>
      <c r="I2430" s="10">
        <f>IF(Таблицаx_2[[#This Row],[Месяц окончания]]=Таблицаx_2[[#This Row],[Месяц]],Таблицаx_2[[#This Row],[Значения числа]],0)</f>
        <v>0</v>
      </c>
      <c r="J2430" s="8">
        <f>IF(AND(Таблицаx_2[[#This Row],[Месяц окончания]]=Таблицаx_2[[#This Row],[Месяц]],Таблицаx_2[[#This Row],[id]]=A2431,EDATE(Таблицаx_2[[#This Row],[Месяц]],1)=D2431),F2431,0)</f>
        <v>0</v>
      </c>
      <c r="K2430" s="8">
        <f>IF(AND(Таблицаx_2[[#This Row],[Месяц окончания]]=Таблицаx_2[[#This Row],[Месяц]],Таблицаx_2[[#This Row],[id]]=A2431,EDATE(Таблицаx_2[[#This Row],[Месяц]],2)=D2431),F2431,0)</f>
        <v>0</v>
      </c>
    </row>
    <row r="2431" spans="1:11" ht="12.75" hidden="1" customHeight="1" x14ac:dyDescent="0.2">
      <c r="A2431" s="8">
        <v>547</v>
      </c>
      <c r="B2431" s="8" t="s">
        <v>52</v>
      </c>
      <c r="C2431" s="8" t="s">
        <v>6</v>
      </c>
      <c r="D2431" s="12">
        <v>44866</v>
      </c>
      <c r="E2431" s="8">
        <v>144180</v>
      </c>
      <c r="F2431" s="10">
        <f>IF(ISTEXT(Таблицаx_2[[#This Row],[Значение]]), 0, Таблицаx_2[[#This Row],[Значение]])</f>
        <v>144180</v>
      </c>
      <c r="G2431" s="12">
        <v>44866</v>
      </c>
      <c r="H2431" s="10" t="str">
        <f>IFERROR(VLOOKUP(Таблицаx_2[[#This Row],[id]],prolongations!A:C,2,)," ")</f>
        <v>ноябрь 2022</v>
      </c>
      <c r="I2431" s="10">
        <f>IF(Таблицаx_2[[#This Row],[Месяц окончания]]=Таблицаx_2[[#This Row],[Месяц]],Таблицаx_2[[#This Row],[Значения числа]],0)</f>
        <v>144180</v>
      </c>
      <c r="J2431" s="8">
        <f>IF(AND(Таблицаx_2[[#This Row],[Месяц окончания]]=Таблицаx_2[[#This Row],[Месяц]],Таблицаx_2[[#This Row],[id]]=A2432,EDATE(Таблицаx_2[[#This Row],[Месяц]],1)=D2432),F2432,0)</f>
        <v>104660</v>
      </c>
      <c r="K2431" s="8">
        <f>IF(AND(Таблицаx_2[[#This Row],[Месяц окончания]]=Таблицаx_2[[#This Row],[Месяц]],Таблицаx_2[[#This Row],[id]]=A2432,EDATE(Таблицаx_2[[#This Row],[Месяц]],2)=D2432),F2432,0)</f>
        <v>0</v>
      </c>
    </row>
    <row r="2432" spans="1:11" ht="12.75" hidden="1" customHeight="1" x14ac:dyDescent="0.2">
      <c r="A2432" s="8">
        <v>547</v>
      </c>
      <c r="B2432" s="8" t="s">
        <v>52</v>
      </c>
      <c r="C2432" s="8" t="s">
        <v>6</v>
      </c>
      <c r="D2432" s="12">
        <v>44896</v>
      </c>
      <c r="E2432" s="8">
        <v>104660</v>
      </c>
      <c r="F2432" s="10">
        <f>IF(ISTEXT(Таблицаx_2[[#This Row],[Значение]]), 0, Таблицаx_2[[#This Row],[Значение]])</f>
        <v>104660</v>
      </c>
      <c r="G2432" s="12">
        <v>44866</v>
      </c>
      <c r="H2432" s="10" t="str">
        <f>IFERROR(VLOOKUP(Таблицаx_2[[#This Row],[id]],prolongations!A:C,2,)," ")</f>
        <v>ноябрь 2022</v>
      </c>
      <c r="I2432" s="10">
        <f>IF(Таблицаx_2[[#This Row],[Месяц окончания]]=Таблицаx_2[[#This Row],[Месяц]],Таблицаx_2[[#This Row],[Значения числа]],0)</f>
        <v>0</v>
      </c>
      <c r="J2432" s="8">
        <f>IF(AND(Таблицаx_2[[#This Row],[Месяц окончания]]=Таблицаx_2[[#This Row],[Месяц]],Таблицаx_2[[#This Row],[id]]=A2433,EDATE(Таблицаx_2[[#This Row],[Месяц]],1)=D2433),F2433,0)</f>
        <v>0</v>
      </c>
      <c r="K2432" s="8">
        <f>IF(AND(Таблицаx_2[[#This Row],[Месяц окончания]]=Таблицаx_2[[#This Row],[Месяц]],Таблицаx_2[[#This Row],[id]]=A2433,EDATE(Таблицаx_2[[#This Row],[Месяц]],2)=D2433),F2433,0)</f>
        <v>0</v>
      </c>
    </row>
    <row r="2433" spans="1:11" ht="12.75" hidden="1" customHeight="1" x14ac:dyDescent="0.2">
      <c r="A2433" s="8">
        <v>547</v>
      </c>
      <c r="B2433" s="8" t="s">
        <v>52</v>
      </c>
      <c r="C2433" s="8" t="s">
        <v>6</v>
      </c>
      <c r="D2433" s="12">
        <v>44927</v>
      </c>
      <c r="E2433" s="8">
        <v>226420</v>
      </c>
      <c r="F2433" s="10">
        <f>IF(ISTEXT(Таблицаx_2[[#This Row],[Значение]]), 0, Таблицаx_2[[#This Row],[Значение]])</f>
        <v>226420</v>
      </c>
      <c r="G2433" s="12">
        <v>44866</v>
      </c>
      <c r="H2433" s="10" t="str">
        <f>IFERROR(VLOOKUP(Таблицаx_2[[#This Row],[id]],prolongations!A:C,2,)," ")</f>
        <v>ноябрь 2022</v>
      </c>
      <c r="I2433" s="10">
        <f>IF(Таблицаx_2[[#This Row],[Месяц окончания]]=Таблицаx_2[[#This Row],[Месяц]],Таблицаx_2[[#This Row],[Значения числа]],0)</f>
        <v>0</v>
      </c>
      <c r="J2433" s="8">
        <f>IF(AND(Таблицаx_2[[#This Row],[Месяц окончания]]=Таблицаx_2[[#This Row],[Месяц]],Таблицаx_2[[#This Row],[id]]=A2434,EDATE(Таблицаx_2[[#This Row],[Месяц]],1)=D2434),F2434,0)</f>
        <v>0</v>
      </c>
      <c r="K2433" s="8">
        <f>IF(AND(Таблицаx_2[[#This Row],[Месяц окончания]]=Таблицаx_2[[#This Row],[Месяц]],Таблицаx_2[[#This Row],[id]]=A2434,EDATE(Таблицаx_2[[#This Row],[Месяц]],2)=D2434),F2434,0)</f>
        <v>0</v>
      </c>
    </row>
    <row r="2434" spans="1:11" ht="12.75" hidden="1" customHeight="1" x14ac:dyDescent="0.2">
      <c r="A2434" s="8">
        <v>547</v>
      </c>
      <c r="B2434" s="8" t="s">
        <v>52</v>
      </c>
      <c r="C2434" s="8" t="s">
        <v>6</v>
      </c>
      <c r="D2434" s="12">
        <v>44958</v>
      </c>
      <c r="E2434" s="8">
        <v>139660</v>
      </c>
      <c r="F2434" s="10">
        <f>IF(ISTEXT(Таблицаx_2[[#This Row],[Значение]]), 0, Таблицаx_2[[#This Row],[Значение]])</f>
        <v>139660</v>
      </c>
      <c r="G2434" s="12">
        <v>44866</v>
      </c>
      <c r="H2434" s="10" t="str">
        <f>IFERROR(VLOOKUP(Таблицаx_2[[#This Row],[id]],prolongations!A:C,2,)," ")</f>
        <v>ноябрь 2022</v>
      </c>
      <c r="I2434" s="10">
        <f>IF(Таблицаx_2[[#This Row],[Месяц окончания]]=Таблицаx_2[[#This Row],[Месяц]],Таблицаx_2[[#This Row],[Значения числа]],0)</f>
        <v>0</v>
      </c>
      <c r="J2434" s="8">
        <f>IF(AND(Таблицаx_2[[#This Row],[Месяц окончания]]=Таблицаx_2[[#This Row],[Месяц]],Таблицаx_2[[#This Row],[id]]=A2435,EDATE(Таблицаx_2[[#This Row],[Месяц]],1)=D2435),F2435,0)</f>
        <v>0</v>
      </c>
      <c r="K2434" s="8">
        <f>IF(AND(Таблицаx_2[[#This Row],[Месяц окончания]]=Таблицаx_2[[#This Row],[Месяц]],Таблицаx_2[[#This Row],[id]]=A2435,EDATE(Таблицаx_2[[#This Row],[Месяц]],2)=D2435),F2435,0)</f>
        <v>0</v>
      </c>
    </row>
    <row r="2435" spans="1:11" ht="12.75" hidden="1" customHeight="1" x14ac:dyDescent="0.2">
      <c r="A2435" s="8">
        <v>547</v>
      </c>
      <c r="B2435" s="8" t="s">
        <v>52</v>
      </c>
      <c r="C2435" s="8" t="s">
        <v>6</v>
      </c>
      <c r="D2435" s="12">
        <v>44986</v>
      </c>
      <c r="E2435" s="8">
        <v>165540</v>
      </c>
      <c r="F2435" s="10">
        <f>IF(ISTEXT(Таблицаx_2[[#This Row],[Значение]]), 0, Таблицаx_2[[#This Row],[Значение]])</f>
        <v>165540</v>
      </c>
      <c r="G2435" s="12">
        <v>44866</v>
      </c>
      <c r="H2435" s="10" t="str">
        <f>IFERROR(VLOOKUP(Таблицаx_2[[#This Row],[id]],prolongations!A:C,2,)," ")</f>
        <v>ноябрь 2022</v>
      </c>
      <c r="I2435" s="10">
        <f>IF(Таблицаx_2[[#This Row],[Месяц окончания]]=Таблицаx_2[[#This Row],[Месяц]],Таблицаx_2[[#This Row],[Значения числа]],0)</f>
        <v>0</v>
      </c>
      <c r="J2435" s="8">
        <f>IF(AND(Таблицаx_2[[#This Row],[Месяц окончания]]=Таблицаx_2[[#This Row],[Месяц]],Таблицаx_2[[#This Row],[id]]=A2436,EDATE(Таблицаx_2[[#This Row],[Месяц]],1)=D2436),F2436,0)</f>
        <v>0</v>
      </c>
      <c r="K2435" s="8">
        <f>IF(AND(Таблицаx_2[[#This Row],[Месяц окончания]]=Таблицаx_2[[#This Row],[Месяц]],Таблицаx_2[[#This Row],[id]]=A2436,EDATE(Таблицаx_2[[#This Row],[Месяц]],2)=D2436),F2436,0)</f>
        <v>0</v>
      </c>
    </row>
    <row r="2436" spans="1:11" ht="12.75" hidden="1" customHeight="1" x14ac:dyDescent="0.2">
      <c r="A2436" s="8">
        <v>547</v>
      </c>
      <c r="B2436" s="8" t="s">
        <v>52</v>
      </c>
      <c r="C2436" s="8" t="s">
        <v>6</v>
      </c>
      <c r="D2436" s="12">
        <v>45017</v>
      </c>
      <c r="E2436" s="8">
        <v>168680</v>
      </c>
      <c r="F2436" s="10">
        <f>IF(ISTEXT(Таблицаx_2[[#This Row],[Значение]]), 0, Таблицаx_2[[#This Row],[Значение]])</f>
        <v>168680</v>
      </c>
      <c r="G2436" s="12">
        <v>44866</v>
      </c>
      <c r="H2436" s="10" t="str">
        <f>IFERROR(VLOOKUP(Таблицаx_2[[#This Row],[id]],prolongations!A:C,2,)," ")</f>
        <v>ноябрь 2022</v>
      </c>
      <c r="I2436" s="10">
        <f>IF(Таблицаx_2[[#This Row],[Месяц окончания]]=Таблицаx_2[[#This Row],[Месяц]],Таблицаx_2[[#This Row],[Значения числа]],0)</f>
        <v>0</v>
      </c>
      <c r="J2436" s="8">
        <f>IF(AND(Таблицаx_2[[#This Row],[Месяц окончания]]=Таблицаx_2[[#This Row],[Месяц]],Таблицаx_2[[#This Row],[id]]=A2437,EDATE(Таблицаx_2[[#This Row],[Месяц]],1)=D2437),F2437,0)</f>
        <v>0</v>
      </c>
      <c r="K2436" s="8">
        <f>IF(AND(Таблицаx_2[[#This Row],[Месяц окончания]]=Таблицаx_2[[#This Row],[Месяц]],Таблицаx_2[[#This Row],[id]]=A2437,EDATE(Таблицаx_2[[#This Row],[Месяц]],2)=D2437),F2437,0)</f>
        <v>0</v>
      </c>
    </row>
    <row r="2437" spans="1:11" ht="12.75" hidden="1" customHeight="1" x14ac:dyDescent="0.2">
      <c r="A2437" s="8">
        <v>547</v>
      </c>
      <c r="B2437" s="8" t="s">
        <v>52</v>
      </c>
      <c r="C2437" s="8" t="s">
        <v>6</v>
      </c>
      <c r="D2437" s="12">
        <v>45047</v>
      </c>
      <c r="E2437" s="8">
        <v>166520</v>
      </c>
      <c r="F2437" s="10">
        <f>IF(ISTEXT(Таблицаx_2[[#This Row],[Значение]]), 0, Таблицаx_2[[#This Row],[Значение]])</f>
        <v>166520</v>
      </c>
      <c r="G2437" s="12">
        <v>44866</v>
      </c>
      <c r="H2437" s="10" t="str">
        <f>IFERROR(VLOOKUP(Таблицаx_2[[#This Row],[id]],prolongations!A:C,2,)," ")</f>
        <v>ноябрь 2022</v>
      </c>
      <c r="I2437" s="10">
        <f>IF(Таблицаx_2[[#This Row],[Месяц окончания]]=Таблицаx_2[[#This Row],[Месяц]],Таблицаx_2[[#This Row],[Значения числа]],0)</f>
        <v>0</v>
      </c>
      <c r="J2437" s="8">
        <f>IF(AND(Таблицаx_2[[#This Row],[Месяц окончания]]=Таблицаx_2[[#This Row],[Месяц]],Таблицаx_2[[#This Row],[id]]=A2438,EDATE(Таблицаx_2[[#This Row],[Месяц]],1)=D2438),F2438,0)</f>
        <v>0</v>
      </c>
      <c r="K2437" s="8">
        <f>IF(AND(Таблицаx_2[[#This Row],[Месяц окончания]]=Таблицаx_2[[#This Row],[Месяц]],Таблицаx_2[[#This Row],[id]]=A2438,EDATE(Таблицаx_2[[#This Row],[Месяц]],2)=D2438),F2438,0)</f>
        <v>0</v>
      </c>
    </row>
    <row r="2438" spans="1:11" ht="12.75" hidden="1" customHeight="1" x14ac:dyDescent="0.2">
      <c r="A2438" s="8">
        <v>547</v>
      </c>
      <c r="B2438" s="8" t="s">
        <v>52</v>
      </c>
      <c r="C2438" s="8" t="s">
        <v>6</v>
      </c>
      <c r="D2438" s="12">
        <v>45078</v>
      </c>
      <c r="E2438" s="8">
        <v>83360</v>
      </c>
      <c r="F2438" s="10">
        <f>IF(ISTEXT(Таблицаx_2[[#This Row],[Значение]]), 0, Таблицаx_2[[#This Row],[Значение]])</f>
        <v>83360</v>
      </c>
      <c r="G2438" s="12">
        <v>44866</v>
      </c>
      <c r="H2438" s="10" t="str">
        <f>IFERROR(VLOOKUP(Таблицаx_2[[#This Row],[id]],prolongations!A:C,2,)," ")</f>
        <v>ноябрь 2022</v>
      </c>
      <c r="I2438" s="10">
        <f>IF(Таблицаx_2[[#This Row],[Месяц окончания]]=Таблицаx_2[[#This Row],[Месяц]],Таблицаx_2[[#This Row],[Значения числа]],0)</f>
        <v>0</v>
      </c>
      <c r="J2438" s="8">
        <f>IF(AND(Таблицаx_2[[#This Row],[Месяц окончания]]=Таблицаx_2[[#This Row],[Месяц]],Таблицаx_2[[#This Row],[id]]=A2439,EDATE(Таблицаx_2[[#This Row],[Месяц]],1)=D2439),F2439,0)</f>
        <v>0</v>
      </c>
      <c r="K2438" s="8">
        <f>IF(AND(Таблицаx_2[[#This Row],[Месяц окончания]]=Таблицаx_2[[#This Row],[Месяц]],Таблицаx_2[[#This Row],[id]]=A2439,EDATE(Таблицаx_2[[#This Row],[Месяц]],2)=D2439),F2439,0)</f>
        <v>0</v>
      </c>
    </row>
    <row r="2439" spans="1:11" ht="12.75" hidden="1" customHeight="1" x14ac:dyDescent="0.2">
      <c r="A2439" s="8">
        <v>547</v>
      </c>
      <c r="B2439" s="8" t="s">
        <v>52</v>
      </c>
      <c r="C2439" s="8" t="s">
        <v>6</v>
      </c>
      <c r="D2439" s="12">
        <v>45108</v>
      </c>
      <c r="E2439" s="8">
        <v>104440</v>
      </c>
      <c r="F2439" s="10">
        <f>IF(ISTEXT(Таблицаx_2[[#This Row],[Значение]]), 0, Таблицаx_2[[#This Row],[Значение]])</f>
        <v>104440</v>
      </c>
      <c r="G2439" s="12">
        <v>44866</v>
      </c>
      <c r="H2439" s="10" t="str">
        <f>IFERROR(VLOOKUP(Таблицаx_2[[#This Row],[id]],prolongations!A:C,2,)," ")</f>
        <v>ноябрь 2022</v>
      </c>
      <c r="I2439" s="10">
        <f>IF(Таблицаx_2[[#This Row],[Месяц окончания]]=Таблицаx_2[[#This Row],[Месяц]],Таблицаx_2[[#This Row],[Значения числа]],0)</f>
        <v>0</v>
      </c>
      <c r="J2439" s="8">
        <f>IF(AND(Таблицаx_2[[#This Row],[Месяц окончания]]=Таблицаx_2[[#This Row],[Месяц]],Таблицаx_2[[#This Row],[id]]=A2440,EDATE(Таблицаx_2[[#This Row],[Месяц]],1)=D2440),F2440,0)</f>
        <v>0</v>
      </c>
      <c r="K2439" s="8">
        <f>IF(AND(Таблицаx_2[[#This Row],[Месяц окончания]]=Таблицаx_2[[#This Row],[Месяц]],Таблицаx_2[[#This Row],[id]]=A2440,EDATE(Таблицаx_2[[#This Row],[Месяц]],2)=D2440),F2440,0)</f>
        <v>0</v>
      </c>
    </row>
    <row r="2440" spans="1:11" ht="12.75" hidden="1" customHeight="1" x14ac:dyDescent="0.2">
      <c r="A2440" s="8">
        <v>547</v>
      </c>
      <c r="B2440" s="8" t="s">
        <v>52</v>
      </c>
      <c r="C2440" s="8" t="s">
        <v>6</v>
      </c>
      <c r="D2440" s="12">
        <v>45139</v>
      </c>
      <c r="E2440" s="8">
        <v>128040</v>
      </c>
      <c r="F2440" s="10">
        <f>IF(ISTEXT(Таблицаx_2[[#This Row],[Значение]]), 0, Таблицаx_2[[#This Row],[Значение]])</f>
        <v>128040</v>
      </c>
      <c r="G2440" s="12">
        <v>44866</v>
      </c>
      <c r="H2440" s="10" t="str">
        <f>IFERROR(VLOOKUP(Таблицаx_2[[#This Row],[id]],prolongations!A:C,2,)," ")</f>
        <v>ноябрь 2022</v>
      </c>
      <c r="I2440" s="10">
        <f>IF(Таблицаx_2[[#This Row],[Месяц окончания]]=Таблицаx_2[[#This Row],[Месяц]],Таблицаx_2[[#This Row],[Значения числа]],0)</f>
        <v>0</v>
      </c>
      <c r="J2440" s="8">
        <f>IF(AND(Таблицаx_2[[#This Row],[Месяц окончания]]=Таблицаx_2[[#This Row],[Месяц]],Таблицаx_2[[#This Row],[id]]=A2441,EDATE(Таблицаx_2[[#This Row],[Месяц]],1)=D2441),F2441,0)</f>
        <v>0</v>
      </c>
      <c r="K2440" s="8">
        <f>IF(AND(Таблицаx_2[[#This Row],[Месяц окончания]]=Таблицаx_2[[#This Row],[Месяц]],Таблицаx_2[[#This Row],[id]]=A2441,EDATE(Таблицаx_2[[#This Row],[Месяц]],2)=D2441),F2441,0)</f>
        <v>0</v>
      </c>
    </row>
    <row r="2441" spans="1:11" ht="12.75" hidden="1" customHeight="1" x14ac:dyDescent="0.2">
      <c r="A2441" s="8">
        <v>547</v>
      </c>
      <c r="B2441" s="8" t="s">
        <v>52</v>
      </c>
      <c r="C2441" s="8" t="s">
        <v>6</v>
      </c>
      <c r="D2441" s="12">
        <v>45170</v>
      </c>
      <c r="E2441" s="8">
        <v>166320</v>
      </c>
      <c r="F2441" s="10">
        <f>IF(ISTEXT(Таблицаx_2[[#This Row],[Значение]]), 0, Таблицаx_2[[#This Row],[Значение]])</f>
        <v>166320</v>
      </c>
      <c r="G2441" s="12">
        <v>44866</v>
      </c>
      <c r="H2441" s="10" t="str">
        <f>IFERROR(VLOOKUP(Таблицаx_2[[#This Row],[id]],prolongations!A:C,2,)," ")</f>
        <v>ноябрь 2022</v>
      </c>
      <c r="I2441" s="10">
        <f>IF(Таблицаx_2[[#This Row],[Месяц окончания]]=Таблицаx_2[[#This Row],[Месяц]],Таблицаx_2[[#This Row],[Значения числа]],0)</f>
        <v>0</v>
      </c>
      <c r="J2441" s="8">
        <f>IF(AND(Таблицаx_2[[#This Row],[Месяц окончания]]=Таблицаx_2[[#This Row],[Месяц]],Таблицаx_2[[#This Row],[id]]=A2442,EDATE(Таблицаx_2[[#This Row],[Месяц]],1)=D2442),F2442,0)</f>
        <v>0</v>
      </c>
      <c r="K2441" s="8">
        <f>IF(AND(Таблицаx_2[[#This Row],[Месяц окончания]]=Таблицаx_2[[#This Row],[Месяц]],Таблицаx_2[[#This Row],[id]]=A2442,EDATE(Таблицаx_2[[#This Row],[Месяц]],2)=D2442),F2442,0)</f>
        <v>0</v>
      </c>
    </row>
    <row r="2442" spans="1:11" ht="12.75" hidden="1" customHeight="1" x14ac:dyDescent="0.2">
      <c r="A2442" s="8">
        <v>547</v>
      </c>
      <c r="B2442" s="8" t="s">
        <v>52</v>
      </c>
      <c r="C2442" s="8" t="s">
        <v>6</v>
      </c>
      <c r="D2442" s="12">
        <v>45200</v>
      </c>
      <c r="E2442" s="8">
        <v>166690</v>
      </c>
      <c r="F2442" s="10">
        <f>IF(ISTEXT(Таблицаx_2[[#This Row],[Значение]]), 0, Таблицаx_2[[#This Row],[Значение]])</f>
        <v>166690</v>
      </c>
      <c r="G2442" s="12">
        <v>44866</v>
      </c>
      <c r="H2442" s="10" t="str">
        <f>IFERROR(VLOOKUP(Таблицаx_2[[#This Row],[id]],prolongations!A:C,2,)," ")</f>
        <v>ноябрь 2022</v>
      </c>
      <c r="I2442" s="10">
        <f>IF(Таблицаx_2[[#This Row],[Месяц окончания]]=Таблицаx_2[[#This Row],[Месяц]],Таблицаx_2[[#This Row],[Значения числа]],0)</f>
        <v>0</v>
      </c>
      <c r="J2442" s="8">
        <f>IF(AND(Таблицаx_2[[#This Row],[Месяц окончания]]=Таблицаx_2[[#This Row],[Месяц]],Таблицаx_2[[#This Row],[id]]=A2443,EDATE(Таблицаx_2[[#This Row],[Месяц]],1)=D2443),F2443,0)</f>
        <v>0</v>
      </c>
      <c r="K2442" s="8">
        <f>IF(AND(Таблицаx_2[[#This Row],[Месяц окончания]]=Таблицаx_2[[#This Row],[Месяц]],Таблицаx_2[[#This Row],[id]]=A2443,EDATE(Таблицаx_2[[#This Row],[Месяц]],2)=D2443),F2443,0)</f>
        <v>0</v>
      </c>
    </row>
    <row r="2443" spans="1:11" ht="12.75" hidden="1" customHeight="1" x14ac:dyDescent="0.2">
      <c r="A2443" s="8">
        <v>547</v>
      </c>
      <c r="B2443" s="8" t="s">
        <v>52</v>
      </c>
      <c r="C2443" s="8" t="s">
        <v>6</v>
      </c>
      <c r="D2443" s="12">
        <v>45231</v>
      </c>
      <c r="E2443" s="8">
        <v>117280</v>
      </c>
      <c r="F2443" s="10">
        <f>IF(ISTEXT(Таблицаx_2[[#This Row],[Значение]]), 0, Таблицаx_2[[#This Row],[Значение]])</f>
        <v>117280</v>
      </c>
      <c r="G2443" s="12">
        <v>44866</v>
      </c>
      <c r="H2443" s="10" t="str">
        <f>IFERROR(VLOOKUP(Таблицаx_2[[#This Row],[id]],prolongations!A:C,2,)," ")</f>
        <v>ноябрь 2022</v>
      </c>
      <c r="I2443" s="10">
        <f>IF(Таблицаx_2[[#This Row],[Месяц окончания]]=Таблицаx_2[[#This Row],[Месяц]],Таблицаx_2[[#This Row],[Значения числа]],0)</f>
        <v>0</v>
      </c>
      <c r="J2443" s="8">
        <f>IF(AND(Таблицаx_2[[#This Row],[Месяц окончания]]=Таблицаx_2[[#This Row],[Месяц]],Таблицаx_2[[#This Row],[id]]=A2444,EDATE(Таблицаx_2[[#This Row],[Месяц]],1)=D2444),F2444,0)</f>
        <v>0</v>
      </c>
      <c r="K2443" s="8">
        <f>IF(AND(Таблицаx_2[[#This Row],[Месяц окончания]]=Таблицаx_2[[#This Row],[Месяц]],Таблицаx_2[[#This Row],[id]]=A2444,EDATE(Таблицаx_2[[#This Row],[Месяц]],2)=D2444),F2444,0)</f>
        <v>0</v>
      </c>
    </row>
    <row r="2444" spans="1:11" ht="12.75" hidden="1" customHeight="1" x14ac:dyDescent="0.2">
      <c r="A2444" s="8">
        <v>547</v>
      </c>
      <c r="B2444" s="8" t="s">
        <v>52</v>
      </c>
      <c r="C2444" s="8" t="s">
        <v>6</v>
      </c>
      <c r="D2444" s="12">
        <v>45261</v>
      </c>
      <c r="E2444" s="8">
        <v>215040</v>
      </c>
      <c r="F2444" s="10">
        <f>IF(ISTEXT(Таблицаx_2[[#This Row],[Значение]]), 0, Таблицаx_2[[#This Row],[Значение]])</f>
        <v>215040</v>
      </c>
      <c r="G2444" s="12">
        <v>44866</v>
      </c>
      <c r="H2444" s="10" t="str">
        <f>IFERROR(VLOOKUP(Таблицаx_2[[#This Row],[id]],prolongations!A:C,2,)," ")</f>
        <v>ноябрь 2022</v>
      </c>
      <c r="I2444" s="10">
        <f>IF(Таблицаx_2[[#This Row],[Месяц окончания]]=Таблицаx_2[[#This Row],[Месяц]],Таблицаx_2[[#This Row],[Значения числа]],0)</f>
        <v>0</v>
      </c>
      <c r="J2444" s="8">
        <f>IF(AND(Таблицаx_2[[#This Row],[Месяц окончания]]=Таблицаx_2[[#This Row],[Месяц]],Таблицаx_2[[#This Row],[id]]=A2445,EDATE(Таблицаx_2[[#This Row],[Месяц]],1)=D2445),F2445,0)</f>
        <v>0</v>
      </c>
      <c r="K2444" s="8">
        <f>IF(AND(Таблицаx_2[[#This Row],[Месяц окончания]]=Таблицаx_2[[#This Row],[Месяц]],Таблицаx_2[[#This Row],[id]]=A2445,EDATE(Таблицаx_2[[#This Row],[Месяц]],2)=D2445),F2445,0)</f>
        <v>0</v>
      </c>
    </row>
    <row r="2445" spans="1:11" ht="12.75" hidden="1" customHeight="1" x14ac:dyDescent="0.2">
      <c r="A2445" s="8">
        <v>547</v>
      </c>
      <c r="B2445" s="8" t="s">
        <v>52</v>
      </c>
      <c r="C2445" s="8" t="s">
        <v>6</v>
      </c>
      <c r="D2445" s="12">
        <v>45292</v>
      </c>
      <c r="E2445" s="8">
        <v>166000</v>
      </c>
      <c r="F2445" s="10">
        <f>IF(ISTEXT(Таблицаx_2[[#This Row],[Значение]]), 0, Таблицаx_2[[#This Row],[Значение]])</f>
        <v>166000</v>
      </c>
      <c r="G2445" s="12">
        <v>44866</v>
      </c>
      <c r="H2445" s="10" t="str">
        <f>IFERROR(VLOOKUP(Таблицаx_2[[#This Row],[id]],prolongations!A:C,2,)," ")</f>
        <v>ноябрь 2022</v>
      </c>
      <c r="I2445" s="10">
        <f>IF(Таблицаx_2[[#This Row],[Месяц окончания]]=Таблицаx_2[[#This Row],[Месяц]],Таблицаx_2[[#This Row],[Значения числа]],0)</f>
        <v>0</v>
      </c>
      <c r="J2445" s="8">
        <f>IF(AND(Таблицаx_2[[#This Row],[Месяц окончания]]=Таблицаx_2[[#This Row],[Месяц]],Таблицаx_2[[#This Row],[id]]=A2446,EDATE(Таблицаx_2[[#This Row],[Месяц]],1)=D2446),F2446,0)</f>
        <v>0</v>
      </c>
      <c r="K2445" s="8">
        <f>IF(AND(Таблицаx_2[[#This Row],[Месяц окончания]]=Таблицаx_2[[#This Row],[Месяц]],Таблицаx_2[[#This Row],[id]]=A2446,EDATE(Таблицаx_2[[#This Row],[Месяц]],2)=D2446),F2446,0)</f>
        <v>0</v>
      </c>
    </row>
    <row r="2446" spans="1:11" ht="12.75" hidden="1" customHeight="1" x14ac:dyDescent="0.2">
      <c r="A2446" s="8">
        <v>547</v>
      </c>
      <c r="B2446" s="8" t="s">
        <v>52</v>
      </c>
      <c r="C2446" s="8" t="s">
        <v>6</v>
      </c>
      <c r="D2446" s="12">
        <v>45323</v>
      </c>
      <c r="E2446" s="8">
        <v>164960</v>
      </c>
      <c r="F2446" s="10">
        <f>IF(ISTEXT(Таблицаx_2[[#This Row],[Значение]]), 0, Таблицаx_2[[#This Row],[Значение]])</f>
        <v>164960</v>
      </c>
      <c r="G2446" s="12">
        <v>44866</v>
      </c>
      <c r="H2446" s="10" t="str">
        <f>IFERROR(VLOOKUP(Таблицаx_2[[#This Row],[id]],prolongations!A:C,2,)," ")</f>
        <v>ноябрь 2022</v>
      </c>
      <c r="I2446" s="10">
        <f>IF(Таблицаx_2[[#This Row],[Месяц окончания]]=Таблицаx_2[[#This Row],[Месяц]],Таблицаx_2[[#This Row],[Значения числа]],0)</f>
        <v>0</v>
      </c>
      <c r="J2446" s="8">
        <f>IF(AND(Таблицаx_2[[#This Row],[Месяц окончания]]=Таблицаx_2[[#This Row],[Месяц]],Таблицаx_2[[#This Row],[id]]=A2447,EDATE(Таблицаx_2[[#This Row],[Месяц]],1)=D2447),F2447,0)</f>
        <v>0</v>
      </c>
      <c r="K2446" s="8">
        <f>IF(AND(Таблицаx_2[[#This Row],[Месяц окончания]]=Таблицаx_2[[#This Row],[Месяц]],Таблицаx_2[[#This Row],[id]]=A2447,EDATE(Таблицаx_2[[#This Row],[Месяц]],2)=D2447),F2447,0)</f>
        <v>0</v>
      </c>
    </row>
    <row r="2447" spans="1:11" ht="12.75" hidden="1" customHeight="1" x14ac:dyDescent="0.2">
      <c r="A2447" s="8">
        <v>868</v>
      </c>
      <c r="B2447" s="8"/>
      <c r="C2447" s="8" t="s">
        <v>6</v>
      </c>
      <c r="D2447" s="12">
        <v>45047</v>
      </c>
      <c r="E2447" s="8">
        <v>41960</v>
      </c>
      <c r="F2447" s="10">
        <f>IF(ISTEXT(Таблицаx_2[[#This Row],[Значение]]), 0, Таблицаx_2[[#This Row],[Значение]])</f>
        <v>41960</v>
      </c>
      <c r="G2447" s="12">
        <v>45261</v>
      </c>
      <c r="H2447" s="10" t="str">
        <f>IFERROR(VLOOKUP(Таблицаx_2[[#This Row],[id]],prolongations!A:C,2,)," ")</f>
        <v>декабрь 2023</v>
      </c>
      <c r="I2447" s="10">
        <f>IF(Таблицаx_2[[#This Row],[Месяц окончания]]=Таблицаx_2[[#This Row],[Месяц]],Таблицаx_2[[#This Row],[Значения числа]],0)</f>
        <v>0</v>
      </c>
      <c r="J2447" s="8">
        <f>IF(AND(Таблицаx_2[[#This Row],[Месяц окончания]]=Таблицаx_2[[#This Row],[Месяц]],Таблицаx_2[[#This Row],[id]]=A2448,EDATE(Таблицаx_2[[#This Row],[Месяц]],1)=D2448),F2448,0)</f>
        <v>0</v>
      </c>
      <c r="K2447" s="8">
        <f>IF(AND(Таблицаx_2[[#This Row],[Месяц окончания]]=Таблицаx_2[[#This Row],[Месяц]],Таблицаx_2[[#This Row],[id]]=A2448,EDATE(Таблицаx_2[[#This Row],[Месяц]],2)=D2448),F2448,0)</f>
        <v>0</v>
      </c>
    </row>
    <row r="2448" spans="1:11" ht="12.75" hidden="1" customHeight="1" x14ac:dyDescent="0.2">
      <c r="A2448" s="8">
        <v>868</v>
      </c>
      <c r="B2448" s="8"/>
      <c r="C2448" s="8" t="s">
        <v>6</v>
      </c>
      <c r="D2448" s="12">
        <v>45078</v>
      </c>
      <c r="E2448" s="8">
        <v>48000</v>
      </c>
      <c r="F2448" s="10">
        <f>IF(ISTEXT(Таблицаx_2[[#This Row],[Значение]]), 0, Таблицаx_2[[#This Row],[Значение]])</f>
        <v>48000</v>
      </c>
      <c r="G2448" s="12">
        <v>45261</v>
      </c>
      <c r="H2448" s="10" t="str">
        <f>IFERROR(VLOOKUP(Таблицаx_2[[#This Row],[id]],prolongations!A:C,2,)," ")</f>
        <v>декабрь 2023</v>
      </c>
      <c r="I2448" s="10">
        <f>IF(Таблицаx_2[[#This Row],[Месяц окончания]]=Таблицаx_2[[#This Row],[Месяц]],Таблицаx_2[[#This Row],[Значения числа]],0)</f>
        <v>0</v>
      </c>
      <c r="J2448" s="8">
        <f>IF(AND(Таблицаx_2[[#This Row],[Месяц окончания]]=Таблицаx_2[[#This Row],[Месяц]],Таблицаx_2[[#This Row],[id]]=A2449,EDATE(Таблицаx_2[[#This Row],[Месяц]],1)=D2449),F2449,0)</f>
        <v>0</v>
      </c>
      <c r="K2448" s="8">
        <f>IF(AND(Таблицаx_2[[#This Row],[Месяц окончания]]=Таблицаx_2[[#This Row],[Месяц]],Таблицаx_2[[#This Row],[id]]=A2449,EDATE(Таблицаx_2[[#This Row],[Месяц]],2)=D2449),F2449,0)</f>
        <v>0</v>
      </c>
    </row>
    <row r="2449" spans="1:11" ht="12.75" hidden="1" customHeight="1" x14ac:dyDescent="0.2">
      <c r="A2449" s="8">
        <v>868</v>
      </c>
      <c r="B2449" s="8"/>
      <c r="C2449" s="8" t="s">
        <v>6</v>
      </c>
      <c r="D2449" s="12">
        <v>45108</v>
      </c>
      <c r="E2449" s="8">
        <v>48760</v>
      </c>
      <c r="F2449" s="10">
        <f>IF(ISTEXT(Таблицаx_2[[#This Row],[Значение]]), 0, Таблицаx_2[[#This Row],[Значение]])</f>
        <v>48760</v>
      </c>
      <c r="G2449" s="12">
        <v>45261</v>
      </c>
      <c r="H2449" s="10" t="str">
        <f>IFERROR(VLOOKUP(Таблицаx_2[[#This Row],[id]],prolongations!A:C,2,)," ")</f>
        <v>декабрь 2023</v>
      </c>
      <c r="I2449" s="10">
        <f>IF(Таблицаx_2[[#This Row],[Месяц окончания]]=Таблицаx_2[[#This Row],[Месяц]],Таблицаx_2[[#This Row],[Значения числа]],0)</f>
        <v>0</v>
      </c>
      <c r="J2449" s="8">
        <f>IF(AND(Таблицаx_2[[#This Row],[Месяц окончания]]=Таблицаx_2[[#This Row],[Месяц]],Таблицаx_2[[#This Row],[id]]=A2450,EDATE(Таблицаx_2[[#This Row],[Месяц]],1)=D2450),F2450,0)</f>
        <v>0</v>
      </c>
      <c r="K2449" s="8">
        <f>IF(AND(Таблицаx_2[[#This Row],[Месяц окончания]]=Таблицаx_2[[#This Row],[Месяц]],Таблицаx_2[[#This Row],[id]]=A2450,EDATE(Таблицаx_2[[#This Row],[Месяц]],2)=D2450),F2450,0)</f>
        <v>0</v>
      </c>
    </row>
    <row r="2450" spans="1:11" ht="12.75" hidden="1" customHeight="1" x14ac:dyDescent="0.2">
      <c r="A2450" s="8">
        <v>868</v>
      </c>
      <c r="B2450" s="8"/>
      <c r="C2450" s="8" t="s">
        <v>6</v>
      </c>
      <c r="D2450" s="12">
        <v>45139</v>
      </c>
      <c r="E2450" s="8">
        <v>48760</v>
      </c>
      <c r="F2450" s="10">
        <f>IF(ISTEXT(Таблицаx_2[[#This Row],[Значение]]), 0, Таблицаx_2[[#This Row],[Значение]])</f>
        <v>48760</v>
      </c>
      <c r="G2450" s="12">
        <v>45261</v>
      </c>
      <c r="H2450" s="10" t="str">
        <f>IFERROR(VLOOKUP(Таблицаx_2[[#This Row],[id]],prolongations!A:C,2,)," ")</f>
        <v>декабрь 2023</v>
      </c>
      <c r="I2450" s="10">
        <f>IF(Таблицаx_2[[#This Row],[Месяц окончания]]=Таблицаx_2[[#This Row],[Месяц]],Таблицаx_2[[#This Row],[Значения числа]],0)</f>
        <v>0</v>
      </c>
      <c r="J2450" s="8">
        <f>IF(AND(Таблицаx_2[[#This Row],[Месяц окончания]]=Таблицаx_2[[#This Row],[Месяц]],Таблицаx_2[[#This Row],[id]]=A2451,EDATE(Таблицаx_2[[#This Row],[Месяц]],1)=D2451),F2451,0)</f>
        <v>0</v>
      </c>
      <c r="K2450" s="8">
        <f>IF(AND(Таблицаx_2[[#This Row],[Месяц окончания]]=Таблицаx_2[[#This Row],[Месяц]],Таблицаx_2[[#This Row],[id]]=A2451,EDATE(Таблицаx_2[[#This Row],[Месяц]],2)=D2451),F2451,0)</f>
        <v>0</v>
      </c>
    </row>
    <row r="2451" spans="1:11" ht="12.75" hidden="1" customHeight="1" x14ac:dyDescent="0.2">
      <c r="A2451" s="8">
        <v>868</v>
      </c>
      <c r="B2451" s="8"/>
      <c r="C2451" s="8" t="s">
        <v>6</v>
      </c>
      <c r="D2451" s="12">
        <v>45170</v>
      </c>
      <c r="E2451" s="8">
        <v>52690</v>
      </c>
      <c r="F2451" s="10">
        <f>IF(ISTEXT(Таблицаx_2[[#This Row],[Значение]]), 0, Таблицаx_2[[#This Row],[Значение]])</f>
        <v>52690</v>
      </c>
      <c r="G2451" s="12">
        <v>45261</v>
      </c>
      <c r="H2451" s="10" t="str">
        <f>IFERROR(VLOOKUP(Таблицаx_2[[#This Row],[id]],prolongations!A:C,2,)," ")</f>
        <v>декабрь 2023</v>
      </c>
      <c r="I2451" s="10">
        <f>IF(Таблицаx_2[[#This Row],[Месяц окончания]]=Таблицаx_2[[#This Row],[Месяц]],Таблицаx_2[[#This Row],[Значения числа]],0)</f>
        <v>0</v>
      </c>
      <c r="J2451" s="8">
        <f>IF(AND(Таблицаx_2[[#This Row],[Месяц окончания]]=Таблицаx_2[[#This Row],[Месяц]],Таблицаx_2[[#This Row],[id]]=A2452,EDATE(Таблицаx_2[[#This Row],[Месяц]],1)=D2452),F2452,0)</f>
        <v>0</v>
      </c>
      <c r="K2451" s="8">
        <f>IF(AND(Таблицаx_2[[#This Row],[Месяц окончания]]=Таблицаx_2[[#This Row],[Месяц]],Таблицаx_2[[#This Row],[id]]=A2452,EDATE(Таблицаx_2[[#This Row],[Месяц]],2)=D2452),F2452,0)</f>
        <v>0</v>
      </c>
    </row>
    <row r="2452" spans="1:11" ht="12.75" hidden="1" customHeight="1" x14ac:dyDescent="0.2">
      <c r="A2452" s="8">
        <v>868</v>
      </c>
      <c r="B2452" s="8"/>
      <c r="C2452" s="8" t="s">
        <v>6</v>
      </c>
      <c r="D2452" s="12">
        <v>45200</v>
      </c>
      <c r="E2452" s="8">
        <v>51650</v>
      </c>
      <c r="F2452" s="10">
        <f>IF(ISTEXT(Таблицаx_2[[#This Row],[Значение]]), 0, Таблицаx_2[[#This Row],[Значение]])</f>
        <v>51650</v>
      </c>
      <c r="G2452" s="12">
        <v>45261</v>
      </c>
      <c r="H2452" s="10" t="str">
        <f>IFERROR(VLOOKUP(Таблицаx_2[[#This Row],[id]],prolongations!A:C,2,)," ")</f>
        <v>декабрь 2023</v>
      </c>
      <c r="I2452" s="10">
        <f>IF(Таблицаx_2[[#This Row],[Месяц окончания]]=Таблицаx_2[[#This Row],[Месяц]],Таблицаx_2[[#This Row],[Значения числа]],0)</f>
        <v>0</v>
      </c>
      <c r="J2452" s="8">
        <f>IF(AND(Таблицаx_2[[#This Row],[Месяц окончания]]=Таблицаx_2[[#This Row],[Месяц]],Таблицаx_2[[#This Row],[id]]=A2453,EDATE(Таблицаx_2[[#This Row],[Месяц]],1)=D2453),F2453,0)</f>
        <v>0</v>
      </c>
      <c r="K2452" s="8">
        <f>IF(AND(Таблицаx_2[[#This Row],[Месяц окончания]]=Таблицаx_2[[#This Row],[Месяц]],Таблицаx_2[[#This Row],[id]]=A2453,EDATE(Таблицаx_2[[#This Row],[Месяц]],2)=D2453),F2453,0)</f>
        <v>0</v>
      </c>
    </row>
    <row r="2453" spans="1:11" ht="12.75" hidden="1" customHeight="1" x14ac:dyDescent="0.2">
      <c r="A2453" s="8">
        <v>868</v>
      </c>
      <c r="B2453" s="8"/>
      <c r="C2453" s="8" t="s">
        <v>6</v>
      </c>
      <c r="D2453" s="12">
        <v>45231</v>
      </c>
      <c r="E2453" s="8">
        <v>52690</v>
      </c>
      <c r="F2453" s="10">
        <f>IF(ISTEXT(Таблицаx_2[[#This Row],[Значение]]), 0, Таблицаx_2[[#This Row],[Значение]])</f>
        <v>52690</v>
      </c>
      <c r="G2453" s="12">
        <v>45261</v>
      </c>
      <c r="H2453" s="10" t="str">
        <f>IFERROR(VLOOKUP(Таблицаx_2[[#This Row],[id]],prolongations!A:C,2,)," ")</f>
        <v>декабрь 2023</v>
      </c>
      <c r="I2453" s="10">
        <f>IF(Таблицаx_2[[#This Row],[Месяц окончания]]=Таблицаx_2[[#This Row],[Месяц]],Таблицаx_2[[#This Row],[Значения числа]],0)</f>
        <v>0</v>
      </c>
      <c r="J2453" s="8">
        <f>IF(AND(Таблицаx_2[[#This Row],[Месяц окончания]]=Таблицаx_2[[#This Row],[Месяц]],Таблицаx_2[[#This Row],[id]]=A2454,EDATE(Таблицаx_2[[#This Row],[Месяц]],1)=D2454),F2454,0)</f>
        <v>0</v>
      </c>
      <c r="K2453" s="8">
        <f>IF(AND(Таблицаx_2[[#This Row],[Месяц окончания]]=Таблицаx_2[[#This Row],[Месяц]],Таблицаx_2[[#This Row],[id]]=A2454,EDATE(Таблицаx_2[[#This Row],[Месяц]],2)=D2454),F2454,0)</f>
        <v>0</v>
      </c>
    </row>
    <row r="2454" spans="1:11" ht="12.75" hidden="1" customHeight="1" x14ac:dyDescent="0.2">
      <c r="A2454" s="8">
        <v>868</v>
      </c>
      <c r="B2454" s="8"/>
      <c r="C2454" s="8" t="s">
        <v>6</v>
      </c>
      <c r="D2454" s="12">
        <v>45261</v>
      </c>
      <c r="E2454" s="8">
        <v>52690</v>
      </c>
      <c r="F2454" s="10">
        <f>IF(ISTEXT(Таблицаx_2[[#This Row],[Значение]]), 0, Таблицаx_2[[#This Row],[Значение]])</f>
        <v>52690</v>
      </c>
      <c r="G2454" s="12">
        <v>45261</v>
      </c>
      <c r="H2454" s="10" t="str">
        <f>IFERROR(VLOOKUP(Таблицаx_2[[#This Row],[id]],prolongations!A:C,2,)," ")</f>
        <v>декабрь 2023</v>
      </c>
      <c r="I2454" s="10">
        <f>IF(Таблицаx_2[[#This Row],[Месяц окончания]]=Таблицаx_2[[#This Row],[Месяц]],Таблицаx_2[[#This Row],[Значения числа]],0)</f>
        <v>52690</v>
      </c>
      <c r="J2454" s="8">
        <f>IF(AND(Таблицаx_2[[#This Row],[Месяц окончания]]=Таблицаx_2[[#This Row],[Месяц]],Таблицаx_2[[#This Row],[id]]=A2455,EDATE(Таблицаx_2[[#This Row],[Месяц]],1)=D2455),F2455,0)</f>
        <v>0</v>
      </c>
      <c r="K2454" s="8">
        <f>IF(AND(Таблицаx_2[[#This Row],[Месяц окончания]]=Таблицаx_2[[#This Row],[Месяц]],Таблицаx_2[[#This Row],[id]]=A2455,EDATE(Таблицаx_2[[#This Row],[Месяц]],2)=D2455),F2455,0)</f>
        <v>0</v>
      </c>
    </row>
    <row r="2455" spans="1:11" ht="12.75" hidden="1" customHeight="1" x14ac:dyDescent="0.2">
      <c r="A2455" s="8">
        <v>682</v>
      </c>
      <c r="B2455" s="8" t="s">
        <v>45</v>
      </c>
      <c r="C2455" s="8" t="s">
        <v>4</v>
      </c>
      <c r="D2455" s="12">
        <v>44866</v>
      </c>
      <c r="E2455" s="8">
        <v>28864</v>
      </c>
      <c r="F2455" s="10">
        <f>IF(ISTEXT(Таблицаx_2[[#This Row],[Значение]]), 0, Таблицаx_2[[#This Row],[Значение]])</f>
        <v>28864</v>
      </c>
      <c r="G2455" s="12">
        <v>44986</v>
      </c>
      <c r="H2455" s="10" t="str">
        <f>IFERROR(VLOOKUP(Таблицаx_2[[#This Row],[id]],prolongations!A:C,2,)," ")</f>
        <v>март 2023</v>
      </c>
      <c r="I2455" s="10">
        <f>IF(Таблицаx_2[[#This Row],[Месяц окончания]]=Таблицаx_2[[#This Row],[Месяц]],Таблицаx_2[[#This Row],[Значения числа]],0)</f>
        <v>0</v>
      </c>
      <c r="J2455" s="8">
        <f>IF(AND(Таблицаx_2[[#This Row],[Месяц окончания]]=Таблицаx_2[[#This Row],[Месяц]],Таблицаx_2[[#This Row],[id]]=A2456,EDATE(Таблицаx_2[[#This Row],[Месяц]],1)=D2456),F2456,0)</f>
        <v>0</v>
      </c>
      <c r="K2455" s="8">
        <f>IF(AND(Таблицаx_2[[#This Row],[Месяц окончания]]=Таблицаx_2[[#This Row],[Месяц]],Таблицаx_2[[#This Row],[id]]=A2456,EDATE(Таблицаx_2[[#This Row],[Месяц]],2)=D2456),F2456,0)</f>
        <v>0</v>
      </c>
    </row>
    <row r="2456" spans="1:11" ht="12.75" hidden="1" customHeight="1" x14ac:dyDescent="0.2">
      <c r="A2456" s="8">
        <v>682</v>
      </c>
      <c r="B2456" s="8" t="s">
        <v>45</v>
      </c>
      <c r="C2456" s="8" t="s">
        <v>4</v>
      </c>
      <c r="D2456" s="12">
        <v>44896</v>
      </c>
      <c r="E2456" s="8">
        <v>23944</v>
      </c>
      <c r="F2456" s="10">
        <f>IF(ISTEXT(Таблицаx_2[[#This Row],[Значение]]), 0, Таблицаx_2[[#This Row],[Значение]])</f>
        <v>23944</v>
      </c>
      <c r="G2456" s="12">
        <v>44986</v>
      </c>
      <c r="H2456" s="10" t="str">
        <f>IFERROR(VLOOKUP(Таблицаx_2[[#This Row],[id]],prolongations!A:C,2,)," ")</f>
        <v>март 2023</v>
      </c>
      <c r="I2456" s="10">
        <f>IF(Таблицаx_2[[#This Row],[Месяц окончания]]=Таблицаx_2[[#This Row],[Месяц]],Таблицаx_2[[#This Row],[Значения числа]],0)</f>
        <v>0</v>
      </c>
      <c r="J2456" s="8">
        <f>IF(AND(Таблицаx_2[[#This Row],[Месяц окончания]]=Таблицаx_2[[#This Row],[Месяц]],Таблицаx_2[[#This Row],[id]]=A2457,EDATE(Таблицаx_2[[#This Row],[Месяц]],1)=D2457),F2457,0)</f>
        <v>0</v>
      </c>
      <c r="K2456" s="8">
        <f>IF(AND(Таблицаx_2[[#This Row],[Месяц окончания]]=Таблицаx_2[[#This Row],[Месяц]],Таблицаx_2[[#This Row],[id]]=A2457,EDATE(Таблицаx_2[[#This Row],[Месяц]],2)=D2457),F2457,0)</f>
        <v>0</v>
      </c>
    </row>
    <row r="2457" spans="1:11" ht="12.75" hidden="1" customHeight="1" x14ac:dyDescent="0.2">
      <c r="A2457" s="8">
        <v>682</v>
      </c>
      <c r="B2457" s="8" t="s">
        <v>45</v>
      </c>
      <c r="C2457" s="8" t="s">
        <v>4</v>
      </c>
      <c r="D2457" s="12">
        <v>44927</v>
      </c>
      <c r="E2457" s="8">
        <v>23944</v>
      </c>
      <c r="F2457" s="10">
        <f>IF(ISTEXT(Таблицаx_2[[#This Row],[Значение]]), 0, Таблицаx_2[[#This Row],[Значение]])</f>
        <v>23944</v>
      </c>
      <c r="G2457" s="12">
        <v>44986</v>
      </c>
      <c r="H2457" s="10" t="str">
        <f>IFERROR(VLOOKUP(Таблицаx_2[[#This Row],[id]],prolongations!A:C,2,)," ")</f>
        <v>март 2023</v>
      </c>
      <c r="I2457" s="10">
        <f>IF(Таблицаx_2[[#This Row],[Месяц окончания]]=Таблицаx_2[[#This Row],[Месяц]],Таблицаx_2[[#This Row],[Значения числа]],0)</f>
        <v>0</v>
      </c>
      <c r="J2457" s="8">
        <f>IF(AND(Таблицаx_2[[#This Row],[Месяц окончания]]=Таблицаx_2[[#This Row],[Месяц]],Таблицаx_2[[#This Row],[id]]=A2458,EDATE(Таблицаx_2[[#This Row],[Месяц]],1)=D2458),F2458,0)</f>
        <v>0</v>
      </c>
      <c r="K2457" s="8">
        <f>IF(AND(Таблицаx_2[[#This Row],[Месяц окончания]]=Таблицаx_2[[#This Row],[Месяц]],Таблицаx_2[[#This Row],[id]]=A2458,EDATE(Таблицаx_2[[#This Row],[Месяц]],2)=D2458),F2458,0)</f>
        <v>0</v>
      </c>
    </row>
    <row r="2458" spans="1:11" ht="12.75" hidden="1" customHeight="1" x14ac:dyDescent="0.2">
      <c r="A2458" s="8">
        <v>682</v>
      </c>
      <c r="B2458" s="8" t="s">
        <v>45</v>
      </c>
      <c r="C2458" s="8" t="s">
        <v>4</v>
      </c>
      <c r="D2458" s="12">
        <v>44958</v>
      </c>
      <c r="E2458" s="8">
        <v>23944</v>
      </c>
      <c r="F2458" s="10">
        <f>IF(ISTEXT(Таблицаx_2[[#This Row],[Значение]]), 0, Таблицаx_2[[#This Row],[Значение]])</f>
        <v>23944</v>
      </c>
      <c r="G2458" s="12">
        <v>44986</v>
      </c>
      <c r="H2458" s="10" t="str">
        <f>IFERROR(VLOOKUP(Таблицаx_2[[#This Row],[id]],prolongations!A:C,2,)," ")</f>
        <v>март 2023</v>
      </c>
      <c r="I2458" s="10">
        <f>IF(Таблицаx_2[[#This Row],[Месяц окончания]]=Таблицаx_2[[#This Row],[Месяц]],Таблицаx_2[[#This Row],[Значения числа]],0)</f>
        <v>0</v>
      </c>
      <c r="J2458" s="8">
        <f>IF(AND(Таблицаx_2[[#This Row],[Месяц окончания]]=Таблицаx_2[[#This Row],[Месяц]],Таблицаx_2[[#This Row],[id]]=A2459,EDATE(Таблицаx_2[[#This Row],[Месяц]],1)=D2459),F2459,0)</f>
        <v>0</v>
      </c>
      <c r="K2458" s="8">
        <f>IF(AND(Таблицаx_2[[#This Row],[Месяц окончания]]=Таблицаx_2[[#This Row],[Месяц]],Таблицаx_2[[#This Row],[id]]=A2459,EDATE(Таблицаx_2[[#This Row],[Месяц]],2)=D2459),F2459,0)</f>
        <v>0</v>
      </c>
    </row>
    <row r="2459" spans="1:11" ht="12.75" hidden="1" customHeight="1" x14ac:dyDescent="0.2">
      <c r="A2459" s="8">
        <v>682</v>
      </c>
      <c r="B2459" s="8" t="s">
        <v>45</v>
      </c>
      <c r="C2459" s="8" t="s">
        <v>4</v>
      </c>
      <c r="D2459" s="12">
        <v>44986</v>
      </c>
      <c r="E2459" s="8">
        <v>23944</v>
      </c>
      <c r="F2459" s="10">
        <f>IF(ISTEXT(Таблицаx_2[[#This Row],[Значение]]), 0, Таблицаx_2[[#This Row],[Значение]])</f>
        <v>23944</v>
      </c>
      <c r="G2459" s="12">
        <v>44986</v>
      </c>
      <c r="H2459" s="10" t="str">
        <f>IFERROR(VLOOKUP(Таблицаx_2[[#This Row],[id]],prolongations!A:C,2,)," ")</f>
        <v>март 2023</v>
      </c>
      <c r="I2459" s="10">
        <f>IF(Таблицаx_2[[#This Row],[Месяц окончания]]=Таблицаx_2[[#This Row],[Месяц]],Таблицаx_2[[#This Row],[Значения числа]],0)</f>
        <v>23944</v>
      </c>
      <c r="J2459" s="8">
        <f>IF(AND(Таблицаx_2[[#This Row],[Месяц окончания]]=Таблицаx_2[[#This Row],[Месяц]],Таблицаx_2[[#This Row],[id]]=A2460,EDATE(Таблицаx_2[[#This Row],[Месяц]],1)=D2460),F2460,0)</f>
        <v>0</v>
      </c>
      <c r="K2459" s="8">
        <f>IF(AND(Таблицаx_2[[#This Row],[Месяц окончания]]=Таблицаx_2[[#This Row],[Месяц]],Таблицаx_2[[#This Row],[id]]=A2460,EDATE(Таблицаx_2[[#This Row],[Месяц]],2)=D2460),F2460,0)</f>
        <v>0</v>
      </c>
    </row>
    <row r="2460" spans="1:11" ht="12.75" hidden="1" customHeight="1" x14ac:dyDescent="0.2">
      <c r="A2460" s="8">
        <v>682</v>
      </c>
      <c r="B2460" s="8" t="s">
        <v>45</v>
      </c>
      <c r="C2460" s="8" t="s">
        <v>4</v>
      </c>
      <c r="D2460" s="12">
        <v>45170</v>
      </c>
      <c r="E2460" s="8">
        <v>90075</v>
      </c>
      <c r="F2460" s="10">
        <f>IF(ISTEXT(Таблицаx_2[[#This Row],[Значение]]), 0, Таблицаx_2[[#This Row],[Значение]])</f>
        <v>90075</v>
      </c>
      <c r="G2460" s="12">
        <v>44986</v>
      </c>
      <c r="H2460" s="10" t="str">
        <f>IFERROR(VLOOKUP(Таблицаx_2[[#This Row],[id]],prolongations!A:C,2,)," ")</f>
        <v>март 2023</v>
      </c>
      <c r="I2460" s="10">
        <f>IF(Таблицаx_2[[#This Row],[Месяц окончания]]=Таблицаx_2[[#This Row],[Месяц]],Таблицаx_2[[#This Row],[Значения числа]],0)</f>
        <v>0</v>
      </c>
      <c r="J2460" s="8">
        <f>IF(AND(Таблицаx_2[[#This Row],[Месяц окончания]]=Таблицаx_2[[#This Row],[Месяц]],Таблицаx_2[[#This Row],[id]]=A2461,EDATE(Таблицаx_2[[#This Row],[Месяц]],1)=D2461),F2461,0)</f>
        <v>0</v>
      </c>
      <c r="K2460" s="8">
        <f>IF(AND(Таблицаx_2[[#This Row],[Месяц окончания]]=Таблицаx_2[[#This Row],[Месяц]],Таблицаx_2[[#This Row],[id]]=A2461,EDATE(Таблицаx_2[[#This Row],[Месяц]],2)=D2461),F2461,0)</f>
        <v>0</v>
      </c>
    </row>
    <row r="2461" spans="1:11" ht="12.75" hidden="1" customHeight="1" x14ac:dyDescent="0.2">
      <c r="A2461" s="8">
        <v>682</v>
      </c>
      <c r="B2461" s="8" t="s">
        <v>45</v>
      </c>
      <c r="C2461" s="8" t="s">
        <v>4</v>
      </c>
      <c r="D2461" s="12">
        <v>45200</v>
      </c>
      <c r="E2461" s="8">
        <v>90075</v>
      </c>
      <c r="F2461" s="10">
        <f>IF(ISTEXT(Таблицаx_2[[#This Row],[Значение]]), 0, Таблицаx_2[[#This Row],[Значение]])</f>
        <v>90075</v>
      </c>
      <c r="G2461" s="12">
        <v>44986</v>
      </c>
      <c r="H2461" s="10" t="str">
        <f>IFERROR(VLOOKUP(Таблицаx_2[[#This Row],[id]],prolongations!A:C,2,)," ")</f>
        <v>март 2023</v>
      </c>
      <c r="I2461" s="10">
        <f>IF(Таблицаx_2[[#This Row],[Месяц окончания]]=Таблицаx_2[[#This Row],[Месяц]],Таблицаx_2[[#This Row],[Значения числа]],0)</f>
        <v>0</v>
      </c>
      <c r="J2461" s="8">
        <f>IF(AND(Таблицаx_2[[#This Row],[Месяц окончания]]=Таблицаx_2[[#This Row],[Месяц]],Таблицаx_2[[#This Row],[id]]=A2462,EDATE(Таблицаx_2[[#This Row],[Месяц]],1)=D2462),F2462,0)</f>
        <v>0</v>
      </c>
      <c r="K2461" s="8">
        <f>IF(AND(Таблицаx_2[[#This Row],[Месяц окончания]]=Таблицаx_2[[#This Row],[Месяц]],Таблицаx_2[[#This Row],[id]]=A2462,EDATE(Таблицаx_2[[#This Row],[Месяц]],2)=D2462),F2462,0)</f>
        <v>0</v>
      </c>
    </row>
    <row r="2462" spans="1:11" ht="12.75" hidden="1" customHeight="1" x14ac:dyDescent="0.2">
      <c r="A2462" s="8">
        <v>682</v>
      </c>
      <c r="B2462" s="8" t="s">
        <v>45</v>
      </c>
      <c r="C2462" s="8" t="s">
        <v>4</v>
      </c>
      <c r="D2462" s="12">
        <v>45231</v>
      </c>
      <c r="E2462" s="8">
        <v>90075</v>
      </c>
      <c r="F2462" s="10">
        <f>IF(ISTEXT(Таблицаx_2[[#This Row],[Значение]]), 0, Таблицаx_2[[#This Row],[Значение]])</f>
        <v>90075</v>
      </c>
      <c r="G2462" s="12">
        <v>44986</v>
      </c>
      <c r="H2462" s="10" t="str">
        <f>IFERROR(VLOOKUP(Таблицаx_2[[#This Row],[id]],prolongations!A:C,2,)," ")</f>
        <v>март 2023</v>
      </c>
      <c r="I2462" s="10">
        <f>IF(Таблицаx_2[[#This Row],[Месяц окончания]]=Таблицаx_2[[#This Row],[Месяц]],Таблицаx_2[[#This Row],[Значения числа]],0)</f>
        <v>0</v>
      </c>
      <c r="J2462" s="8">
        <f>IF(AND(Таблицаx_2[[#This Row],[Месяц окончания]]=Таблицаx_2[[#This Row],[Месяц]],Таблицаx_2[[#This Row],[id]]=A2463,EDATE(Таблицаx_2[[#This Row],[Месяц]],1)=D2463),F2463,0)</f>
        <v>0</v>
      </c>
      <c r="K2462" s="8">
        <f>IF(AND(Таблицаx_2[[#This Row],[Месяц окончания]]=Таблицаx_2[[#This Row],[Месяц]],Таблицаx_2[[#This Row],[id]]=A2463,EDATE(Таблицаx_2[[#This Row],[Месяц]],2)=D2463),F2463,0)</f>
        <v>0</v>
      </c>
    </row>
    <row r="2463" spans="1:11" ht="12.75" hidden="1" customHeight="1" x14ac:dyDescent="0.2">
      <c r="A2463" s="8">
        <v>682</v>
      </c>
      <c r="B2463" s="8" t="s">
        <v>45</v>
      </c>
      <c r="C2463" s="8" t="s">
        <v>4</v>
      </c>
      <c r="D2463" s="12">
        <v>45261</v>
      </c>
      <c r="E2463" s="8">
        <v>90075</v>
      </c>
      <c r="F2463" s="10">
        <f>IF(ISTEXT(Таблицаx_2[[#This Row],[Значение]]), 0, Таблицаx_2[[#This Row],[Значение]])</f>
        <v>90075</v>
      </c>
      <c r="G2463" s="12">
        <v>44986</v>
      </c>
      <c r="H2463" s="10" t="str">
        <f>IFERROR(VLOOKUP(Таблицаx_2[[#This Row],[id]],prolongations!A:C,2,)," ")</f>
        <v>март 2023</v>
      </c>
      <c r="I2463" s="10">
        <f>IF(Таблицаx_2[[#This Row],[Месяц окончания]]=Таблицаx_2[[#This Row],[Месяц]],Таблицаx_2[[#This Row],[Значения числа]],0)</f>
        <v>0</v>
      </c>
      <c r="J2463" s="8">
        <f>IF(AND(Таблицаx_2[[#This Row],[Месяц окончания]]=Таблицаx_2[[#This Row],[Месяц]],Таблицаx_2[[#This Row],[id]]=A2464,EDATE(Таблицаx_2[[#This Row],[Месяц]],1)=D2464),F2464,0)</f>
        <v>0</v>
      </c>
      <c r="K2463" s="8">
        <f>IF(AND(Таблицаx_2[[#This Row],[Месяц окончания]]=Таблицаx_2[[#This Row],[Месяц]],Таблицаx_2[[#This Row],[id]]=A2464,EDATE(Таблицаx_2[[#This Row],[Месяц]],2)=D2464),F2464,0)</f>
        <v>0</v>
      </c>
    </row>
    <row r="2464" spans="1:11" ht="12.75" hidden="1" customHeight="1" x14ac:dyDescent="0.2">
      <c r="A2464" s="8">
        <v>682</v>
      </c>
      <c r="B2464" s="8" t="s">
        <v>47</v>
      </c>
      <c r="C2464" s="8" t="s">
        <v>4</v>
      </c>
      <c r="D2464" s="12">
        <v>44866</v>
      </c>
      <c r="E2464" s="8">
        <v>274011.2</v>
      </c>
      <c r="F2464" s="10">
        <f>IF(ISTEXT(Таблицаx_2[[#This Row],[Значение]]), 0, Таблицаx_2[[#This Row],[Значение]])</f>
        <v>274011.2</v>
      </c>
      <c r="G2464" s="12">
        <v>44986</v>
      </c>
      <c r="H2464" s="10" t="str">
        <f>IFERROR(VLOOKUP(Таблицаx_2[[#This Row],[id]],prolongations!A:C,2,)," ")</f>
        <v>март 2023</v>
      </c>
      <c r="I2464" s="10">
        <f>IF(Таблицаx_2[[#This Row],[Месяц окончания]]=Таблицаx_2[[#This Row],[Месяц]],Таблицаx_2[[#This Row],[Значения числа]],0)</f>
        <v>0</v>
      </c>
      <c r="J2464" s="8">
        <f>IF(AND(Таблицаx_2[[#This Row],[Месяц окончания]]=Таблицаx_2[[#This Row],[Месяц]],Таблицаx_2[[#This Row],[id]]=A2465,EDATE(Таблицаx_2[[#This Row],[Месяц]],1)=D2465),F2465,0)</f>
        <v>0</v>
      </c>
      <c r="K2464" s="8">
        <f>IF(AND(Таблицаx_2[[#This Row],[Месяц окончания]]=Таблицаx_2[[#This Row],[Месяц]],Таблицаx_2[[#This Row],[id]]=A2465,EDATE(Таблицаx_2[[#This Row],[Месяц]],2)=D2465),F2465,0)</f>
        <v>0</v>
      </c>
    </row>
    <row r="2465" spans="1:11" ht="12.75" hidden="1" customHeight="1" x14ac:dyDescent="0.2">
      <c r="A2465" s="8">
        <v>682</v>
      </c>
      <c r="B2465" s="8" t="s">
        <v>47</v>
      </c>
      <c r="C2465" s="8" t="s">
        <v>4</v>
      </c>
      <c r="D2465" s="12">
        <v>44896</v>
      </c>
      <c r="E2465" s="8">
        <v>287852.79999999999</v>
      </c>
      <c r="F2465" s="10">
        <f>IF(ISTEXT(Таблицаx_2[[#This Row],[Значение]]), 0, Таблицаx_2[[#This Row],[Значение]])</f>
        <v>287852.79999999999</v>
      </c>
      <c r="G2465" s="12">
        <v>44986</v>
      </c>
      <c r="H2465" s="10" t="str">
        <f>IFERROR(VLOOKUP(Таблицаx_2[[#This Row],[id]],prolongations!A:C,2,)," ")</f>
        <v>март 2023</v>
      </c>
      <c r="I2465" s="10">
        <f>IF(Таблицаx_2[[#This Row],[Месяц окончания]]=Таблицаx_2[[#This Row],[Месяц]],Таблицаx_2[[#This Row],[Значения числа]],0)</f>
        <v>0</v>
      </c>
      <c r="J2465" s="8">
        <f>IF(AND(Таблицаx_2[[#This Row],[Месяц окончания]]=Таблицаx_2[[#This Row],[Месяц]],Таблицаx_2[[#This Row],[id]]=A2466,EDATE(Таблицаx_2[[#This Row],[Месяц]],1)=D2466),F2466,0)</f>
        <v>0</v>
      </c>
      <c r="K2465" s="8">
        <f>IF(AND(Таблицаx_2[[#This Row],[Месяц окончания]]=Таблицаx_2[[#This Row],[Месяц]],Таблицаx_2[[#This Row],[id]]=A2466,EDATE(Таблицаx_2[[#This Row],[Месяц]],2)=D2466),F2466,0)</f>
        <v>0</v>
      </c>
    </row>
    <row r="2466" spans="1:11" ht="12.75" hidden="1" customHeight="1" x14ac:dyDescent="0.2">
      <c r="A2466" s="8">
        <v>682</v>
      </c>
      <c r="B2466" s="8" t="s">
        <v>47</v>
      </c>
      <c r="C2466" s="8" t="s">
        <v>4</v>
      </c>
      <c r="D2466" s="12">
        <v>44927</v>
      </c>
      <c r="E2466" s="8">
        <v>243732.7</v>
      </c>
      <c r="F2466" s="10">
        <f>IF(ISTEXT(Таблицаx_2[[#This Row],[Значение]]), 0, Таблицаx_2[[#This Row],[Значение]])</f>
        <v>243732.7</v>
      </c>
      <c r="G2466" s="12">
        <v>44986</v>
      </c>
      <c r="H2466" s="10" t="str">
        <f>IFERROR(VLOOKUP(Таблицаx_2[[#This Row],[id]],prolongations!A:C,2,)," ")</f>
        <v>март 2023</v>
      </c>
      <c r="I2466" s="10">
        <f>IF(Таблицаx_2[[#This Row],[Месяц окончания]]=Таблицаx_2[[#This Row],[Месяц]],Таблицаx_2[[#This Row],[Значения числа]],0)</f>
        <v>0</v>
      </c>
      <c r="J2466" s="8">
        <f>IF(AND(Таблицаx_2[[#This Row],[Месяц окончания]]=Таблицаx_2[[#This Row],[Месяц]],Таблицаx_2[[#This Row],[id]]=A2467,EDATE(Таблицаx_2[[#This Row],[Месяц]],1)=D2467),F2467,0)</f>
        <v>0</v>
      </c>
      <c r="K2466" s="8">
        <f>IF(AND(Таблицаx_2[[#This Row],[Месяц окончания]]=Таблицаx_2[[#This Row],[Месяц]],Таблицаx_2[[#This Row],[id]]=A2467,EDATE(Таблицаx_2[[#This Row],[Месяц]],2)=D2467),F2467,0)</f>
        <v>0</v>
      </c>
    </row>
    <row r="2467" spans="1:11" ht="12.75" hidden="1" customHeight="1" x14ac:dyDescent="0.2">
      <c r="A2467" s="8">
        <v>682</v>
      </c>
      <c r="B2467" s="8" t="s">
        <v>47</v>
      </c>
      <c r="C2467" s="8" t="s">
        <v>4</v>
      </c>
      <c r="D2467" s="12">
        <v>44958</v>
      </c>
      <c r="E2467" s="8">
        <v>277295.8</v>
      </c>
      <c r="F2467" s="10">
        <f>IF(ISTEXT(Таблицаx_2[[#This Row],[Значение]]), 0, Таблицаx_2[[#This Row],[Значение]])</f>
        <v>277295.8</v>
      </c>
      <c r="G2467" s="12">
        <v>44986</v>
      </c>
      <c r="H2467" s="10" t="str">
        <f>IFERROR(VLOOKUP(Таблицаx_2[[#This Row],[id]],prolongations!A:C,2,)," ")</f>
        <v>март 2023</v>
      </c>
      <c r="I2467" s="10">
        <f>IF(Таблицаx_2[[#This Row],[Месяц окончания]]=Таблицаx_2[[#This Row],[Месяц]],Таблицаx_2[[#This Row],[Значения числа]],0)</f>
        <v>0</v>
      </c>
      <c r="J2467" s="8">
        <f>IF(AND(Таблицаx_2[[#This Row],[Месяц окончания]]=Таблицаx_2[[#This Row],[Месяц]],Таблицаx_2[[#This Row],[id]]=A2468,EDATE(Таблицаx_2[[#This Row],[Месяц]],1)=D2468),F2468,0)</f>
        <v>0</v>
      </c>
      <c r="K2467" s="8">
        <f>IF(AND(Таблицаx_2[[#This Row],[Месяц окончания]]=Таблицаx_2[[#This Row],[Месяц]],Таблицаx_2[[#This Row],[id]]=A2468,EDATE(Таблицаx_2[[#This Row],[Месяц]],2)=D2468),F2468,0)</f>
        <v>0</v>
      </c>
    </row>
    <row r="2468" spans="1:11" ht="12.75" hidden="1" customHeight="1" x14ac:dyDescent="0.2">
      <c r="A2468" s="8">
        <v>682</v>
      </c>
      <c r="B2468" s="8" t="s">
        <v>47</v>
      </c>
      <c r="C2468" s="8" t="s">
        <v>4</v>
      </c>
      <c r="D2468" s="12">
        <v>44986</v>
      </c>
      <c r="E2468" s="8">
        <v>252063.9</v>
      </c>
      <c r="F2468" s="10">
        <f>IF(ISTEXT(Таблицаx_2[[#This Row],[Значение]]), 0, Таблицаx_2[[#This Row],[Значение]])</f>
        <v>252063.9</v>
      </c>
      <c r="G2468" s="12">
        <v>44986</v>
      </c>
      <c r="H2468" s="10" t="str">
        <f>IFERROR(VLOOKUP(Таблицаx_2[[#This Row],[id]],prolongations!A:C,2,)," ")</f>
        <v>март 2023</v>
      </c>
      <c r="I2468" s="10">
        <f>IF(Таблицаx_2[[#This Row],[Месяц окончания]]=Таблицаx_2[[#This Row],[Месяц]],Таблицаx_2[[#This Row],[Значения числа]],0)</f>
        <v>252063.9</v>
      </c>
      <c r="J2468" s="8">
        <f>IF(AND(Таблицаx_2[[#This Row],[Месяц окончания]]=Таблицаx_2[[#This Row],[Месяц]],Таблицаx_2[[#This Row],[id]]=A2469,EDATE(Таблицаx_2[[#This Row],[Месяц]],1)=D2469),F2469,0)</f>
        <v>0</v>
      </c>
      <c r="K2468" s="8">
        <f>IF(AND(Таблицаx_2[[#This Row],[Месяц окончания]]=Таблицаx_2[[#This Row],[Месяц]],Таблицаx_2[[#This Row],[id]]=A2469,EDATE(Таблицаx_2[[#This Row],[Месяц]],2)=D2469),F2469,0)</f>
        <v>0</v>
      </c>
    </row>
    <row r="2469" spans="1:11" ht="12.75" hidden="1" customHeight="1" x14ac:dyDescent="0.2">
      <c r="A2469" s="8">
        <v>951</v>
      </c>
      <c r="B2469" s="8"/>
      <c r="C2469" s="8" t="s">
        <v>4</v>
      </c>
      <c r="D2469" s="12">
        <v>45170</v>
      </c>
      <c r="E2469" s="8">
        <v>402400</v>
      </c>
      <c r="F2469" s="10">
        <f>IF(ISTEXT(Таблицаx_2[[#This Row],[Значение]]), 0, Таблицаx_2[[#This Row],[Значение]])</f>
        <v>402400</v>
      </c>
      <c r="G2469" s="12">
        <v>45261</v>
      </c>
      <c r="H2469" s="10" t="str">
        <f>IFERROR(VLOOKUP(Таблицаx_2[[#This Row],[id]],prolongations!A:C,2,)," ")</f>
        <v>декабрь 2023</v>
      </c>
      <c r="I2469" s="10">
        <f>IF(Таблицаx_2[[#This Row],[Месяц окончания]]=Таблицаx_2[[#This Row],[Месяц]],Таблицаx_2[[#This Row],[Значения числа]],0)</f>
        <v>0</v>
      </c>
      <c r="J2469" s="8">
        <f>IF(AND(Таблицаx_2[[#This Row],[Месяц окончания]]=Таблицаx_2[[#This Row],[Месяц]],Таблицаx_2[[#This Row],[id]]=A2470,EDATE(Таблицаx_2[[#This Row],[Месяц]],1)=D2470),F2470,0)</f>
        <v>0</v>
      </c>
      <c r="K2469" s="8">
        <f>IF(AND(Таблицаx_2[[#This Row],[Месяц окончания]]=Таблицаx_2[[#This Row],[Месяц]],Таблицаx_2[[#This Row],[id]]=A2470,EDATE(Таблицаx_2[[#This Row],[Месяц]],2)=D2470),F2470,0)</f>
        <v>0</v>
      </c>
    </row>
    <row r="2470" spans="1:11" ht="12.75" hidden="1" customHeight="1" x14ac:dyDescent="0.2">
      <c r="A2470" s="8">
        <v>951</v>
      </c>
      <c r="B2470" s="8"/>
      <c r="C2470" s="8" t="s">
        <v>4</v>
      </c>
      <c r="D2470" s="12">
        <v>45200</v>
      </c>
      <c r="E2470" s="8">
        <v>402400</v>
      </c>
      <c r="F2470" s="10">
        <f>IF(ISTEXT(Таблицаx_2[[#This Row],[Значение]]), 0, Таблицаx_2[[#This Row],[Значение]])</f>
        <v>402400</v>
      </c>
      <c r="G2470" s="12">
        <v>45261</v>
      </c>
      <c r="H2470" s="10" t="str">
        <f>IFERROR(VLOOKUP(Таблицаx_2[[#This Row],[id]],prolongations!A:C,2,)," ")</f>
        <v>декабрь 2023</v>
      </c>
      <c r="I2470" s="10">
        <f>IF(Таблицаx_2[[#This Row],[Месяц окончания]]=Таблицаx_2[[#This Row],[Месяц]],Таблицаx_2[[#This Row],[Значения числа]],0)</f>
        <v>0</v>
      </c>
      <c r="J2470" s="8">
        <f>IF(AND(Таблицаx_2[[#This Row],[Месяц окончания]]=Таблицаx_2[[#This Row],[Месяц]],Таблицаx_2[[#This Row],[id]]=A2471,EDATE(Таблицаx_2[[#This Row],[Месяц]],1)=D2471),F2471,0)</f>
        <v>0</v>
      </c>
      <c r="K2470" s="8">
        <f>IF(AND(Таблицаx_2[[#This Row],[Месяц окончания]]=Таблицаx_2[[#This Row],[Месяц]],Таблицаx_2[[#This Row],[id]]=A2471,EDATE(Таблицаx_2[[#This Row],[Месяц]],2)=D2471),F2471,0)</f>
        <v>0</v>
      </c>
    </row>
    <row r="2471" spans="1:11" ht="12.75" hidden="1" customHeight="1" x14ac:dyDescent="0.2">
      <c r="A2471" s="8">
        <v>951</v>
      </c>
      <c r="B2471" s="8"/>
      <c r="C2471" s="8" t="s">
        <v>4</v>
      </c>
      <c r="D2471" s="12">
        <v>45231</v>
      </c>
      <c r="E2471" s="8">
        <v>402400</v>
      </c>
      <c r="F2471" s="10">
        <f>IF(ISTEXT(Таблицаx_2[[#This Row],[Значение]]), 0, Таблицаx_2[[#This Row],[Значение]])</f>
        <v>402400</v>
      </c>
      <c r="G2471" s="12">
        <v>45261</v>
      </c>
      <c r="H2471" s="10" t="str">
        <f>IFERROR(VLOOKUP(Таблицаx_2[[#This Row],[id]],prolongations!A:C,2,)," ")</f>
        <v>декабрь 2023</v>
      </c>
      <c r="I2471" s="10">
        <f>IF(Таблицаx_2[[#This Row],[Месяц окончания]]=Таблицаx_2[[#This Row],[Месяц]],Таблицаx_2[[#This Row],[Значения числа]],0)</f>
        <v>0</v>
      </c>
      <c r="J2471" s="8">
        <f>IF(AND(Таблицаx_2[[#This Row],[Месяц окончания]]=Таблицаx_2[[#This Row],[Месяц]],Таблицаx_2[[#This Row],[id]]=A2472,EDATE(Таблицаx_2[[#This Row],[Месяц]],1)=D2472),F2472,0)</f>
        <v>0</v>
      </c>
      <c r="K2471" s="8">
        <f>IF(AND(Таблицаx_2[[#This Row],[Месяц окончания]]=Таблицаx_2[[#This Row],[Месяц]],Таблицаx_2[[#This Row],[id]]=A2472,EDATE(Таблицаx_2[[#This Row],[Месяц]],2)=D2472),F2472,0)</f>
        <v>0</v>
      </c>
    </row>
    <row r="2472" spans="1:11" ht="12.75" hidden="1" customHeight="1" x14ac:dyDescent="0.2">
      <c r="A2472" s="8">
        <v>951</v>
      </c>
      <c r="B2472" s="8"/>
      <c r="C2472" s="8" t="s">
        <v>4</v>
      </c>
      <c r="D2472" s="12">
        <v>45261</v>
      </c>
      <c r="E2472" s="8">
        <v>402400</v>
      </c>
      <c r="F2472" s="10">
        <f>IF(ISTEXT(Таблицаx_2[[#This Row],[Значение]]), 0, Таблицаx_2[[#This Row],[Значение]])</f>
        <v>402400</v>
      </c>
      <c r="G2472" s="12">
        <v>45261</v>
      </c>
      <c r="H2472" s="10" t="str">
        <f>IFERROR(VLOOKUP(Таблицаx_2[[#This Row],[id]],prolongations!A:C,2,)," ")</f>
        <v>декабрь 2023</v>
      </c>
      <c r="I2472" s="10">
        <f>IF(Таблицаx_2[[#This Row],[Месяц окончания]]=Таблицаx_2[[#This Row],[Месяц]],Таблицаx_2[[#This Row],[Значения числа]],0)</f>
        <v>402400</v>
      </c>
      <c r="J2472" s="8">
        <f>IF(AND(Таблицаx_2[[#This Row],[Месяц окончания]]=Таблицаx_2[[#This Row],[Месяц]],Таблицаx_2[[#This Row],[id]]=A2473,EDATE(Таблицаx_2[[#This Row],[Месяц]],1)=D2473),F2473,0)</f>
        <v>0</v>
      </c>
      <c r="K2472" s="8">
        <f>IF(AND(Таблицаx_2[[#This Row],[Месяц окончания]]=Таблицаx_2[[#This Row],[Месяц]],Таблицаx_2[[#This Row],[id]]=A2473,EDATE(Таблицаx_2[[#This Row],[Месяц]],2)=D2473),F2473,0)</f>
        <v>0</v>
      </c>
    </row>
    <row r="2473" spans="1:11" ht="12.75" hidden="1" customHeight="1" x14ac:dyDescent="0.2">
      <c r="A2473" s="8">
        <v>777</v>
      </c>
      <c r="B2473" s="8" t="s">
        <v>45</v>
      </c>
      <c r="C2473" s="8" t="s">
        <v>6</v>
      </c>
      <c r="D2473" s="12">
        <v>44958</v>
      </c>
      <c r="E2473" s="8">
        <v>57590</v>
      </c>
      <c r="F2473" s="10">
        <f>IF(ISTEXT(Таблицаx_2[[#This Row],[Значение]]), 0, Таблицаx_2[[#This Row],[Значение]])</f>
        <v>57590</v>
      </c>
      <c r="G2473" s="12">
        <v>45261</v>
      </c>
      <c r="H2473" s="10" t="str">
        <f>IFERROR(VLOOKUP(Таблицаx_2[[#This Row],[id]],prolongations!A:C,2,)," ")</f>
        <v>декабрь 2023</v>
      </c>
      <c r="I2473" s="10">
        <f>IF(Таблицаx_2[[#This Row],[Месяц окончания]]=Таблицаx_2[[#This Row],[Месяц]],Таблицаx_2[[#This Row],[Значения числа]],0)</f>
        <v>0</v>
      </c>
      <c r="J2473" s="8">
        <f>IF(AND(Таблицаx_2[[#This Row],[Месяц окончания]]=Таблицаx_2[[#This Row],[Месяц]],Таблицаx_2[[#This Row],[id]]=A2474,EDATE(Таблицаx_2[[#This Row],[Месяц]],1)=D2474),F2474,0)</f>
        <v>0</v>
      </c>
      <c r="K2473" s="8">
        <f>IF(AND(Таблицаx_2[[#This Row],[Месяц окончания]]=Таблицаx_2[[#This Row],[Месяц]],Таблицаx_2[[#This Row],[id]]=A2474,EDATE(Таблицаx_2[[#This Row],[Месяц]],2)=D2474),F2474,0)</f>
        <v>0</v>
      </c>
    </row>
    <row r="2474" spans="1:11" ht="12.75" hidden="1" customHeight="1" x14ac:dyDescent="0.2">
      <c r="A2474" s="8">
        <v>777</v>
      </c>
      <c r="B2474" s="8" t="s">
        <v>45</v>
      </c>
      <c r="C2474" s="8" t="s">
        <v>6</v>
      </c>
      <c r="D2474" s="12">
        <v>44986</v>
      </c>
      <c r="E2474" s="8">
        <v>58275</v>
      </c>
      <c r="F2474" s="10">
        <f>IF(ISTEXT(Таблицаx_2[[#This Row],[Значение]]), 0, Таблицаx_2[[#This Row],[Значение]])</f>
        <v>58275</v>
      </c>
      <c r="G2474" s="12">
        <v>45261</v>
      </c>
      <c r="H2474" s="10" t="str">
        <f>IFERROR(VLOOKUP(Таблицаx_2[[#This Row],[id]],prolongations!A:C,2,)," ")</f>
        <v>декабрь 2023</v>
      </c>
      <c r="I2474" s="10">
        <f>IF(Таблицаx_2[[#This Row],[Месяц окончания]]=Таблицаx_2[[#This Row],[Месяц]],Таблицаx_2[[#This Row],[Значения числа]],0)</f>
        <v>0</v>
      </c>
      <c r="J2474" s="8">
        <f>IF(AND(Таблицаx_2[[#This Row],[Месяц окончания]]=Таблицаx_2[[#This Row],[Месяц]],Таблицаx_2[[#This Row],[id]]=A2475,EDATE(Таблицаx_2[[#This Row],[Месяц]],1)=D2475),F2475,0)</f>
        <v>0</v>
      </c>
      <c r="K2474" s="8">
        <f>IF(AND(Таблицаx_2[[#This Row],[Месяц окончания]]=Таблицаx_2[[#This Row],[Месяц]],Таблицаx_2[[#This Row],[id]]=A2475,EDATE(Таблицаx_2[[#This Row],[Месяц]],2)=D2475),F2475,0)</f>
        <v>0</v>
      </c>
    </row>
    <row r="2475" spans="1:11" ht="12.75" hidden="1" customHeight="1" x14ac:dyDescent="0.2">
      <c r="A2475" s="8">
        <v>777</v>
      </c>
      <c r="B2475" s="8" t="s">
        <v>45</v>
      </c>
      <c r="C2475" s="8" t="s">
        <v>6</v>
      </c>
      <c r="D2475" s="12">
        <v>45017</v>
      </c>
      <c r="E2475" s="8">
        <v>57075</v>
      </c>
      <c r="F2475" s="10">
        <f>IF(ISTEXT(Таблицаx_2[[#This Row],[Значение]]), 0, Таблицаx_2[[#This Row],[Значение]])</f>
        <v>57075</v>
      </c>
      <c r="G2475" s="12">
        <v>45261</v>
      </c>
      <c r="H2475" s="10" t="str">
        <f>IFERROR(VLOOKUP(Таблицаx_2[[#This Row],[id]],prolongations!A:C,2,)," ")</f>
        <v>декабрь 2023</v>
      </c>
      <c r="I2475" s="10">
        <f>IF(Таблицаx_2[[#This Row],[Месяц окончания]]=Таблицаx_2[[#This Row],[Месяц]],Таблицаx_2[[#This Row],[Значения числа]],0)</f>
        <v>0</v>
      </c>
      <c r="J2475" s="8">
        <f>IF(AND(Таблицаx_2[[#This Row],[Месяц окончания]]=Таблицаx_2[[#This Row],[Месяц]],Таблицаx_2[[#This Row],[id]]=A2476,EDATE(Таблицаx_2[[#This Row],[Месяц]],1)=D2476),F2476,0)</f>
        <v>0</v>
      </c>
      <c r="K2475" s="8">
        <f>IF(AND(Таблицаx_2[[#This Row],[Месяц окончания]]=Таблицаx_2[[#This Row],[Месяц]],Таблицаx_2[[#This Row],[id]]=A2476,EDATE(Таблицаx_2[[#This Row],[Месяц]],2)=D2476),F2476,0)</f>
        <v>0</v>
      </c>
    </row>
    <row r="2476" spans="1:11" ht="12.75" hidden="1" customHeight="1" x14ac:dyDescent="0.2">
      <c r="A2476" s="8">
        <v>777</v>
      </c>
      <c r="B2476" s="8" t="s">
        <v>45</v>
      </c>
      <c r="C2476" s="8" t="s">
        <v>6</v>
      </c>
      <c r="D2476" s="12">
        <v>45047</v>
      </c>
      <c r="E2476" s="8">
        <v>57075</v>
      </c>
      <c r="F2476" s="10">
        <f>IF(ISTEXT(Таблицаx_2[[#This Row],[Значение]]), 0, Таблицаx_2[[#This Row],[Значение]])</f>
        <v>57075</v>
      </c>
      <c r="G2476" s="12">
        <v>45261</v>
      </c>
      <c r="H2476" s="10" t="str">
        <f>IFERROR(VLOOKUP(Таблицаx_2[[#This Row],[id]],prolongations!A:C,2,)," ")</f>
        <v>декабрь 2023</v>
      </c>
      <c r="I2476" s="10">
        <f>IF(Таблицаx_2[[#This Row],[Месяц окончания]]=Таблицаx_2[[#This Row],[Месяц]],Таблицаx_2[[#This Row],[Значения числа]],0)</f>
        <v>0</v>
      </c>
      <c r="J2476" s="8">
        <f>IF(AND(Таблицаx_2[[#This Row],[Месяц окончания]]=Таблицаx_2[[#This Row],[Месяц]],Таблицаx_2[[#This Row],[id]]=A2477,EDATE(Таблицаx_2[[#This Row],[Месяц]],1)=D2477),F2477,0)</f>
        <v>0</v>
      </c>
      <c r="K2476" s="8">
        <f>IF(AND(Таблицаx_2[[#This Row],[Месяц окончания]]=Таблицаx_2[[#This Row],[Месяц]],Таблицаx_2[[#This Row],[id]]=A2477,EDATE(Таблицаx_2[[#This Row],[Месяц]],2)=D2477),F2477,0)</f>
        <v>0</v>
      </c>
    </row>
    <row r="2477" spans="1:11" ht="12.75" hidden="1" customHeight="1" x14ac:dyDescent="0.2">
      <c r="A2477" s="8">
        <v>777</v>
      </c>
      <c r="B2477" s="8" t="s">
        <v>45</v>
      </c>
      <c r="C2477" s="8" t="s">
        <v>6</v>
      </c>
      <c r="D2477" s="12">
        <v>45078</v>
      </c>
      <c r="E2477" s="8">
        <v>57075</v>
      </c>
      <c r="F2477" s="10">
        <f>IF(ISTEXT(Таблицаx_2[[#This Row],[Значение]]), 0, Таблицаx_2[[#This Row],[Значение]])</f>
        <v>57075</v>
      </c>
      <c r="G2477" s="12">
        <v>45261</v>
      </c>
      <c r="H2477" s="10" t="str">
        <f>IFERROR(VLOOKUP(Таблицаx_2[[#This Row],[id]],prolongations!A:C,2,)," ")</f>
        <v>декабрь 2023</v>
      </c>
      <c r="I2477" s="10">
        <f>IF(Таблицаx_2[[#This Row],[Месяц окончания]]=Таблицаx_2[[#This Row],[Месяц]],Таблицаx_2[[#This Row],[Значения числа]],0)</f>
        <v>0</v>
      </c>
      <c r="J2477" s="8">
        <f>IF(AND(Таблицаx_2[[#This Row],[Месяц окончания]]=Таблицаx_2[[#This Row],[Месяц]],Таблицаx_2[[#This Row],[id]]=A2478,EDATE(Таблицаx_2[[#This Row],[Месяц]],1)=D2478),F2478,0)</f>
        <v>0</v>
      </c>
      <c r="K2477" s="8">
        <f>IF(AND(Таблицаx_2[[#This Row],[Месяц окончания]]=Таблицаx_2[[#This Row],[Месяц]],Таблицаx_2[[#This Row],[id]]=A2478,EDATE(Таблицаx_2[[#This Row],[Месяц]],2)=D2478),F2478,0)</f>
        <v>0</v>
      </c>
    </row>
    <row r="2478" spans="1:11" ht="12.75" hidden="1" customHeight="1" x14ac:dyDescent="0.2">
      <c r="A2478" s="8">
        <v>777</v>
      </c>
      <c r="B2478" s="8" t="s">
        <v>45</v>
      </c>
      <c r="C2478" s="8" t="s">
        <v>6</v>
      </c>
      <c r="D2478" s="12">
        <v>45108</v>
      </c>
      <c r="E2478" s="8">
        <v>73695</v>
      </c>
      <c r="F2478" s="10">
        <f>IF(ISTEXT(Таблицаx_2[[#This Row],[Значение]]), 0, Таблицаx_2[[#This Row],[Значение]])</f>
        <v>73695</v>
      </c>
      <c r="G2478" s="12">
        <v>45261</v>
      </c>
      <c r="H2478" s="10" t="str">
        <f>IFERROR(VLOOKUP(Таблицаx_2[[#This Row],[id]],prolongations!A:C,2,)," ")</f>
        <v>декабрь 2023</v>
      </c>
      <c r="I2478" s="10">
        <f>IF(Таблицаx_2[[#This Row],[Месяц окончания]]=Таблицаx_2[[#This Row],[Месяц]],Таблицаx_2[[#This Row],[Значения числа]],0)</f>
        <v>0</v>
      </c>
      <c r="J2478" s="8">
        <f>IF(AND(Таблицаx_2[[#This Row],[Месяц окончания]]=Таблицаx_2[[#This Row],[Месяц]],Таблицаx_2[[#This Row],[id]]=A2479,EDATE(Таблицаx_2[[#This Row],[Месяц]],1)=D2479),F2479,0)</f>
        <v>0</v>
      </c>
      <c r="K2478" s="8">
        <f>IF(AND(Таблицаx_2[[#This Row],[Месяц окончания]]=Таблицаx_2[[#This Row],[Месяц]],Таблицаx_2[[#This Row],[id]]=A2479,EDATE(Таблицаx_2[[#This Row],[Месяц]],2)=D2479),F2479,0)</f>
        <v>0</v>
      </c>
    </row>
    <row r="2479" spans="1:11" ht="12.75" hidden="1" customHeight="1" x14ac:dyDescent="0.2">
      <c r="A2479" s="8">
        <v>777</v>
      </c>
      <c r="B2479" s="8" t="s">
        <v>45</v>
      </c>
      <c r="C2479" s="8" t="s">
        <v>6</v>
      </c>
      <c r="D2479" s="12">
        <v>45139</v>
      </c>
      <c r="E2479" s="8">
        <v>72640</v>
      </c>
      <c r="F2479" s="10">
        <f>IF(ISTEXT(Таблицаx_2[[#This Row],[Значение]]), 0, Таблицаx_2[[#This Row],[Значение]])</f>
        <v>72640</v>
      </c>
      <c r="G2479" s="12">
        <v>45261</v>
      </c>
      <c r="H2479" s="10" t="str">
        <f>IFERROR(VLOOKUP(Таблицаx_2[[#This Row],[id]],prolongations!A:C,2,)," ")</f>
        <v>декабрь 2023</v>
      </c>
      <c r="I2479" s="10">
        <f>IF(Таблицаx_2[[#This Row],[Месяц окончания]]=Таблицаx_2[[#This Row],[Месяц]],Таблицаx_2[[#This Row],[Значения числа]],0)</f>
        <v>0</v>
      </c>
      <c r="J2479" s="8">
        <f>IF(AND(Таблицаx_2[[#This Row],[Месяц окончания]]=Таблицаx_2[[#This Row],[Месяц]],Таблицаx_2[[#This Row],[id]]=A2480,EDATE(Таблицаx_2[[#This Row],[Месяц]],1)=D2480),F2480,0)</f>
        <v>0</v>
      </c>
      <c r="K2479" s="8">
        <f>IF(AND(Таблицаx_2[[#This Row],[Месяц окончания]]=Таблицаx_2[[#This Row],[Месяц]],Таблицаx_2[[#This Row],[id]]=A2480,EDATE(Таблицаx_2[[#This Row],[Месяц]],2)=D2480),F2480,0)</f>
        <v>0</v>
      </c>
    </row>
    <row r="2480" spans="1:11" ht="12.75" hidden="1" customHeight="1" x14ac:dyDescent="0.2">
      <c r="A2480" s="8">
        <v>777</v>
      </c>
      <c r="B2480" s="8" t="s">
        <v>45</v>
      </c>
      <c r="C2480" s="8" t="s">
        <v>6</v>
      </c>
      <c r="D2480" s="12">
        <v>45170</v>
      </c>
      <c r="E2480" s="8">
        <v>73695</v>
      </c>
      <c r="F2480" s="10">
        <f>IF(ISTEXT(Таблицаx_2[[#This Row],[Значение]]), 0, Таблицаx_2[[#This Row],[Значение]])</f>
        <v>73695</v>
      </c>
      <c r="G2480" s="12">
        <v>45261</v>
      </c>
      <c r="H2480" s="10" t="str">
        <f>IFERROR(VLOOKUP(Таблицаx_2[[#This Row],[id]],prolongations!A:C,2,)," ")</f>
        <v>декабрь 2023</v>
      </c>
      <c r="I2480" s="10">
        <f>IF(Таблицаx_2[[#This Row],[Месяц окончания]]=Таблицаx_2[[#This Row],[Месяц]],Таблицаx_2[[#This Row],[Значения числа]],0)</f>
        <v>0</v>
      </c>
      <c r="J2480" s="8">
        <f>IF(AND(Таблицаx_2[[#This Row],[Месяц окончания]]=Таблицаx_2[[#This Row],[Месяц]],Таблицаx_2[[#This Row],[id]]=A2481,EDATE(Таблицаx_2[[#This Row],[Месяц]],1)=D2481),F2481,0)</f>
        <v>0</v>
      </c>
      <c r="K2480" s="8">
        <f>IF(AND(Таблицаx_2[[#This Row],[Месяц окончания]]=Таблицаx_2[[#This Row],[Месяц]],Таблицаx_2[[#This Row],[id]]=A2481,EDATE(Таблицаx_2[[#This Row],[Месяц]],2)=D2481),F2481,0)</f>
        <v>0</v>
      </c>
    </row>
    <row r="2481" spans="1:11" ht="12.75" hidden="1" customHeight="1" x14ac:dyDescent="0.2">
      <c r="A2481" s="8">
        <v>777</v>
      </c>
      <c r="B2481" s="8" t="s">
        <v>45</v>
      </c>
      <c r="C2481" s="8" t="s">
        <v>6</v>
      </c>
      <c r="D2481" s="12">
        <v>45200</v>
      </c>
      <c r="E2481" s="8">
        <v>77015</v>
      </c>
      <c r="F2481" s="10">
        <f>IF(ISTEXT(Таблицаx_2[[#This Row],[Значение]]), 0, Таблицаx_2[[#This Row],[Значение]])</f>
        <v>77015</v>
      </c>
      <c r="G2481" s="12">
        <v>45261</v>
      </c>
      <c r="H2481" s="10" t="str">
        <f>IFERROR(VLOOKUP(Таблицаx_2[[#This Row],[id]],prolongations!A:C,2,)," ")</f>
        <v>декабрь 2023</v>
      </c>
      <c r="I2481" s="10">
        <f>IF(Таблицаx_2[[#This Row],[Месяц окончания]]=Таблицаx_2[[#This Row],[Месяц]],Таблицаx_2[[#This Row],[Значения числа]],0)</f>
        <v>0</v>
      </c>
      <c r="J2481" s="8">
        <f>IF(AND(Таблицаx_2[[#This Row],[Месяц окончания]]=Таблицаx_2[[#This Row],[Месяц]],Таблицаx_2[[#This Row],[id]]=A2482,EDATE(Таблицаx_2[[#This Row],[Месяц]],1)=D2482),F2482,0)</f>
        <v>0</v>
      </c>
      <c r="K2481" s="8">
        <f>IF(AND(Таблицаx_2[[#This Row],[Месяц окончания]]=Таблицаx_2[[#This Row],[Месяц]],Таблицаx_2[[#This Row],[id]]=A2482,EDATE(Таблицаx_2[[#This Row],[Месяц]],2)=D2482),F2482,0)</f>
        <v>0</v>
      </c>
    </row>
    <row r="2482" spans="1:11" ht="12.75" hidden="1" customHeight="1" x14ac:dyDescent="0.2">
      <c r="A2482" s="8">
        <v>777</v>
      </c>
      <c r="B2482" s="8" t="s">
        <v>45</v>
      </c>
      <c r="C2482" s="8" t="s">
        <v>6</v>
      </c>
      <c r="D2482" s="12">
        <v>45231</v>
      </c>
      <c r="E2482" s="8">
        <v>81120</v>
      </c>
      <c r="F2482" s="10">
        <f>IF(ISTEXT(Таблицаx_2[[#This Row],[Значение]]), 0, Таблицаx_2[[#This Row],[Значение]])</f>
        <v>81120</v>
      </c>
      <c r="G2482" s="12">
        <v>45261</v>
      </c>
      <c r="H2482" s="10" t="str">
        <f>IFERROR(VLOOKUP(Таблицаx_2[[#This Row],[id]],prolongations!A:C,2,)," ")</f>
        <v>декабрь 2023</v>
      </c>
      <c r="I2482" s="10">
        <f>IF(Таблицаx_2[[#This Row],[Месяц окончания]]=Таблицаx_2[[#This Row],[Месяц]],Таблицаx_2[[#This Row],[Значения числа]],0)</f>
        <v>0</v>
      </c>
      <c r="J2482" s="8">
        <f>IF(AND(Таблицаx_2[[#This Row],[Месяц окончания]]=Таблицаx_2[[#This Row],[Месяц]],Таблицаx_2[[#This Row],[id]]=A2483,EDATE(Таблицаx_2[[#This Row],[Месяц]],1)=D2483),F2483,0)</f>
        <v>0</v>
      </c>
      <c r="K2482" s="8">
        <f>IF(AND(Таблицаx_2[[#This Row],[Месяц окончания]]=Таблицаx_2[[#This Row],[Месяц]],Таблицаx_2[[#This Row],[id]]=A2483,EDATE(Таблицаx_2[[#This Row],[Месяц]],2)=D2483),F2483,0)</f>
        <v>0</v>
      </c>
    </row>
    <row r="2483" spans="1:11" ht="12.75" hidden="1" customHeight="1" x14ac:dyDescent="0.2">
      <c r="A2483" s="8">
        <v>777</v>
      </c>
      <c r="B2483" s="8" t="s">
        <v>45</v>
      </c>
      <c r="C2483" s="8" t="s">
        <v>6</v>
      </c>
      <c r="D2483" s="12">
        <v>45261</v>
      </c>
      <c r="E2483" s="8">
        <v>80065</v>
      </c>
      <c r="F2483" s="10">
        <f>IF(ISTEXT(Таблицаx_2[[#This Row],[Значение]]), 0, Таблицаx_2[[#This Row],[Значение]])</f>
        <v>80065</v>
      </c>
      <c r="G2483" s="12">
        <v>45261</v>
      </c>
      <c r="H2483" s="10" t="str">
        <f>IFERROR(VLOOKUP(Таблицаx_2[[#This Row],[id]],prolongations!A:C,2,)," ")</f>
        <v>декабрь 2023</v>
      </c>
      <c r="I2483" s="10">
        <f>IF(Таблицаx_2[[#This Row],[Месяц окончания]]=Таблицаx_2[[#This Row],[Месяц]],Таблицаx_2[[#This Row],[Значения числа]],0)</f>
        <v>80065</v>
      </c>
      <c r="J2483" s="8">
        <f>IF(AND(Таблицаx_2[[#This Row],[Месяц окончания]]=Таблицаx_2[[#This Row],[Месяц]],Таблицаx_2[[#This Row],[id]]=A2484,EDATE(Таблицаx_2[[#This Row],[Месяц]],1)=D2484),F2484,0)</f>
        <v>0</v>
      </c>
      <c r="K2483" s="8">
        <f>IF(AND(Таблицаx_2[[#This Row],[Месяц окончания]]=Таблицаx_2[[#This Row],[Месяц]],Таблицаx_2[[#This Row],[id]]=A2484,EDATE(Таблицаx_2[[#This Row],[Месяц]],2)=D2484),F2484,0)</f>
        <v>0</v>
      </c>
    </row>
    <row r="2484" spans="1:11" ht="12.75" hidden="1" customHeight="1" x14ac:dyDescent="0.2">
      <c r="A2484" s="8">
        <v>777</v>
      </c>
      <c r="B2484" s="8" t="s">
        <v>47</v>
      </c>
      <c r="C2484" s="8" t="s">
        <v>6</v>
      </c>
      <c r="D2484" s="12">
        <v>44958</v>
      </c>
      <c r="E2484" s="8" t="s">
        <v>48</v>
      </c>
      <c r="F2484" s="10">
        <f>IF(ISTEXT(Таблицаx_2[[#This Row],[Значение]]), 0, Таблицаx_2[[#This Row],[Значение]])</f>
        <v>0</v>
      </c>
      <c r="G2484" s="12">
        <v>45261</v>
      </c>
      <c r="H2484" s="10" t="str">
        <f>IFERROR(VLOOKUP(Таблицаx_2[[#This Row],[id]],prolongations!A:C,2,)," ")</f>
        <v>декабрь 2023</v>
      </c>
      <c r="I2484" s="10">
        <f>IF(Таблицаx_2[[#This Row],[Месяц окончания]]=Таблицаx_2[[#This Row],[Месяц]],Таблицаx_2[[#This Row],[Значения числа]],0)</f>
        <v>0</v>
      </c>
      <c r="J2484" s="8">
        <f>IF(AND(Таблицаx_2[[#This Row],[Месяц окончания]]=Таблицаx_2[[#This Row],[Месяц]],Таблицаx_2[[#This Row],[id]]=A2485,EDATE(Таблицаx_2[[#This Row],[Месяц]],1)=D2485),F2485,0)</f>
        <v>0</v>
      </c>
      <c r="K2484" s="8">
        <f>IF(AND(Таблицаx_2[[#This Row],[Месяц окончания]]=Таблицаx_2[[#This Row],[Месяц]],Таблицаx_2[[#This Row],[id]]=A2485,EDATE(Таблицаx_2[[#This Row],[Месяц]],2)=D2485),F2485,0)</f>
        <v>0</v>
      </c>
    </row>
    <row r="2485" spans="1:11" ht="12.75" hidden="1" customHeight="1" x14ac:dyDescent="0.2">
      <c r="A2485" s="8">
        <v>777</v>
      </c>
      <c r="B2485" s="8" t="s">
        <v>47</v>
      </c>
      <c r="C2485" s="8" t="s">
        <v>6</v>
      </c>
      <c r="D2485" s="12">
        <v>44986</v>
      </c>
      <c r="E2485" s="8" t="s">
        <v>48</v>
      </c>
      <c r="F2485" s="10">
        <f>IF(ISTEXT(Таблицаx_2[[#This Row],[Значение]]), 0, Таблицаx_2[[#This Row],[Значение]])</f>
        <v>0</v>
      </c>
      <c r="G2485" s="12">
        <v>45261</v>
      </c>
      <c r="H2485" s="10" t="str">
        <f>IFERROR(VLOOKUP(Таблицаx_2[[#This Row],[id]],prolongations!A:C,2,)," ")</f>
        <v>декабрь 2023</v>
      </c>
      <c r="I2485" s="10">
        <f>IF(Таблицаx_2[[#This Row],[Месяц окончания]]=Таблицаx_2[[#This Row],[Месяц]],Таблицаx_2[[#This Row],[Значения числа]],0)</f>
        <v>0</v>
      </c>
      <c r="J2485" s="8">
        <f>IF(AND(Таблицаx_2[[#This Row],[Месяц окончания]]=Таблицаx_2[[#This Row],[Месяц]],Таблицаx_2[[#This Row],[id]]=A2486,EDATE(Таблицаx_2[[#This Row],[Месяц]],1)=D2486),F2486,0)</f>
        <v>0</v>
      </c>
      <c r="K2485" s="8">
        <f>IF(AND(Таблицаx_2[[#This Row],[Месяц окончания]]=Таблицаx_2[[#This Row],[Месяц]],Таблицаx_2[[#This Row],[id]]=A2486,EDATE(Таблицаx_2[[#This Row],[Месяц]],2)=D2486),F2486,0)</f>
        <v>0</v>
      </c>
    </row>
    <row r="2486" spans="1:11" ht="12.75" hidden="1" customHeight="1" x14ac:dyDescent="0.2">
      <c r="A2486" s="8">
        <v>777</v>
      </c>
      <c r="B2486" s="8" t="s">
        <v>47</v>
      </c>
      <c r="C2486" s="8" t="s">
        <v>6</v>
      </c>
      <c r="D2486" s="12">
        <v>45017</v>
      </c>
      <c r="E2486" s="8">
        <v>3660</v>
      </c>
      <c r="F2486" s="10">
        <f>IF(ISTEXT(Таблицаx_2[[#This Row],[Значение]]), 0, Таблицаx_2[[#This Row],[Значение]])</f>
        <v>3660</v>
      </c>
      <c r="G2486" s="12">
        <v>45261</v>
      </c>
      <c r="H2486" s="10" t="str">
        <f>IFERROR(VLOOKUP(Таблицаx_2[[#This Row],[id]],prolongations!A:C,2,)," ")</f>
        <v>декабрь 2023</v>
      </c>
      <c r="I2486" s="10">
        <f>IF(Таблицаx_2[[#This Row],[Месяц окончания]]=Таблицаx_2[[#This Row],[Месяц]],Таблицаx_2[[#This Row],[Значения числа]],0)</f>
        <v>0</v>
      </c>
      <c r="J2486" s="8">
        <f>IF(AND(Таблицаx_2[[#This Row],[Месяц окончания]]=Таблицаx_2[[#This Row],[Месяц]],Таблицаx_2[[#This Row],[id]]=A2487,EDATE(Таблицаx_2[[#This Row],[Месяц]],1)=D2487),F2487,0)</f>
        <v>0</v>
      </c>
      <c r="K2486" s="8">
        <f>IF(AND(Таблицаx_2[[#This Row],[Месяц окончания]]=Таблицаx_2[[#This Row],[Месяц]],Таблицаx_2[[#This Row],[id]]=A2487,EDATE(Таблицаx_2[[#This Row],[Месяц]],2)=D2487),F2487,0)</f>
        <v>0</v>
      </c>
    </row>
    <row r="2487" spans="1:11" ht="12.75" hidden="1" customHeight="1" x14ac:dyDescent="0.2">
      <c r="A2487" s="8">
        <v>777</v>
      </c>
      <c r="B2487" s="8" t="s">
        <v>47</v>
      </c>
      <c r="C2487" s="8" t="s">
        <v>6</v>
      </c>
      <c r="D2487" s="12">
        <v>45047</v>
      </c>
      <c r="E2487" s="8">
        <v>7625</v>
      </c>
      <c r="F2487" s="10">
        <f>IF(ISTEXT(Таблицаx_2[[#This Row],[Значение]]), 0, Таблицаx_2[[#This Row],[Значение]])</f>
        <v>7625</v>
      </c>
      <c r="G2487" s="12">
        <v>45261</v>
      </c>
      <c r="H2487" s="10" t="str">
        <f>IFERROR(VLOOKUP(Таблицаx_2[[#This Row],[id]],prolongations!A:C,2,)," ")</f>
        <v>декабрь 2023</v>
      </c>
      <c r="I2487" s="10">
        <f>IF(Таблицаx_2[[#This Row],[Месяц окончания]]=Таблицаx_2[[#This Row],[Месяц]],Таблицаx_2[[#This Row],[Значения числа]],0)</f>
        <v>0</v>
      </c>
      <c r="J2487" s="8">
        <f>IF(AND(Таблицаx_2[[#This Row],[Месяц окончания]]=Таблицаx_2[[#This Row],[Месяц]],Таблицаx_2[[#This Row],[id]]=A2488,EDATE(Таблицаx_2[[#This Row],[Месяц]],1)=D2488),F2488,0)</f>
        <v>0</v>
      </c>
      <c r="K2487" s="8">
        <f>IF(AND(Таблицаx_2[[#This Row],[Месяц окончания]]=Таблицаx_2[[#This Row],[Месяц]],Таблицаx_2[[#This Row],[id]]=A2488,EDATE(Таблицаx_2[[#This Row],[Месяц]],2)=D2488),F2488,0)</f>
        <v>0</v>
      </c>
    </row>
    <row r="2488" spans="1:11" ht="12.75" hidden="1" customHeight="1" x14ac:dyDescent="0.2">
      <c r="A2488" s="8">
        <v>777</v>
      </c>
      <c r="B2488" s="8" t="s">
        <v>47</v>
      </c>
      <c r="C2488" s="8" t="s">
        <v>6</v>
      </c>
      <c r="D2488" s="12">
        <v>45078</v>
      </c>
      <c r="E2488" s="8">
        <v>9150</v>
      </c>
      <c r="F2488" s="10">
        <f>IF(ISTEXT(Таблицаx_2[[#This Row],[Значение]]), 0, Таблицаx_2[[#This Row],[Значение]])</f>
        <v>9150</v>
      </c>
      <c r="G2488" s="12">
        <v>45261</v>
      </c>
      <c r="H2488" s="10" t="str">
        <f>IFERROR(VLOOKUP(Таблицаx_2[[#This Row],[id]],prolongations!A:C,2,)," ")</f>
        <v>декабрь 2023</v>
      </c>
      <c r="I2488" s="10">
        <f>IF(Таблицаx_2[[#This Row],[Месяц окончания]]=Таблицаx_2[[#This Row],[Месяц]],Таблицаx_2[[#This Row],[Значения числа]],0)</f>
        <v>0</v>
      </c>
      <c r="J2488" s="8">
        <f>IF(AND(Таблицаx_2[[#This Row],[Месяц окончания]]=Таблицаx_2[[#This Row],[Месяц]],Таблицаx_2[[#This Row],[id]]=A2489,EDATE(Таблицаx_2[[#This Row],[Месяц]],1)=D2489),F2489,0)</f>
        <v>0</v>
      </c>
      <c r="K2488" s="8">
        <f>IF(AND(Таблицаx_2[[#This Row],[Месяц окончания]]=Таблицаx_2[[#This Row],[Месяц]],Таблицаx_2[[#This Row],[id]]=A2489,EDATE(Таблицаx_2[[#This Row],[Месяц]],2)=D2489),F2489,0)</f>
        <v>0</v>
      </c>
    </row>
    <row r="2489" spans="1:11" ht="12.75" hidden="1" customHeight="1" x14ac:dyDescent="0.2">
      <c r="A2489" s="8">
        <v>777</v>
      </c>
      <c r="B2489" s="8" t="s">
        <v>47</v>
      </c>
      <c r="C2489" s="8" t="s">
        <v>6</v>
      </c>
      <c r="D2489" s="12">
        <v>45108</v>
      </c>
      <c r="E2489" s="8">
        <v>20225</v>
      </c>
      <c r="F2489" s="10">
        <f>IF(ISTEXT(Таблицаx_2[[#This Row],[Значение]]), 0, Таблицаx_2[[#This Row],[Значение]])</f>
        <v>20225</v>
      </c>
      <c r="G2489" s="12">
        <v>45261</v>
      </c>
      <c r="H2489" s="10" t="str">
        <f>IFERROR(VLOOKUP(Таблицаx_2[[#This Row],[id]],prolongations!A:C,2,)," ")</f>
        <v>декабрь 2023</v>
      </c>
      <c r="I2489" s="10">
        <f>IF(Таблицаx_2[[#This Row],[Месяц окончания]]=Таблицаx_2[[#This Row],[Месяц]],Таблицаx_2[[#This Row],[Значения числа]],0)</f>
        <v>0</v>
      </c>
      <c r="J2489" s="8">
        <f>IF(AND(Таблицаx_2[[#This Row],[Месяц окончания]]=Таблицаx_2[[#This Row],[Месяц]],Таблицаx_2[[#This Row],[id]]=A2490,EDATE(Таблицаx_2[[#This Row],[Месяц]],1)=D2490),F2490,0)</f>
        <v>0</v>
      </c>
      <c r="K2489" s="8">
        <f>IF(AND(Таблицаx_2[[#This Row],[Месяц окончания]]=Таблицаx_2[[#This Row],[Месяц]],Таблицаx_2[[#This Row],[id]]=A2490,EDATE(Таблицаx_2[[#This Row],[Месяц]],2)=D2490),F2490,0)</f>
        <v>0</v>
      </c>
    </row>
    <row r="2490" spans="1:11" ht="12.75" hidden="1" customHeight="1" x14ac:dyDescent="0.2">
      <c r="A2490" s="8">
        <v>777</v>
      </c>
      <c r="B2490" s="8" t="s">
        <v>47</v>
      </c>
      <c r="C2490" s="8" t="s">
        <v>6</v>
      </c>
      <c r="D2490" s="12">
        <v>45139</v>
      </c>
      <c r="E2490" s="8">
        <v>36295</v>
      </c>
      <c r="F2490" s="10">
        <f>IF(ISTEXT(Таблицаx_2[[#This Row],[Значение]]), 0, Таблицаx_2[[#This Row],[Значение]])</f>
        <v>36295</v>
      </c>
      <c r="G2490" s="12">
        <v>45261</v>
      </c>
      <c r="H2490" s="10" t="str">
        <f>IFERROR(VLOOKUP(Таблицаx_2[[#This Row],[id]],prolongations!A:C,2,)," ")</f>
        <v>декабрь 2023</v>
      </c>
      <c r="I2490" s="10">
        <f>IF(Таблицаx_2[[#This Row],[Месяц окончания]]=Таблицаx_2[[#This Row],[Месяц]],Таблицаx_2[[#This Row],[Значения числа]],0)</f>
        <v>0</v>
      </c>
      <c r="J2490" s="8">
        <f>IF(AND(Таблицаx_2[[#This Row],[Месяц окончания]]=Таблицаx_2[[#This Row],[Месяц]],Таблицаx_2[[#This Row],[id]]=A2491,EDATE(Таблицаx_2[[#This Row],[Месяц]],1)=D2491),F2491,0)</f>
        <v>0</v>
      </c>
      <c r="K2490" s="8">
        <f>IF(AND(Таблицаx_2[[#This Row],[Месяц окончания]]=Таблицаx_2[[#This Row],[Месяц]],Таблицаx_2[[#This Row],[id]]=A2491,EDATE(Таблицаx_2[[#This Row],[Месяц]],2)=D2491),F2491,0)</f>
        <v>0</v>
      </c>
    </row>
    <row r="2491" spans="1:11" ht="12.75" hidden="1" customHeight="1" x14ac:dyDescent="0.2">
      <c r="A2491" s="8">
        <v>777</v>
      </c>
      <c r="B2491" s="8" t="s">
        <v>47</v>
      </c>
      <c r="C2491" s="8" t="s">
        <v>6</v>
      </c>
      <c r="D2491" s="12">
        <v>45170</v>
      </c>
      <c r="E2491" s="8">
        <v>30295</v>
      </c>
      <c r="F2491" s="10">
        <f>IF(ISTEXT(Таблицаx_2[[#This Row],[Значение]]), 0, Таблицаx_2[[#This Row],[Значение]])</f>
        <v>30295</v>
      </c>
      <c r="G2491" s="12">
        <v>45261</v>
      </c>
      <c r="H2491" s="10" t="str">
        <f>IFERROR(VLOOKUP(Таблицаx_2[[#This Row],[id]],prolongations!A:C,2,)," ")</f>
        <v>декабрь 2023</v>
      </c>
      <c r="I2491" s="10">
        <f>IF(Таблицаx_2[[#This Row],[Месяц окончания]]=Таблицаx_2[[#This Row],[Месяц]],Таблицаx_2[[#This Row],[Значения числа]],0)</f>
        <v>0</v>
      </c>
      <c r="J2491" s="8">
        <f>IF(AND(Таблицаx_2[[#This Row],[Месяц окончания]]=Таблицаx_2[[#This Row],[Месяц]],Таблицаx_2[[#This Row],[id]]=A2492,EDATE(Таблицаx_2[[#This Row],[Месяц]],1)=D2492),F2492,0)</f>
        <v>0</v>
      </c>
      <c r="K2491" s="8">
        <f>IF(AND(Таблицаx_2[[#This Row],[Месяц окончания]]=Таблицаx_2[[#This Row],[Месяц]],Таблицаx_2[[#This Row],[id]]=A2492,EDATE(Таблицаx_2[[#This Row],[Месяц]],2)=D2492),F2492,0)</f>
        <v>0</v>
      </c>
    </row>
    <row r="2492" spans="1:11" ht="12.75" hidden="1" customHeight="1" x14ac:dyDescent="0.2">
      <c r="A2492" s="8">
        <v>777</v>
      </c>
      <c r="B2492" s="8" t="s">
        <v>47</v>
      </c>
      <c r="C2492" s="8" t="s">
        <v>6</v>
      </c>
      <c r="D2492" s="12">
        <v>45200</v>
      </c>
      <c r="E2492" s="8">
        <v>43395</v>
      </c>
      <c r="F2492" s="10">
        <f>IF(ISTEXT(Таблицаx_2[[#This Row],[Значение]]), 0, Таблицаx_2[[#This Row],[Значение]])</f>
        <v>43395</v>
      </c>
      <c r="G2492" s="12">
        <v>45261</v>
      </c>
      <c r="H2492" s="10" t="str">
        <f>IFERROR(VLOOKUP(Таблицаx_2[[#This Row],[id]],prolongations!A:C,2,)," ")</f>
        <v>декабрь 2023</v>
      </c>
      <c r="I2492" s="10">
        <f>IF(Таблицаx_2[[#This Row],[Месяц окончания]]=Таблицаx_2[[#This Row],[Месяц]],Таблицаx_2[[#This Row],[Значения числа]],0)</f>
        <v>0</v>
      </c>
      <c r="J2492" s="8">
        <f>IF(AND(Таблицаx_2[[#This Row],[Месяц окончания]]=Таблицаx_2[[#This Row],[Месяц]],Таблицаx_2[[#This Row],[id]]=A2493,EDATE(Таблицаx_2[[#This Row],[Месяц]],1)=D2493),F2493,0)</f>
        <v>0</v>
      </c>
      <c r="K2492" s="8">
        <f>IF(AND(Таблицаx_2[[#This Row],[Месяц окончания]]=Таблицаx_2[[#This Row],[Месяц]],Таблицаx_2[[#This Row],[id]]=A2493,EDATE(Таблицаx_2[[#This Row],[Месяц]],2)=D2493),F2493,0)</f>
        <v>0</v>
      </c>
    </row>
    <row r="2493" spans="1:11" ht="12.75" hidden="1" customHeight="1" x14ac:dyDescent="0.2">
      <c r="A2493" s="8">
        <v>777</v>
      </c>
      <c r="B2493" s="8" t="s">
        <v>47</v>
      </c>
      <c r="C2493" s="8" t="s">
        <v>6</v>
      </c>
      <c r="D2493" s="12">
        <v>45231</v>
      </c>
      <c r="E2493" s="8">
        <v>35560</v>
      </c>
      <c r="F2493" s="10">
        <f>IF(ISTEXT(Таблицаx_2[[#This Row],[Значение]]), 0, Таблицаx_2[[#This Row],[Значение]])</f>
        <v>35560</v>
      </c>
      <c r="G2493" s="12">
        <v>45261</v>
      </c>
      <c r="H2493" s="10" t="str">
        <f>IFERROR(VLOOKUP(Таблицаx_2[[#This Row],[id]],prolongations!A:C,2,)," ")</f>
        <v>декабрь 2023</v>
      </c>
      <c r="I2493" s="10">
        <f>IF(Таблицаx_2[[#This Row],[Месяц окончания]]=Таблицаx_2[[#This Row],[Месяц]],Таблицаx_2[[#This Row],[Значения числа]],0)</f>
        <v>0</v>
      </c>
      <c r="J2493" s="8">
        <f>IF(AND(Таблицаx_2[[#This Row],[Месяц окончания]]=Таблицаx_2[[#This Row],[Месяц]],Таблицаx_2[[#This Row],[id]]=A2494,EDATE(Таблицаx_2[[#This Row],[Месяц]],1)=D2494),F2494,0)</f>
        <v>0</v>
      </c>
      <c r="K2493" s="8">
        <f>IF(AND(Таблицаx_2[[#This Row],[Месяц окончания]]=Таблицаx_2[[#This Row],[Месяц]],Таблицаx_2[[#This Row],[id]]=A2494,EDATE(Таблицаx_2[[#This Row],[Месяц]],2)=D2494),F2494,0)</f>
        <v>0</v>
      </c>
    </row>
    <row r="2494" spans="1:11" ht="12.75" hidden="1" customHeight="1" x14ac:dyDescent="0.2">
      <c r="A2494" s="8">
        <v>777</v>
      </c>
      <c r="B2494" s="8" t="s">
        <v>47</v>
      </c>
      <c r="C2494" s="8" t="s">
        <v>6</v>
      </c>
      <c r="D2494" s="12">
        <v>45261</v>
      </c>
      <c r="E2494" s="8">
        <v>38620</v>
      </c>
      <c r="F2494" s="10">
        <f>IF(ISTEXT(Таблицаx_2[[#This Row],[Значение]]), 0, Таблицаx_2[[#This Row],[Значение]])</f>
        <v>38620</v>
      </c>
      <c r="G2494" s="12">
        <v>45261</v>
      </c>
      <c r="H2494" s="10" t="str">
        <f>IFERROR(VLOOKUP(Таблицаx_2[[#This Row],[id]],prolongations!A:C,2,)," ")</f>
        <v>декабрь 2023</v>
      </c>
      <c r="I2494" s="10">
        <f>IF(Таблицаx_2[[#This Row],[Месяц окончания]]=Таблицаx_2[[#This Row],[Месяц]],Таблицаx_2[[#This Row],[Значения числа]],0)</f>
        <v>38620</v>
      </c>
      <c r="J2494" s="8">
        <f>IF(AND(Таблицаx_2[[#This Row],[Месяц окончания]]=Таблицаx_2[[#This Row],[Месяц]],Таблицаx_2[[#This Row],[id]]=A2495,EDATE(Таблицаx_2[[#This Row],[Месяц]],1)=D2495),F2495,0)</f>
        <v>0</v>
      </c>
      <c r="K2494" s="8">
        <f>IF(AND(Таблицаx_2[[#This Row],[Месяц окончания]]=Таблицаx_2[[#This Row],[Месяц]],Таблицаx_2[[#This Row],[id]]=A2495,EDATE(Таблицаx_2[[#This Row],[Месяц]],2)=D2495),F2495,0)</f>
        <v>0</v>
      </c>
    </row>
    <row r="2495" spans="1:11" ht="12.75" hidden="1" customHeight="1" x14ac:dyDescent="0.2">
      <c r="A2495" s="8">
        <v>778</v>
      </c>
      <c r="B2495" s="8" t="s">
        <v>45</v>
      </c>
      <c r="C2495" s="8" t="s">
        <v>6</v>
      </c>
      <c r="D2495" s="12">
        <v>44958</v>
      </c>
      <c r="E2495" s="8">
        <v>48285</v>
      </c>
      <c r="F2495" s="10">
        <f>IF(ISTEXT(Таблицаx_2[[#This Row],[Значение]]), 0, Таблицаx_2[[#This Row],[Значение]])</f>
        <v>48285</v>
      </c>
      <c r="G2495" s="12">
        <v>45261</v>
      </c>
      <c r="H2495" s="10" t="str">
        <f>IFERROR(VLOOKUP(Таблицаx_2[[#This Row],[id]],prolongations!A:C,2,)," ")</f>
        <v>декабрь 2023</v>
      </c>
      <c r="I2495" s="10">
        <f>IF(Таблицаx_2[[#This Row],[Месяц окончания]]=Таблицаx_2[[#This Row],[Месяц]],Таблицаx_2[[#This Row],[Значения числа]],0)</f>
        <v>0</v>
      </c>
      <c r="J2495" s="8">
        <f>IF(AND(Таблицаx_2[[#This Row],[Месяц окончания]]=Таблицаx_2[[#This Row],[Месяц]],Таблицаx_2[[#This Row],[id]]=A2496,EDATE(Таблицаx_2[[#This Row],[Месяц]],1)=D2496),F2496,0)</f>
        <v>0</v>
      </c>
      <c r="K2495" s="8">
        <f>IF(AND(Таблицаx_2[[#This Row],[Месяц окончания]]=Таблицаx_2[[#This Row],[Месяц]],Таблицаx_2[[#This Row],[id]]=A2496,EDATE(Таблицаx_2[[#This Row],[Месяц]],2)=D2496),F2496,0)</f>
        <v>0</v>
      </c>
    </row>
    <row r="2496" spans="1:11" ht="12.75" hidden="1" customHeight="1" x14ac:dyDescent="0.2">
      <c r="A2496" s="8">
        <v>778</v>
      </c>
      <c r="B2496" s="8" t="s">
        <v>45</v>
      </c>
      <c r="C2496" s="8" t="s">
        <v>6</v>
      </c>
      <c r="D2496" s="12">
        <v>44986</v>
      </c>
      <c r="E2496" s="8">
        <v>78235</v>
      </c>
      <c r="F2496" s="10">
        <f>IF(ISTEXT(Таблицаx_2[[#This Row],[Значение]]), 0, Таблицаx_2[[#This Row],[Значение]])</f>
        <v>78235</v>
      </c>
      <c r="G2496" s="12">
        <v>45261</v>
      </c>
      <c r="H2496" s="10" t="str">
        <f>IFERROR(VLOOKUP(Таблицаx_2[[#This Row],[id]],prolongations!A:C,2,)," ")</f>
        <v>декабрь 2023</v>
      </c>
      <c r="I2496" s="10">
        <f>IF(Таблицаx_2[[#This Row],[Месяц окончания]]=Таблицаx_2[[#This Row],[Месяц]],Таблицаx_2[[#This Row],[Значения числа]],0)</f>
        <v>0</v>
      </c>
      <c r="J2496" s="8">
        <f>IF(AND(Таблицаx_2[[#This Row],[Месяц окончания]]=Таблицаx_2[[#This Row],[Месяц]],Таблицаx_2[[#This Row],[id]]=A2497,EDATE(Таблицаx_2[[#This Row],[Месяц]],1)=D2497),F2497,0)</f>
        <v>0</v>
      </c>
      <c r="K2496" s="8">
        <f>IF(AND(Таблицаx_2[[#This Row],[Месяц окончания]]=Таблицаx_2[[#This Row],[Месяц]],Таблицаx_2[[#This Row],[id]]=A2497,EDATE(Таблицаx_2[[#This Row],[Месяц]],2)=D2497),F2497,0)</f>
        <v>0</v>
      </c>
    </row>
    <row r="2497" spans="1:11" ht="12.75" hidden="1" customHeight="1" x14ac:dyDescent="0.2">
      <c r="A2497" s="8">
        <v>778</v>
      </c>
      <c r="B2497" s="8" t="s">
        <v>45</v>
      </c>
      <c r="C2497" s="8" t="s">
        <v>6</v>
      </c>
      <c r="D2497" s="12">
        <v>45017</v>
      </c>
      <c r="E2497" s="8">
        <v>96535</v>
      </c>
      <c r="F2497" s="10">
        <f>IF(ISTEXT(Таблицаx_2[[#This Row],[Значение]]), 0, Таблицаx_2[[#This Row],[Значение]])</f>
        <v>96535</v>
      </c>
      <c r="G2497" s="12">
        <v>45261</v>
      </c>
      <c r="H2497" s="10" t="str">
        <f>IFERROR(VLOOKUP(Таблицаx_2[[#This Row],[id]],prolongations!A:C,2,)," ")</f>
        <v>декабрь 2023</v>
      </c>
      <c r="I2497" s="10">
        <f>IF(Таблицаx_2[[#This Row],[Месяц окончания]]=Таблицаx_2[[#This Row],[Месяц]],Таблицаx_2[[#This Row],[Значения числа]],0)</f>
        <v>0</v>
      </c>
      <c r="J2497" s="8">
        <f>IF(AND(Таблицаx_2[[#This Row],[Месяц окончания]]=Таблицаx_2[[#This Row],[Месяц]],Таблицаx_2[[#This Row],[id]]=A2498,EDATE(Таблицаx_2[[#This Row],[Месяц]],1)=D2498),F2498,0)</f>
        <v>0</v>
      </c>
      <c r="K2497" s="8">
        <f>IF(AND(Таблицаx_2[[#This Row],[Месяц окончания]]=Таблицаx_2[[#This Row],[Месяц]],Таблицаx_2[[#This Row],[id]]=A2498,EDATE(Таблицаx_2[[#This Row],[Месяц]],2)=D2498),F2498,0)</f>
        <v>0</v>
      </c>
    </row>
    <row r="2498" spans="1:11" ht="12.75" hidden="1" customHeight="1" x14ac:dyDescent="0.2">
      <c r="A2498" s="8">
        <v>778</v>
      </c>
      <c r="B2498" s="8" t="s">
        <v>45</v>
      </c>
      <c r="C2498" s="8" t="s">
        <v>6</v>
      </c>
      <c r="D2498" s="12">
        <v>45047</v>
      </c>
      <c r="E2498" s="8">
        <v>97145</v>
      </c>
      <c r="F2498" s="10">
        <f>IF(ISTEXT(Таблицаx_2[[#This Row],[Значение]]), 0, Таблицаx_2[[#This Row],[Значение]])</f>
        <v>97145</v>
      </c>
      <c r="G2498" s="12">
        <v>45261</v>
      </c>
      <c r="H2498" s="10" t="str">
        <f>IFERROR(VLOOKUP(Таблицаx_2[[#This Row],[id]],prolongations!A:C,2,)," ")</f>
        <v>декабрь 2023</v>
      </c>
      <c r="I2498" s="10">
        <f>IF(Таблицаx_2[[#This Row],[Месяц окончания]]=Таблицаx_2[[#This Row],[Месяц]],Таблицаx_2[[#This Row],[Значения числа]],0)</f>
        <v>0</v>
      </c>
      <c r="J2498" s="8">
        <f>IF(AND(Таблицаx_2[[#This Row],[Месяц окончания]]=Таблицаx_2[[#This Row],[Месяц]],Таблицаx_2[[#This Row],[id]]=A2499,EDATE(Таблицаx_2[[#This Row],[Месяц]],1)=D2499),F2499,0)</f>
        <v>0</v>
      </c>
      <c r="K2498" s="8">
        <f>IF(AND(Таблицаx_2[[#This Row],[Месяц окончания]]=Таблицаx_2[[#This Row],[Месяц]],Таблицаx_2[[#This Row],[id]]=A2499,EDATE(Таблицаx_2[[#This Row],[Месяц]],2)=D2499),F2499,0)</f>
        <v>0</v>
      </c>
    </row>
    <row r="2499" spans="1:11" ht="12.75" hidden="1" customHeight="1" x14ac:dyDescent="0.2">
      <c r="A2499" s="8">
        <v>778</v>
      </c>
      <c r="B2499" s="8" t="s">
        <v>45</v>
      </c>
      <c r="C2499" s="8" t="s">
        <v>6</v>
      </c>
      <c r="D2499" s="12">
        <v>45078</v>
      </c>
      <c r="E2499" s="8">
        <v>92175</v>
      </c>
      <c r="F2499" s="10">
        <f>IF(ISTEXT(Таблицаx_2[[#This Row],[Значение]]), 0, Таблицаx_2[[#This Row],[Значение]])</f>
        <v>92175</v>
      </c>
      <c r="G2499" s="12">
        <v>45261</v>
      </c>
      <c r="H2499" s="10" t="str">
        <f>IFERROR(VLOOKUP(Таблицаx_2[[#This Row],[id]],prolongations!A:C,2,)," ")</f>
        <v>декабрь 2023</v>
      </c>
      <c r="I2499" s="10">
        <f>IF(Таблицаx_2[[#This Row],[Месяц окончания]]=Таблицаx_2[[#This Row],[Месяц]],Таблицаx_2[[#This Row],[Значения числа]],0)</f>
        <v>0</v>
      </c>
      <c r="J2499" s="8">
        <f>IF(AND(Таблицаx_2[[#This Row],[Месяц окончания]]=Таблицаx_2[[#This Row],[Месяц]],Таблицаx_2[[#This Row],[id]]=A2500,EDATE(Таблицаx_2[[#This Row],[Месяц]],1)=D2500),F2500,0)</f>
        <v>0</v>
      </c>
      <c r="K2499" s="8">
        <f>IF(AND(Таблицаx_2[[#This Row],[Месяц окончания]]=Таблицаx_2[[#This Row],[Месяц]],Таблицаx_2[[#This Row],[id]]=A2500,EDATE(Таблицаx_2[[#This Row],[Месяц]],2)=D2500),F2500,0)</f>
        <v>0</v>
      </c>
    </row>
    <row r="2500" spans="1:11" ht="12.75" hidden="1" customHeight="1" x14ac:dyDescent="0.2">
      <c r="A2500" s="8">
        <v>778</v>
      </c>
      <c r="B2500" s="8" t="s">
        <v>45</v>
      </c>
      <c r="C2500" s="8" t="s">
        <v>6</v>
      </c>
      <c r="D2500" s="12">
        <v>45108</v>
      </c>
      <c r="E2500" s="8">
        <v>24510</v>
      </c>
      <c r="F2500" s="10">
        <f>IF(ISTEXT(Таблицаx_2[[#This Row],[Значение]]), 0, Таблицаx_2[[#This Row],[Значение]])</f>
        <v>24510</v>
      </c>
      <c r="G2500" s="12">
        <v>45261</v>
      </c>
      <c r="H2500" s="10" t="str">
        <f>IFERROR(VLOOKUP(Таблицаx_2[[#This Row],[id]],prolongations!A:C,2,)," ")</f>
        <v>декабрь 2023</v>
      </c>
      <c r="I2500" s="10">
        <f>IF(Таблицаx_2[[#This Row],[Месяц окончания]]=Таблицаx_2[[#This Row],[Месяц]],Таблицаx_2[[#This Row],[Значения числа]],0)</f>
        <v>0</v>
      </c>
      <c r="J2500" s="8">
        <f>IF(AND(Таблицаx_2[[#This Row],[Месяц окончания]]=Таблицаx_2[[#This Row],[Месяц]],Таблицаx_2[[#This Row],[id]]=A2501,EDATE(Таблицаx_2[[#This Row],[Месяц]],1)=D2501),F2501,0)</f>
        <v>0</v>
      </c>
      <c r="K2500" s="8">
        <f>IF(AND(Таблицаx_2[[#This Row],[Месяц окончания]]=Таблицаx_2[[#This Row],[Месяц]],Таблицаx_2[[#This Row],[id]]=A2501,EDATE(Таблицаx_2[[#This Row],[Месяц]],2)=D2501),F2501,0)</f>
        <v>0</v>
      </c>
    </row>
    <row r="2501" spans="1:11" ht="12.75" hidden="1" customHeight="1" x14ac:dyDescent="0.2">
      <c r="A2501" s="8">
        <v>778</v>
      </c>
      <c r="B2501" s="8" t="s">
        <v>45</v>
      </c>
      <c r="C2501" s="8" t="s">
        <v>6</v>
      </c>
      <c r="D2501" s="12">
        <v>45139</v>
      </c>
      <c r="E2501" s="8">
        <v>24510</v>
      </c>
      <c r="F2501" s="10">
        <f>IF(ISTEXT(Таблицаx_2[[#This Row],[Значение]]), 0, Таблицаx_2[[#This Row],[Значение]])</f>
        <v>24510</v>
      </c>
      <c r="G2501" s="12">
        <v>45261</v>
      </c>
      <c r="H2501" s="10" t="str">
        <f>IFERROR(VLOOKUP(Таблицаx_2[[#This Row],[id]],prolongations!A:C,2,)," ")</f>
        <v>декабрь 2023</v>
      </c>
      <c r="I2501" s="10">
        <f>IF(Таблицаx_2[[#This Row],[Месяц окончания]]=Таблицаx_2[[#This Row],[Месяц]],Таблицаx_2[[#This Row],[Значения числа]],0)</f>
        <v>0</v>
      </c>
      <c r="J2501" s="8">
        <f>IF(AND(Таблицаx_2[[#This Row],[Месяц окончания]]=Таблицаx_2[[#This Row],[Месяц]],Таблицаx_2[[#This Row],[id]]=A2502,EDATE(Таблицаx_2[[#This Row],[Месяц]],1)=D2502),F2502,0)</f>
        <v>0</v>
      </c>
      <c r="K2501" s="8">
        <f>IF(AND(Таблицаx_2[[#This Row],[Месяц окончания]]=Таблицаx_2[[#This Row],[Месяц]],Таблицаx_2[[#This Row],[id]]=A2502,EDATE(Таблицаx_2[[#This Row],[Месяц]],2)=D2502),F2502,0)</f>
        <v>0</v>
      </c>
    </row>
    <row r="2502" spans="1:11" ht="12.75" hidden="1" customHeight="1" x14ac:dyDescent="0.2">
      <c r="A2502" s="8">
        <v>778</v>
      </c>
      <c r="B2502" s="8" t="s">
        <v>45</v>
      </c>
      <c r="C2502" s="8" t="s">
        <v>6</v>
      </c>
      <c r="D2502" s="12">
        <v>45170</v>
      </c>
      <c r="E2502" s="8">
        <v>24510</v>
      </c>
      <c r="F2502" s="10">
        <f>IF(ISTEXT(Таблицаx_2[[#This Row],[Значение]]), 0, Таблицаx_2[[#This Row],[Значение]])</f>
        <v>24510</v>
      </c>
      <c r="G2502" s="12">
        <v>45261</v>
      </c>
      <c r="H2502" s="10" t="str">
        <f>IFERROR(VLOOKUP(Таблицаx_2[[#This Row],[id]],prolongations!A:C,2,)," ")</f>
        <v>декабрь 2023</v>
      </c>
      <c r="I2502" s="10">
        <f>IF(Таблицаx_2[[#This Row],[Месяц окончания]]=Таблицаx_2[[#This Row],[Месяц]],Таблицаx_2[[#This Row],[Значения числа]],0)</f>
        <v>0</v>
      </c>
      <c r="J2502" s="8">
        <f>IF(AND(Таблицаx_2[[#This Row],[Месяц окончания]]=Таблицаx_2[[#This Row],[Месяц]],Таблицаx_2[[#This Row],[id]]=A2503,EDATE(Таблицаx_2[[#This Row],[Месяц]],1)=D2503),F2503,0)</f>
        <v>0</v>
      </c>
      <c r="K2502" s="8">
        <f>IF(AND(Таблицаx_2[[#This Row],[Месяц окончания]]=Таблицаx_2[[#This Row],[Месяц]],Таблицаx_2[[#This Row],[id]]=A2503,EDATE(Таблицаx_2[[#This Row],[Месяц]],2)=D2503),F2503,0)</f>
        <v>0</v>
      </c>
    </row>
    <row r="2503" spans="1:11" ht="12.75" hidden="1" customHeight="1" x14ac:dyDescent="0.2">
      <c r="A2503" s="8">
        <v>778</v>
      </c>
      <c r="B2503" s="8" t="s">
        <v>45</v>
      </c>
      <c r="C2503" s="8" t="s">
        <v>6</v>
      </c>
      <c r="D2503" s="12">
        <v>45200</v>
      </c>
      <c r="E2503" s="8">
        <v>25360</v>
      </c>
      <c r="F2503" s="10">
        <f>IF(ISTEXT(Таблицаx_2[[#This Row],[Значение]]), 0, Таблицаx_2[[#This Row],[Значение]])</f>
        <v>25360</v>
      </c>
      <c r="G2503" s="12">
        <v>45261</v>
      </c>
      <c r="H2503" s="10" t="str">
        <f>IFERROR(VLOOKUP(Таблицаx_2[[#This Row],[id]],prolongations!A:C,2,)," ")</f>
        <v>декабрь 2023</v>
      </c>
      <c r="I2503" s="10">
        <f>IF(Таблицаx_2[[#This Row],[Месяц окончания]]=Таблицаx_2[[#This Row],[Месяц]],Таблицаx_2[[#This Row],[Значения числа]],0)</f>
        <v>0</v>
      </c>
      <c r="J2503" s="8">
        <f>IF(AND(Таблицаx_2[[#This Row],[Месяц окончания]]=Таблицаx_2[[#This Row],[Месяц]],Таблицаx_2[[#This Row],[id]]=A2504,EDATE(Таблицаx_2[[#This Row],[Месяц]],1)=D2504),F2504,0)</f>
        <v>0</v>
      </c>
      <c r="K2503" s="8">
        <f>IF(AND(Таблицаx_2[[#This Row],[Месяц окончания]]=Таблицаx_2[[#This Row],[Месяц]],Таблицаx_2[[#This Row],[id]]=A2504,EDATE(Таблицаx_2[[#This Row],[Месяц]],2)=D2504),F2504,0)</f>
        <v>0</v>
      </c>
    </row>
    <row r="2504" spans="1:11" ht="12.75" hidden="1" customHeight="1" x14ac:dyDescent="0.2">
      <c r="A2504" s="8">
        <v>778</v>
      </c>
      <c r="B2504" s="8" t="s">
        <v>45</v>
      </c>
      <c r="C2504" s="8" t="s">
        <v>6</v>
      </c>
      <c r="D2504" s="12">
        <v>45231</v>
      </c>
      <c r="E2504" s="8">
        <v>25360</v>
      </c>
      <c r="F2504" s="10">
        <f>IF(ISTEXT(Таблицаx_2[[#This Row],[Значение]]), 0, Таблицаx_2[[#This Row],[Значение]])</f>
        <v>25360</v>
      </c>
      <c r="G2504" s="12">
        <v>45261</v>
      </c>
      <c r="H2504" s="10" t="str">
        <f>IFERROR(VLOOKUP(Таблицаx_2[[#This Row],[id]],prolongations!A:C,2,)," ")</f>
        <v>декабрь 2023</v>
      </c>
      <c r="I2504" s="10">
        <f>IF(Таблицаx_2[[#This Row],[Месяц окончания]]=Таблицаx_2[[#This Row],[Месяц]],Таблицаx_2[[#This Row],[Значения числа]],0)</f>
        <v>0</v>
      </c>
      <c r="J2504" s="8">
        <f>IF(AND(Таблицаx_2[[#This Row],[Месяц окончания]]=Таблицаx_2[[#This Row],[Месяц]],Таблицаx_2[[#This Row],[id]]=A2505,EDATE(Таблицаx_2[[#This Row],[Месяц]],1)=D2505),F2505,0)</f>
        <v>0</v>
      </c>
      <c r="K2504" s="8">
        <f>IF(AND(Таблицаx_2[[#This Row],[Месяц окончания]]=Таблицаx_2[[#This Row],[Месяц]],Таблицаx_2[[#This Row],[id]]=A2505,EDATE(Таблицаx_2[[#This Row],[Месяц]],2)=D2505),F2505,0)</f>
        <v>0</v>
      </c>
    </row>
    <row r="2505" spans="1:11" ht="12.75" hidden="1" customHeight="1" x14ac:dyDescent="0.2">
      <c r="A2505" s="8">
        <v>778</v>
      </c>
      <c r="B2505" s="8" t="s">
        <v>45</v>
      </c>
      <c r="C2505" s="8" t="s">
        <v>6</v>
      </c>
      <c r="D2505" s="12">
        <v>45261</v>
      </c>
      <c r="E2505" s="8">
        <v>25360</v>
      </c>
      <c r="F2505" s="10">
        <f>IF(ISTEXT(Таблицаx_2[[#This Row],[Значение]]), 0, Таблицаx_2[[#This Row],[Значение]])</f>
        <v>25360</v>
      </c>
      <c r="G2505" s="12">
        <v>45261</v>
      </c>
      <c r="H2505" s="10" t="str">
        <f>IFERROR(VLOOKUP(Таблицаx_2[[#This Row],[id]],prolongations!A:C,2,)," ")</f>
        <v>декабрь 2023</v>
      </c>
      <c r="I2505" s="10">
        <f>IF(Таблицаx_2[[#This Row],[Месяц окончания]]=Таблицаx_2[[#This Row],[Месяц]],Таблицаx_2[[#This Row],[Значения числа]],0)</f>
        <v>25360</v>
      </c>
      <c r="J2505" s="8">
        <f>IF(AND(Таблицаx_2[[#This Row],[Месяц окончания]]=Таблицаx_2[[#This Row],[Месяц]],Таблицаx_2[[#This Row],[id]]=A2506,EDATE(Таблицаx_2[[#This Row],[Месяц]],1)=D2506),F2506,0)</f>
        <v>0</v>
      </c>
      <c r="K2505" s="8">
        <f>IF(AND(Таблицаx_2[[#This Row],[Месяц окончания]]=Таблицаx_2[[#This Row],[Месяц]],Таблицаx_2[[#This Row],[id]]=A2506,EDATE(Таблицаx_2[[#This Row],[Месяц]],2)=D2506),F2506,0)</f>
        <v>0</v>
      </c>
    </row>
    <row r="2506" spans="1:11" ht="12.75" hidden="1" customHeight="1" x14ac:dyDescent="0.2">
      <c r="A2506" s="8">
        <v>778</v>
      </c>
      <c r="B2506" s="8" t="s">
        <v>47</v>
      </c>
      <c r="C2506" s="8" t="s">
        <v>6</v>
      </c>
      <c r="D2506" s="12">
        <v>44958</v>
      </c>
      <c r="E2506" s="8">
        <v>915</v>
      </c>
      <c r="F2506" s="10">
        <f>IF(ISTEXT(Таблицаx_2[[#This Row],[Значение]]), 0, Таблицаx_2[[#This Row],[Значение]])</f>
        <v>915</v>
      </c>
      <c r="G2506" s="12">
        <v>45261</v>
      </c>
      <c r="H2506" s="10" t="str">
        <f>IFERROR(VLOOKUP(Таблицаx_2[[#This Row],[id]],prolongations!A:C,2,)," ")</f>
        <v>декабрь 2023</v>
      </c>
      <c r="I2506" s="10">
        <f>IF(Таблицаx_2[[#This Row],[Месяц окончания]]=Таблицаx_2[[#This Row],[Месяц]],Таблицаx_2[[#This Row],[Значения числа]],0)</f>
        <v>0</v>
      </c>
      <c r="J2506" s="8">
        <f>IF(AND(Таблицаx_2[[#This Row],[Месяц окончания]]=Таблицаx_2[[#This Row],[Месяц]],Таблицаx_2[[#This Row],[id]]=A2507,EDATE(Таблицаx_2[[#This Row],[Месяц]],1)=D2507),F2507,0)</f>
        <v>0</v>
      </c>
      <c r="K2506" s="8">
        <f>IF(AND(Таблицаx_2[[#This Row],[Месяц окончания]]=Таблицаx_2[[#This Row],[Месяц]],Таблицаx_2[[#This Row],[id]]=A2507,EDATE(Таблицаx_2[[#This Row],[Месяц]],2)=D2507),F2507,0)</f>
        <v>0</v>
      </c>
    </row>
    <row r="2507" spans="1:11" ht="12.75" hidden="1" customHeight="1" x14ac:dyDescent="0.2">
      <c r="A2507" s="8">
        <v>778</v>
      </c>
      <c r="B2507" s="8" t="s">
        <v>47</v>
      </c>
      <c r="C2507" s="8" t="s">
        <v>6</v>
      </c>
      <c r="D2507" s="12">
        <v>44986</v>
      </c>
      <c r="E2507" s="8">
        <v>5795</v>
      </c>
      <c r="F2507" s="10">
        <f>IF(ISTEXT(Таблицаx_2[[#This Row],[Значение]]), 0, Таблицаx_2[[#This Row],[Значение]])</f>
        <v>5795</v>
      </c>
      <c r="G2507" s="12">
        <v>45261</v>
      </c>
      <c r="H2507" s="10" t="str">
        <f>IFERROR(VLOOKUP(Таблицаx_2[[#This Row],[id]],prolongations!A:C,2,)," ")</f>
        <v>декабрь 2023</v>
      </c>
      <c r="I2507" s="10">
        <f>IF(Таблицаx_2[[#This Row],[Месяц окончания]]=Таблицаx_2[[#This Row],[Месяц]],Таблицаx_2[[#This Row],[Значения числа]],0)</f>
        <v>0</v>
      </c>
      <c r="J2507" s="8">
        <f>IF(AND(Таблицаx_2[[#This Row],[Месяц окончания]]=Таблицаx_2[[#This Row],[Месяц]],Таблицаx_2[[#This Row],[id]]=A2508,EDATE(Таблицаx_2[[#This Row],[Месяц]],1)=D2508),F2508,0)</f>
        <v>0</v>
      </c>
      <c r="K2507" s="8">
        <f>IF(AND(Таблицаx_2[[#This Row],[Месяц окончания]]=Таблицаx_2[[#This Row],[Месяц]],Таблицаx_2[[#This Row],[id]]=A2508,EDATE(Таблицаx_2[[#This Row],[Месяц]],2)=D2508),F2508,0)</f>
        <v>0</v>
      </c>
    </row>
    <row r="2508" spans="1:11" ht="12.75" hidden="1" customHeight="1" x14ac:dyDescent="0.2">
      <c r="A2508" s="8">
        <v>778</v>
      </c>
      <c r="B2508" s="8" t="s">
        <v>47</v>
      </c>
      <c r="C2508" s="8" t="s">
        <v>6</v>
      </c>
      <c r="D2508" s="12">
        <v>45017</v>
      </c>
      <c r="E2508" s="8">
        <v>1525</v>
      </c>
      <c r="F2508" s="10">
        <f>IF(ISTEXT(Таблицаx_2[[#This Row],[Значение]]), 0, Таблицаx_2[[#This Row],[Значение]])</f>
        <v>1525</v>
      </c>
      <c r="G2508" s="12">
        <v>45261</v>
      </c>
      <c r="H2508" s="10" t="str">
        <f>IFERROR(VLOOKUP(Таблицаx_2[[#This Row],[id]],prolongations!A:C,2,)," ")</f>
        <v>декабрь 2023</v>
      </c>
      <c r="I2508" s="10">
        <f>IF(Таблицаx_2[[#This Row],[Месяц окончания]]=Таблицаx_2[[#This Row],[Месяц]],Таблицаx_2[[#This Row],[Значения числа]],0)</f>
        <v>0</v>
      </c>
      <c r="J2508" s="8">
        <f>IF(AND(Таблицаx_2[[#This Row],[Месяц окончания]]=Таблицаx_2[[#This Row],[Месяц]],Таблицаx_2[[#This Row],[id]]=A2509,EDATE(Таблицаx_2[[#This Row],[Месяц]],1)=D2509),F2509,0)</f>
        <v>0</v>
      </c>
      <c r="K2508" s="8">
        <f>IF(AND(Таблицаx_2[[#This Row],[Месяц окончания]]=Таблицаx_2[[#This Row],[Месяц]],Таблицаx_2[[#This Row],[id]]=A2509,EDATE(Таблицаx_2[[#This Row],[Месяц]],2)=D2509),F2509,0)</f>
        <v>0</v>
      </c>
    </row>
    <row r="2509" spans="1:11" ht="12.75" hidden="1" customHeight="1" x14ac:dyDescent="0.2">
      <c r="A2509" s="8">
        <v>778</v>
      </c>
      <c r="B2509" s="8" t="s">
        <v>47</v>
      </c>
      <c r="C2509" s="8" t="s">
        <v>6</v>
      </c>
      <c r="D2509" s="12">
        <v>45047</v>
      </c>
      <c r="E2509" s="8">
        <v>7625</v>
      </c>
      <c r="F2509" s="10">
        <f>IF(ISTEXT(Таблицаx_2[[#This Row],[Значение]]), 0, Таблицаx_2[[#This Row],[Значение]])</f>
        <v>7625</v>
      </c>
      <c r="G2509" s="12">
        <v>45261</v>
      </c>
      <c r="H2509" s="10" t="str">
        <f>IFERROR(VLOOKUP(Таблицаx_2[[#This Row],[id]],prolongations!A:C,2,)," ")</f>
        <v>декабрь 2023</v>
      </c>
      <c r="I2509" s="10">
        <f>IF(Таблицаx_2[[#This Row],[Месяц окончания]]=Таблицаx_2[[#This Row],[Месяц]],Таблицаx_2[[#This Row],[Значения числа]],0)</f>
        <v>0</v>
      </c>
      <c r="J2509" s="8">
        <f>IF(AND(Таблицаx_2[[#This Row],[Месяц окончания]]=Таблицаx_2[[#This Row],[Месяц]],Таблицаx_2[[#This Row],[id]]=A2510,EDATE(Таблицаx_2[[#This Row],[Месяц]],1)=D2510),F2510,0)</f>
        <v>0</v>
      </c>
      <c r="K2509" s="8">
        <f>IF(AND(Таблицаx_2[[#This Row],[Месяц окончания]]=Таблицаx_2[[#This Row],[Месяц]],Таблицаx_2[[#This Row],[id]]=A2510,EDATE(Таблицаx_2[[#This Row],[Месяц]],2)=D2510),F2510,0)</f>
        <v>0</v>
      </c>
    </row>
    <row r="2510" spans="1:11" ht="12.75" hidden="1" customHeight="1" x14ac:dyDescent="0.2">
      <c r="A2510" s="8">
        <v>778</v>
      </c>
      <c r="B2510" s="8" t="s">
        <v>47</v>
      </c>
      <c r="C2510" s="8" t="s">
        <v>6</v>
      </c>
      <c r="D2510" s="12">
        <v>45078</v>
      </c>
      <c r="E2510" s="8">
        <v>1830</v>
      </c>
      <c r="F2510" s="10">
        <f>IF(ISTEXT(Таблицаx_2[[#This Row],[Значение]]), 0, Таблицаx_2[[#This Row],[Значение]])</f>
        <v>1830</v>
      </c>
      <c r="G2510" s="12">
        <v>45261</v>
      </c>
      <c r="H2510" s="10" t="str">
        <f>IFERROR(VLOOKUP(Таблицаx_2[[#This Row],[id]],prolongations!A:C,2,)," ")</f>
        <v>декабрь 2023</v>
      </c>
      <c r="I2510" s="10">
        <f>IF(Таблицаx_2[[#This Row],[Месяц окончания]]=Таблицаx_2[[#This Row],[Месяц]],Таблицаx_2[[#This Row],[Значения числа]],0)</f>
        <v>0</v>
      </c>
      <c r="J2510" s="8">
        <f>IF(AND(Таблицаx_2[[#This Row],[Месяц окончания]]=Таблицаx_2[[#This Row],[Месяц]],Таблицаx_2[[#This Row],[id]]=A2511,EDATE(Таблицаx_2[[#This Row],[Месяц]],1)=D2511),F2511,0)</f>
        <v>0</v>
      </c>
      <c r="K2510" s="8">
        <f>IF(AND(Таблицаx_2[[#This Row],[Месяц окончания]]=Таблицаx_2[[#This Row],[Месяц]],Таблицаx_2[[#This Row],[id]]=A2511,EDATE(Таблицаx_2[[#This Row],[Месяц]],2)=D2511),F2511,0)</f>
        <v>0</v>
      </c>
    </row>
    <row r="2511" spans="1:11" ht="12.75" hidden="1" customHeight="1" x14ac:dyDescent="0.2">
      <c r="A2511" s="8">
        <v>778</v>
      </c>
      <c r="B2511" s="8" t="s">
        <v>47</v>
      </c>
      <c r="C2511" s="8" t="s">
        <v>6</v>
      </c>
      <c r="D2511" s="12">
        <v>45108</v>
      </c>
      <c r="E2511" s="8">
        <v>23400</v>
      </c>
      <c r="F2511" s="10">
        <f>IF(ISTEXT(Таблицаx_2[[#This Row],[Значение]]), 0, Таблицаx_2[[#This Row],[Значение]])</f>
        <v>23400</v>
      </c>
      <c r="G2511" s="12">
        <v>45261</v>
      </c>
      <c r="H2511" s="10" t="str">
        <f>IFERROR(VLOOKUP(Таблицаx_2[[#This Row],[id]],prolongations!A:C,2,)," ")</f>
        <v>декабрь 2023</v>
      </c>
      <c r="I2511" s="10">
        <f>IF(Таблицаx_2[[#This Row],[Месяц окончания]]=Таблицаx_2[[#This Row],[Месяц]],Таблицаx_2[[#This Row],[Значения числа]],0)</f>
        <v>0</v>
      </c>
      <c r="J2511" s="8">
        <f>IF(AND(Таблицаx_2[[#This Row],[Месяц окончания]]=Таблицаx_2[[#This Row],[Месяц]],Таблицаx_2[[#This Row],[id]]=A2512,EDATE(Таблицаx_2[[#This Row],[Месяц]],1)=D2512),F2512,0)</f>
        <v>0</v>
      </c>
      <c r="K2511" s="8">
        <f>IF(AND(Таблицаx_2[[#This Row],[Месяц окончания]]=Таблицаx_2[[#This Row],[Месяц]],Таблицаx_2[[#This Row],[id]]=A2512,EDATE(Таблицаx_2[[#This Row],[Месяц]],2)=D2512),F2512,0)</f>
        <v>0</v>
      </c>
    </row>
    <row r="2512" spans="1:11" ht="12.75" hidden="1" customHeight="1" x14ac:dyDescent="0.2">
      <c r="A2512" s="8">
        <v>778</v>
      </c>
      <c r="B2512" s="8" t="s">
        <v>47</v>
      </c>
      <c r="C2512" s="8" t="s">
        <v>6</v>
      </c>
      <c r="D2512" s="12">
        <v>45139</v>
      </c>
      <c r="E2512" s="8">
        <v>23400</v>
      </c>
      <c r="F2512" s="10">
        <f>IF(ISTEXT(Таблицаx_2[[#This Row],[Значение]]), 0, Таблицаx_2[[#This Row],[Значение]])</f>
        <v>23400</v>
      </c>
      <c r="G2512" s="12">
        <v>45261</v>
      </c>
      <c r="H2512" s="10" t="str">
        <f>IFERROR(VLOOKUP(Таблицаx_2[[#This Row],[id]],prolongations!A:C,2,)," ")</f>
        <v>декабрь 2023</v>
      </c>
      <c r="I2512" s="10">
        <f>IF(Таблицаx_2[[#This Row],[Месяц окончания]]=Таблицаx_2[[#This Row],[Месяц]],Таблицаx_2[[#This Row],[Значения числа]],0)</f>
        <v>0</v>
      </c>
      <c r="J2512" s="8">
        <f>IF(AND(Таблицаx_2[[#This Row],[Месяц окончания]]=Таблицаx_2[[#This Row],[Месяц]],Таблицаx_2[[#This Row],[id]]=A2513,EDATE(Таблицаx_2[[#This Row],[Месяц]],1)=D2513),F2513,0)</f>
        <v>0</v>
      </c>
      <c r="K2512" s="8">
        <f>IF(AND(Таблицаx_2[[#This Row],[Месяц окончания]]=Таблицаx_2[[#This Row],[Месяц]],Таблицаx_2[[#This Row],[id]]=A2513,EDATE(Таблицаx_2[[#This Row],[Месяц]],2)=D2513),F2513,0)</f>
        <v>0</v>
      </c>
    </row>
    <row r="2513" spans="1:11" ht="12.75" hidden="1" customHeight="1" x14ac:dyDescent="0.2">
      <c r="A2513" s="8">
        <v>778</v>
      </c>
      <c r="B2513" s="8" t="s">
        <v>47</v>
      </c>
      <c r="C2513" s="8" t="s">
        <v>6</v>
      </c>
      <c r="D2513" s="12">
        <v>45170</v>
      </c>
      <c r="E2513" s="8">
        <v>18540</v>
      </c>
      <c r="F2513" s="10">
        <f>IF(ISTEXT(Таблицаx_2[[#This Row],[Значение]]), 0, Таблицаx_2[[#This Row],[Значение]])</f>
        <v>18540</v>
      </c>
      <c r="G2513" s="12">
        <v>45261</v>
      </c>
      <c r="H2513" s="10" t="str">
        <f>IFERROR(VLOOKUP(Таблицаx_2[[#This Row],[id]],prolongations!A:C,2,)," ")</f>
        <v>декабрь 2023</v>
      </c>
      <c r="I2513" s="10">
        <f>IF(Таблицаx_2[[#This Row],[Месяц окончания]]=Таблицаx_2[[#This Row],[Месяц]],Таблицаx_2[[#This Row],[Значения числа]],0)</f>
        <v>0</v>
      </c>
      <c r="J2513" s="8">
        <f>IF(AND(Таблицаx_2[[#This Row],[Месяц окончания]]=Таблицаx_2[[#This Row],[Месяц]],Таблицаx_2[[#This Row],[id]]=A2514,EDATE(Таблицаx_2[[#This Row],[Месяц]],1)=D2514),F2514,0)</f>
        <v>0</v>
      </c>
      <c r="K2513" s="8">
        <f>IF(AND(Таблицаx_2[[#This Row],[Месяц окончания]]=Таблицаx_2[[#This Row],[Месяц]],Таблицаx_2[[#This Row],[id]]=A2514,EDATE(Таблицаx_2[[#This Row],[Месяц]],2)=D2514),F2514,0)</f>
        <v>0</v>
      </c>
    </row>
    <row r="2514" spans="1:11" ht="12.75" hidden="1" customHeight="1" x14ac:dyDescent="0.2">
      <c r="A2514" s="8">
        <v>778</v>
      </c>
      <c r="B2514" s="8" t="s">
        <v>47</v>
      </c>
      <c r="C2514" s="8" t="s">
        <v>6</v>
      </c>
      <c r="D2514" s="12">
        <v>45200</v>
      </c>
      <c r="E2514" s="8">
        <v>27470</v>
      </c>
      <c r="F2514" s="10">
        <f>IF(ISTEXT(Таблицаx_2[[#This Row],[Значение]]), 0, Таблицаx_2[[#This Row],[Значение]])</f>
        <v>27470</v>
      </c>
      <c r="G2514" s="12">
        <v>45261</v>
      </c>
      <c r="H2514" s="10" t="str">
        <f>IFERROR(VLOOKUP(Таблицаx_2[[#This Row],[id]],prolongations!A:C,2,)," ")</f>
        <v>декабрь 2023</v>
      </c>
      <c r="I2514" s="10">
        <f>IF(Таблицаx_2[[#This Row],[Месяц окончания]]=Таблицаx_2[[#This Row],[Месяц]],Таблицаx_2[[#This Row],[Значения числа]],0)</f>
        <v>0</v>
      </c>
      <c r="J2514" s="8">
        <f>IF(AND(Таблицаx_2[[#This Row],[Месяц окончания]]=Таблицаx_2[[#This Row],[Месяц]],Таблицаx_2[[#This Row],[id]]=A2515,EDATE(Таблицаx_2[[#This Row],[Месяц]],1)=D2515),F2515,0)</f>
        <v>0</v>
      </c>
      <c r="K2514" s="8">
        <f>IF(AND(Таблицаx_2[[#This Row],[Месяц окончания]]=Таблицаx_2[[#This Row],[Месяц]],Таблицаx_2[[#This Row],[id]]=A2515,EDATE(Таблицаx_2[[#This Row],[Месяц]],2)=D2515),F2515,0)</f>
        <v>0</v>
      </c>
    </row>
    <row r="2515" spans="1:11" ht="12.75" hidden="1" customHeight="1" x14ac:dyDescent="0.2">
      <c r="A2515" s="8">
        <v>778</v>
      </c>
      <c r="B2515" s="8" t="s">
        <v>47</v>
      </c>
      <c r="C2515" s="8" t="s">
        <v>6</v>
      </c>
      <c r="D2515" s="12">
        <v>45231</v>
      </c>
      <c r="E2515" s="8">
        <v>23400</v>
      </c>
      <c r="F2515" s="10">
        <f>IF(ISTEXT(Таблицаx_2[[#This Row],[Значение]]), 0, Таблицаx_2[[#This Row],[Значение]])</f>
        <v>23400</v>
      </c>
      <c r="G2515" s="12">
        <v>45261</v>
      </c>
      <c r="H2515" s="10" t="str">
        <f>IFERROR(VLOOKUP(Таблицаx_2[[#This Row],[id]],prolongations!A:C,2,)," ")</f>
        <v>декабрь 2023</v>
      </c>
      <c r="I2515" s="10">
        <f>IF(Таблицаx_2[[#This Row],[Месяц окончания]]=Таблицаx_2[[#This Row],[Месяц]],Таблицаx_2[[#This Row],[Значения числа]],0)</f>
        <v>0</v>
      </c>
      <c r="J2515" s="8">
        <f>IF(AND(Таблицаx_2[[#This Row],[Месяц окончания]]=Таблицаx_2[[#This Row],[Месяц]],Таблицаx_2[[#This Row],[id]]=A2516,EDATE(Таблицаx_2[[#This Row],[Месяц]],1)=D2516),F2516,0)</f>
        <v>0</v>
      </c>
      <c r="K2515" s="8">
        <f>IF(AND(Таблицаx_2[[#This Row],[Месяц окончания]]=Таблицаx_2[[#This Row],[Месяц]],Таблицаx_2[[#This Row],[id]]=A2516,EDATE(Таблицаx_2[[#This Row],[Месяц]],2)=D2516),F2516,0)</f>
        <v>0</v>
      </c>
    </row>
    <row r="2516" spans="1:11" ht="12.75" hidden="1" customHeight="1" x14ac:dyDescent="0.2">
      <c r="A2516" s="8">
        <v>778</v>
      </c>
      <c r="B2516" s="8" t="s">
        <v>47</v>
      </c>
      <c r="C2516" s="8" t="s">
        <v>6</v>
      </c>
      <c r="D2516" s="12">
        <v>45261</v>
      </c>
      <c r="E2516" s="8">
        <v>22505</v>
      </c>
      <c r="F2516" s="10">
        <f>IF(ISTEXT(Таблицаx_2[[#This Row],[Значение]]), 0, Таблицаx_2[[#This Row],[Значение]])</f>
        <v>22505</v>
      </c>
      <c r="G2516" s="12">
        <v>45261</v>
      </c>
      <c r="H2516" s="10" t="str">
        <f>IFERROR(VLOOKUP(Таблицаx_2[[#This Row],[id]],prolongations!A:C,2,)," ")</f>
        <v>декабрь 2023</v>
      </c>
      <c r="I2516" s="10">
        <f>IF(Таблицаx_2[[#This Row],[Месяц окончания]]=Таблицаx_2[[#This Row],[Месяц]],Таблицаx_2[[#This Row],[Значения числа]],0)</f>
        <v>22505</v>
      </c>
      <c r="J2516" s="8">
        <f>IF(AND(Таблицаx_2[[#This Row],[Месяц окончания]]=Таблицаx_2[[#This Row],[Месяц]],Таблицаx_2[[#This Row],[id]]=A2517,EDATE(Таблицаx_2[[#This Row],[Месяц]],1)=D2517),F2517,0)</f>
        <v>0</v>
      </c>
      <c r="K2516" s="8">
        <f>IF(AND(Таблицаx_2[[#This Row],[Месяц окончания]]=Таблицаx_2[[#This Row],[Месяц]],Таблицаx_2[[#This Row],[id]]=A2517,EDATE(Таблицаx_2[[#This Row],[Месяц]],2)=D2517),F2517,0)</f>
        <v>0</v>
      </c>
    </row>
    <row r="2517" spans="1:11" ht="12.75" hidden="1" customHeight="1" x14ac:dyDescent="0.2">
      <c r="A2517" s="8">
        <v>804</v>
      </c>
      <c r="B2517" s="8" t="s">
        <v>45</v>
      </c>
      <c r="C2517" s="8" t="s">
        <v>11</v>
      </c>
      <c r="D2517" s="12">
        <v>44986</v>
      </c>
      <c r="E2517" s="8">
        <v>36605</v>
      </c>
      <c r="F2517" s="10">
        <f>IF(ISTEXT(Таблицаx_2[[#This Row],[Значение]]), 0, Таблицаx_2[[#This Row],[Значение]])</f>
        <v>36605</v>
      </c>
      <c r="G2517" s="12">
        <v>45017</v>
      </c>
      <c r="H2517" s="10" t="str">
        <f>IFERROR(VLOOKUP(Таблицаx_2[[#This Row],[id]],prolongations!A:C,2,)," ")</f>
        <v>апрель 2023</v>
      </c>
      <c r="I2517" s="10">
        <f>IF(Таблицаx_2[[#This Row],[Месяц окончания]]=Таблицаx_2[[#This Row],[Месяц]],Таблицаx_2[[#This Row],[Значения числа]],0)</f>
        <v>0</v>
      </c>
      <c r="J2517" s="8">
        <f>IF(AND(Таблицаx_2[[#This Row],[Месяц окончания]]=Таблицаx_2[[#This Row],[Месяц]],Таблицаx_2[[#This Row],[id]]=A2518,EDATE(Таблицаx_2[[#This Row],[Месяц]],1)=D2518),F2518,0)</f>
        <v>0</v>
      </c>
      <c r="K2517" s="8">
        <f>IF(AND(Таблицаx_2[[#This Row],[Месяц окончания]]=Таблицаx_2[[#This Row],[Месяц]],Таблицаx_2[[#This Row],[id]]=A2518,EDATE(Таблицаx_2[[#This Row],[Месяц]],2)=D2518),F2518,0)</f>
        <v>0</v>
      </c>
    </row>
    <row r="2518" spans="1:11" ht="12.75" hidden="1" customHeight="1" x14ac:dyDescent="0.2">
      <c r="A2518" s="8">
        <v>804</v>
      </c>
      <c r="B2518" s="8" t="s">
        <v>45</v>
      </c>
      <c r="C2518" s="8" t="s">
        <v>11</v>
      </c>
      <c r="D2518" s="12">
        <v>45017</v>
      </c>
      <c r="E2518" s="8">
        <v>29795</v>
      </c>
      <c r="F2518" s="10">
        <f>IF(ISTEXT(Таблицаx_2[[#This Row],[Значение]]), 0, Таблицаx_2[[#This Row],[Значение]])</f>
        <v>29795</v>
      </c>
      <c r="G2518" s="12">
        <v>45017</v>
      </c>
      <c r="H2518" s="10" t="str">
        <f>IFERROR(VLOOKUP(Таблицаx_2[[#This Row],[id]],prolongations!A:C,2,)," ")</f>
        <v>апрель 2023</v>
      </c>
      <c r="I2518" s="10">
        <f>IF(Таблицаx_2[[#This Row],[Месяц окончания]]=Таблицаx_2[[#This Row],[Месяц]],Таблицаx_2[[#This Row],[Значения числа]],0)</f>
        <v>29795</v>
      </c>
      <c r="J2518" s="8">
        <f>IF(AND(Таблицаx_2[[#This Row],[Месяц окончания]]=Таблицаx_2[[#This Row],[Месяц]],Таблицаx_2[[#This Row],[id]]=A2519,EDATE(Таблицаx_2[[#This Row],[Месяц]],1)=D2519),F2519,0)</f>
        <v>28250</v>
      </c>
      <c r="K2518" s="8">
        <f>IF(AND(Таблицаx_2[[#This Row],[Месяц окончания]]=Таблицаx_2[[#This Row],[Месяц]],Таблицаx_2[[#This Row],[id]]=A2519,EDATE(Таблицаx_2[[#This Row],[Месяц]],2)=D2519),F2519,0)</f>
        <v>0</v>
      </c>
    </row>
    <row r="2519" spans="1:11" ht="12.75" hidden="1" customHeight="1" x14ac:dyDescent="0.2">
      <c r="A2519" s="8">
        <v>804</v>
      </c>
      <c r="B2519" s="8" t="s">
        <v>45</v>
      </c>
      <c r="C2519" s="8" t="s">
        <v>11</v>
      </c>
      <c r="D2519" s="12">
        <v>45047</v>
      </c>
      <c r="E2519" s="8">
        <v>28250</v>
      </c>
      <c r="F2519" s="10">
        <f>IF(ISTEXT(Таблицаx_2[[#This Row],[Значение]]), 0, Таблицаx_2[[#This Row],[Значение]])</f>
        <v>28250</v>
      </c>
      <c r="G2519" s="12">
        <v>45017</v>
      </c>
      <c r="H2519" s="10" t="str">
        <f>IFERROR(VLOOKUP(Таблицаx_2[[#This Row],[id]],prolongations!A:C,2,)," ")</f>
        <v>апрель 2023</v>
      </c>
      <c r="I2519" s="10">
        <f>IF(Таблицаx_2[[#This Row],[Месяц окончания]]=Таблицаx_2[[#This Row],[Месяц]],Таблицаx_2[[#This Row],[Значения числа]],0)</f>
        <v>0</v>
      </c>
      <c r="J2519" s="8">
        <f>IF(AND(Таблицаx_2[[#This Row],[Месяц окончания]]=Таблицаx_2[[#This Row],[Месяц]],Таблицаx_2[[#This Row],[id]]=A2520,EDATE(Таблицаx_2[[#This Row],[Месяц]],1)=D2520),F2520,0)</f>
        <v>0</v>
      </c>
      <c r="K2519" s="8">
        <f>IF(AND(Таблицаx_2[[#This Row],[Месяц окончания]]=Таблицаx_2[[#This Row],[Месяц]],Таблицаx_2[[#This Row],[id]]=A2520,EDATE(Таблицаx_2[[#This Row],[Месяц]],2)=D2520),F2520,0)</f>
        <v>0</v>
      </c>
    </row>
    <row r="2520" spans="1:11" ht="12.75" hidden="1" customHeight="1" x14ac:dyDescent="0.2">
      <c r="A2520" s="8">
        <v>804</v>
      </c>
      <c r="B2520" s="8" t="s">
        <v>45</v>
      </c>
      <c r="C2520" s="8" t="s">
        <v>11</v>
      </c>
      <c r="D2520" s="12">
        <v>45078</v>
      </c>
      <c r="E2520" s="8">
        <v>35460</v>
      </c>
      <c r="F2520" s="10">
        <f>IF(ISTEXT(Таблицаx_2[[#This Row],[Значение]]), 0, Таблицаx_2[[#This Row],[Значение]])</f>
        <v>35460</v>
      </c>
      <c r="G2520" s="12">
        <v>45017</v>
      </c>
      <c r="H2520" s="10" t="str">
        <f>IFERROR(VLOOKUP(Таблицаx_2[[#This Row],[id]],prolongations!A:C,2,)," ")</f>
        <v>апрель 2023</v>
      </c>
      <c r="I2520" s="10">
        <f>IF(Таблицаx_2[[#This Row],[Месяц окончания]]=Таблицаx_2[[#This Row],[Месяц]],Таблицаx_2[[#This Row],[Значения числа]],0)</f>
        <v>0</v>
      </c>
      <c r="J2520" s="8">
        <f>IF(AND(Таблицаx_2[[#This Row],[Месяц окончания]]=Таблицаx_2[[#This Row],[Месяц]],Таблицаx_2[[#This Row],[id]]=A2521,EDATE(Таблицаx_2[[#This Row],[Месяц]],1)=D2521),F2521,0)</f>
        <v>0</v>
      </c>
      <c r="K2520" s="8">
        <f>IF(AND(Таблицаx_2[[#This Row],[Месяц окончания]]=Таблицаx_2[[#This Row],[Месяц]],Таблицаx_2[[#This Row],[id]]=A2521,EDATE(Таблицаx_2[[#This Row],[Месяц]],2)=D2521),F2521,0)</f>
        <v>0</v>
      </c>
    </row>
    <row r="2521" spans="1:11" ht="12.75" hidden="1" customHeight="1" x14ac:dyDescent="0.2">
      <c r="A2521" s="8">
        <v>804</v>
      </c>
      <c r="B2521" s="8" t="s">
        <v>45</v>
      </c>
      <c r="C2521" s="8" t="s">
        <v>11</v>
      </c>
      <c r="D2521" s="12">
        <v>45108</v>
      </c>
      <c r="E2521" s="8">
        <v>27580</v>
      </c>
      <c r="F2521" s="10">
        <f>IF(ISTEXT(Таблицаx_2[[#This Row],[Значение]]), 0, Таблицаx_2[[#This Row],[Значение]])</f>
        <v>27580</v>
      </c>
      <c r="G2521" s="12">
        <v>45017</v>
      </c>
      <c r="H2521" s="10" t="str">
        <f>IFERROR(VLOOKUP(Таблицаx_2[[#This Row],[id]],prolongations!A:C,2,)," ")</f>
        <v>апрель 2023</v>
      </c>
      <c r="I2521" s="10">
        <f>IF(Таблицаx_2[[#This Row],[Месяц окончания]]=Таблицаx_2[[#This Row],[Месяц]],Таблицаx_2[[#This Row],[Значения числа]],0)</f>
        <v>0</v>
      </c>
      <c r="J2521" s="8">
        <f>IF(AND(Таблицаx_2[[#This Row],[Месяц окончания]]=Таблицаx_2[[#This Row],[Месяц]],Таблицаx_2[[#This Row],[id]]=A2522,EDATE(Таблицаx_2[[#This Row],[Месяц]],1)=D2522),F2522,0)</f>
        <v>0</v>
      </c>
      <c r="K2521" s="8">
        <f>IF(AND(Таблицаx_2[[#This Row],[Месяц окончания]]=Таблицаx_2[[#This Row],[Месяц]],Таблицаx_2[[#This Row],[id]]=A2522,EDATE(Таблицаx_2[[#This Row],[Месяц]],2)=D2522),F2522,0)</f>
        <v>0</v>
      </c>
    </row>
    <row r="2522" spans="1:11" ht="12.75" hidden="1" customHeight="1" x14ac:dyDescent="0.2">
      <c r="A2522" s="8">
        <v>804</v>
      </c>
      <c r="B2522" s="8" t="s">
        <v>45</v>
      </c>
      <c r="C2522" s="8" t="s">
        <v>11</v>
      </c>
      <c r="D2522" s="12">
        <v>45139</v>
      </c>
      <c r="E2522" s="8">
        <v>68095</v>
      </c>
      <c r="F2522" s="10">
        <f>IF(ISTEXT(Таблицаx_2[[#This Row],[Значение]]), 0, Таблицаx_2[[#This Row],[Значение]])</f>
        <v>68095</v>
      </c>
      <c r="G2522" s="12">
        <v>45017</v>
      </c>
      <c r="H2522" s="10" t="str">
        <f>IFERROR(VLOOKUP(Таблицаx_2[[#This Row],[id]],prolongations!A:C,2,)," ")</f>
        <v>апрель 2023</v>
      </c>
      <c r="I2522" s="10">
        <f>IF(Таблицаx_2[[#This Row],[Месяц окончания]]=Таблицаx_2[[#This Row],[Месяц]],Таблицаx_2[[#This Row],[Значения числа]],0)</f>
        <v>0</v>
      </c>
      <c r="J2522" s="8">
        <f>IF(AND(Таблицаx_2[[#This Row],[Месяц окончания]]=Таблицаx_2[[#This Row],[Месяц]],Таблицаx_2[[#This Row],[id]]=A2523,EDATE(Таблицаx_2[[#This Row],[Месяц]],1)=D2523),F2523,0)</f>
        <v>0</v>
      </c>
      <c r="K2522" s="8">
        <f>IF(AND(Таблицаx_2[[#This Row],[Месяц окончания]]=Таблицаx_2[[#This Row],[Месяц]],Таблицаx_2[[#This Row],[id]]=A2523,EDATE(Таблицаx_2[[#This Row],[Месяц]],2)=D2523),F2523,0)</f>
        <v>0</v>
      </c>
    </row>
    <row r="2523" spans="1:11" ht="12.75" hidden="1" customHeight="1" x14ac:dyDescent="0.2">
      <c r="A2523" s="8">
        <v>804</v>
      </c>
      <c r="B2523" s="8" t="s">
        <v>45</v>
      </c>
      <c r="C2523" s="8" t="s">
        <v>11</v>
      </c>
      <c r="D2523" s="12">
        <v>45170</v>
      </c>
      <c r="E2523" s="8">
        <v>26915</v>
      </c>
      <c r="F2523" s="10">
        <f>IF(ISTEXT(Таблицаx_2[[#This Row],[Значение]]), 0, Таблицаx_2[[#This Row],[Значение]])</f>
        <v>26915</v>
      </c>
      <c r="G2523" s="12">
        <v>45017</v>
      </c>
      <c r="H2523" s="10" t="str">
        <f>IFERROR(VLOOKUP(Таблицаx_2[[#This Row],[id]],prolongations!A:C,2,)," ")</f>
        <v>апрель 2023</v>
      </c>
      <c r="I2523" s="10">
        <f>IF(Таблицаx_2[[#This Row],[Месяц окончания]]=Таблицаx_2[[#This Row],[Месяц]],Таблицаx_2[[#This Row],[Значения числа]],0)</f>
        <v>0</v>
      </c>
      <c r="J2523" s="8">
        <f>IF(AND(Таблицаx_2[[#This Row],[Месяц окончания]]=Таблицаx_2[[#This Row],[Месяц]],Таблицаx_2[[#This Row],[id]]=A2524,EDATE(Таблицаx_2[[#This Row],[Месяц]],1)=D2524),F2524,0)</f>
        <v>0</v>
      </c>
      <c r="K2523" s="8">
        <f>IF(AND(Таблицаx_2[[#This Row],[Месяц окончания]]=Таблицаx_2[[#This Row],[Месяц]],Таблицаx_2[[#This Row],[id]]=A2524,EDATE(Таблицаx_2[[#This Row],[Месяц]],2)=D2524),F2524,0)</f>
        <v>0</v>
      </c>
    </row>
    <row r="2524" spans="1:11" ht="12.75" hidden="1" customHeight="1" x14ac:dyDescent="0.2">
      <c r="A2524" s="8">
        <v>804</v>
      </c>
      <c r="B2524" s="8" t="s">
        <v>45</v>
      </c>
      <c r="C2524" s="8" t="s">
        <v>11</v>
      </c>
      <c r="D2524" s="12">
        <v>45200</v>
      </c>
      <c r="E2524" s="8">
        <v>36205</v>
      </c>
      <c r="F2524" s="10">
        <f>IF(ISTEXT(Таблицаx_2[[#This Row],[Значение]]), 0, Таблицаx_2[[#This Row],[Значение]])</f>
        <v>36205</v>
      </c>
      <c r="G2524" s="12">
        <v>45017</v>
      </c>
      <c r="H2524" s="10" t="str">
        <f>IFERROR(VLOOKUP(Таблицаx_2[[#This Row],[id]],prolongations!A:C,2,)," ")</f>
        <v>апрель 2023</v>
      </c>
      <c r="I2524" s="10">
        <f>IF(Таблицаx_2[[#This Row],[Месяц окончания]]=Таблицаx_2[[#This Row],[Месяц]],Таблицаx_2[[#This Row],[Значения числа]],0)</f>
        <v>0</v>
      </c>
      <c r="J2524" s="8">
        <f>IF(AND(Таблицаx_2[[#This Row],[Месяц окончания]]=Таблицаx_2[[#This Row],[Месяц]],Таблицаx_2[[#This Row],[id]]=A2525,EDATE(Таблицаx_2[[#This Row],[Месяц]],1)=D2525),F2525,0)</f>
        <v>0</v>
      </c>
      <c r="K2524" s="8">
        <f>IF(AND(Таблицаx_2[[#This Row],[Месяц окончания]]=Таблицаx_2[[#This Row],[Месяц]],Таблицаx_2[[#This Row],[id]]=A2525,EDATE(Таблицаx_2[[#This Row],[Месяц]],2)=D2525),F2525,0)</f>
        <v>0</v>
      </c>
    </row>
    <row r="2525" spans="1:11" ht="12.75" hidden="1" customHeight="1" x14ac:dyDescent="0.2">
      <c r="A2525" s="8">
        <v>804</v>
      </c>
      <c r="B2525" s="8" t="s">
        <v>45</v>
      </c>
      <c r="C2525" s="8" t="s">
        <v>11</v>
      </c>
      <c r="D2525" s="12">
        <v>45231</v>
      </c>
      <c r="E2525" s="8">
        <v>28900</v>
      </c>
      <c r="F2525" s="10">
        <f>IF(ISTEXT(Таблицаx_2[[#This Row],[Значение]]), 0, Таблицаx_2[[#This Row],[Значение]])</f>
        <v>28900</v>
      </c>
      <c r="G2525" s="12">
        <v>45017</v>
      </c>
      <c r="H2525" s="10" t="str">
        <f>IFERROR(VLOOKUP(Таблицаx_2[[#This Row],[id]],prolongations!A:C,2,)," ")</f>
        <v>апрель 2023</v>
      </c>
      <c r="I2525" s="10">
        <f>IF(Таблицаx_2[[#This Row],[Месяц окончания]]=Таблицаx_2[[#This Row],[Месяц]],Таблицаx_2[[#This Row],[Значения числа]],0)</f>
        <v>0</v>
      </c>
      <c r="J2525" s="8">
        <f>IF(AND(Таблицаx_2[[#This Row],[Месяц окончания]]=Таблицаx_2[[#This Row],[Месяц]],Таблицаx_2[[#This Row],[id]]=A2526,EDATE(Таблицаx_2[[#This Row],[Месяц]],1)=D2526),F2526,0)</f>
        <v>0</v>
      </c>
      <c r="K2525" s="8">
        <f>IF(AND(Таблицаx_2[[#This Row],[Месяц окончания]]=Таблицаx_2[[#This Row],[Месяц]],Таблицаx_2[[#This Row],[id]]=A2526,EDATE(Таблицаx_2[[#This Row],[Месяц]],2)=D2526),F2526,0)</f>
        <v>0</v>
      </c>
    </row>
    <row r="2526" spans="1:11" ht="12.75" hidden="1" customHeight="1" x14ac:dyDescent="0.2">
      <c r="A2526" s="8">
        <v>804</v>
      </c>
      <c r="B2526" s="8" t="s">
        <v>45</v>
      </c>
      <c r="C2526" s="8" t="s">
        <v>11</v>
      </c>
      <c r="D2526" s="12">
        <v>45261</v>
      </c>
      <c r="E2526" s="8">
        <v>69210</v>
      </c>
      <c r="F2526" s="10">
        <f>IF(ISTEXT(Таблицаx_2[[#This Row],[Значение]]), 0, Таблицаx_2[[#This Row],[Значение]])</f>
        <v>69210</v>
      </c>
      <c r="G2526" s="12">
        <v>45017</v>
      </c>
      <c r="H2526" s="10" t="str">
        <f>IFERROR(VLOOKUP(Таблицаx_2[[#This Row],[id]],prolongations!A:C,2,)," ")</f>
        <v>апрель 2023</v>
      </c>
      <c r="I2526" s="10">
        <f>IF(Таблицаx_2[[#This Row],[Месяц окончания]]=Таблицаx_2[[#This Row],[Месяц]],Таблицаx_2[[#This Row],[Значения числа]],0)</f>
        <v>0</v>
      </c>
      <c r="J2526" s="8">
        <f>IF(AND(Таблицаx_2[[#This Row],[Месяц окончания]]=Таблицаx_2[[#This Row],[Месяц]],Таблицаx_2[[#This Row],[id]]=A2527,EDATE(Таблицаx_2[[#This Row],[Месяц]],1)=D2527),F2527,0)</f>
        <v>0</v>
      </c>
      <c r="K2526" s="8">
        <f>IF(AND(Таблицаx_2[[#This Row],[Месяц окончания]]=Таблицаx_2[[#This Row],[Месяц]],Таблицаx_2[[#This Row],[id]]=A2527,EDATE(Таблицаx_2[[#This Row],[Месяц]],2)=D2527),F2527,0)</f>
        <v>0</v>
      </c>
    </row>
    <row r="2527" spans="1:11" ht="12.75" hidden="1" customHeight="1" x14ac:dyDescent="0.2">
      <c r="A2527" s="8">
        <v>804</v>
      </c>
      <c r="B2527" s="8" t="s">
        <v>47</v>
      </c>
      <c r="C2527" s="8" t="s">
        <v>11</v>
      </c>
      <c r="D2527" s="12">
        <v>45047</v>
      </c>
      <c r="E2527" s="8">
        <v>4105</v>
      </c>
      <c r="F2527" s="10">
        <f>IF(ISTEXT(Таблицаx_2[[#This Row],[Значение]]), 0, Таблицаx_2[[#This Row],[Значение]])</f>
        <v>4105</v>
      </c>
      <c r="G2527" s="12">
        <v>45017</v>
      </c>
      <c r="H2527" s="10" t="str">
        <f>IFERROR(VLOOKUP(Таблицаx_2[[#This Row],[id]],prolongations!A:C,2,)," ")</f>
        <v>апрель 2023</v>
      </c>
      <c r="I2527" s="10">
        <f>IF(Таблицаx_2[[#This Row],[Месяц окончания]]=Таблицаx_2[[#This Row],[Месяц]],Таблицаx_2[[#This Row],[Значения числа]],0)</f>
        <v>0</v>
      </c>
      <c r="J2527" s="8">
        <f>IF(AND(Таблицаx_2[[#This Row],[Месяц окончания]]=Таблицаx_2[[#This Row],[Месяц]],Таблицаx_2[[#This Row],[id]]=A2528,EDATE(Таблицаx_2[[#This Row],[Месяц]],1)=D2528),F2528,0)</f>
        <v>0</v>
      </c>
      <c r="K2527" s="8">
        <f>IF(AND(Таблицаx_2[[#This Row],[Месяц окончания]]=Таблицаx_2[[#This Row],[Месяц]],Таблицаx_2[[#This Row],[id]]=A2528,EDATE(Таблицаx_2[[#This Row],[Месяц]],2)=D2528),F2528,0)</f>
        <v>0</v>
      </c>
    </row>
    <row r="2528" spans="1:11" ht="12.75" hidden="1" customHeight="1" x14ac:dyDescent="0.2">
      <c r="A2528" s="8">
        <v>808</v>
      </c>
      <c r="B2528" s="8"/>
      <c r="C2528" s="8" t="s">
        <v>26</v>
      </c>
      <c r="D2528" s="12">
        <v>45047</v>
      </c>
      <c r="E2528" s="8">
        <v>84000</v>
      </c>
      <c r="F2528" s="10">
        <f>IF(ISTEXT(Таблицаx_2[[#This Row],[Значение]]), 0, Таблицаx_2[[#This Row],[Значение]])</f>
        <v>84000</v>
      </c>
      <c r="G2528" s="12">
        <v>45108</v>
      </c>
      <c r="H2528" s="10" t="str">
        <f>IFERROR(VLOOKUP(Таблицаx_2[[#This Row],[id]],prolongations!A:C,2,)," ")</f>
        <v>июль 2023</v>
      </c>
      <c r="I2528" s="10">
        <f>IF(Таблицаx_2[[#This Row],[Месяц окончания]]=Таблицаx_2[[#This Row],[Месяц]],Таблицаx_2[[#This Row],[Значения числа]],0)</f>
        <v>0</v>
      </c>
      <c r="J2528" s="8">
        <f>IF(AND(Таблицаx_2[[#This Row],[Месяц окончания]]=Таблицаx_2[[#This Row],[Месяц]],Таблицаx_2[[#This Row],[id]]=A2529,EDATE(Таблицаx_2[[#This Row],[Месяц]],1)=D2529),F2529,0)</f>
        <v>0</v>
      </c>
      <c r="K2528" s="8">
        <f>IF(AND(Таблицаx_2[[#This Row],[Месяц окончания]]=Таблицаx_2[[#This Row],[Месяц]],Таблицаx_2[[#This Row],[id]]=A2529,EDATE(Таблицаx_2[[#This Row],[Месяц]],2)=D2529),F2529,0)</f>
        <v>0</v>
      </c>
    </row>
    <row r="2529" spans="1:11" ht="12.75" hidden="1" customHeight="1" x14ac:dyDescent="0.2">
      <c r="A2529" s="8">
        <v>808</v>
      </c>
      <c r="B2529" s="8"/>
      <c r="C2529" s="8" t="s">
        <v>26</v>
      </c>
      <c r="D2529" s="12">
        <v>45078</v>
      </c>
      <c r="E2529" s="8">
        <v>78000</v>
      </c>
      <c r="F2529" s="10">
        <f>IF(ISTEXT(Таблицаx_2[[#This Row],[Значение]]), 0, Таблицаx_2[[#This Row],[Значение]])</f>
        <v>78000</v>
      </c>
      <c r="G2529" s="12">
        <v>45108</v>
      </c>
      <c r="H2529" s="10" t="str">
        <f>IFERROR(VLOOKUP(Таблицаx_2[[#This Row],[id]],prolongations!A:C,2,)," ")</f>
        <v>июль 2023</v>
      </c>
      <c r="I2529" s="10">
        <f>IF(Таблицаx_2[[#This Row],[Месяц окончания]]=Таблицаx_2[[#This Row],[Месяц]],Таблицаx_2[[#This Row],[Значения числа]],0)</f>
        <v>0</v>
      </c>
      <c r="J2529" s="8">
        <f>IF(AND(Таблицаx_2[[#This Row],[Месяц окончания]]=Таблицаx_2[[#This Row],[Месяц]],Таблицаx_2[[#This Row],[id]]=A2530,EDATE(Таблицаx_2[[#This Row],[Месяц]],1)=D2530),F2530,0)</f>
        <v>0</v>
      </c>
      <c r="K2529" s="8">
        <f>IF(AND(Таблицаx_2[[#This Row],[Месяц окончания]]=Таблицаx_2[[#This Row],[Месяц]],Таблицаx_2[[#This Row],[id]]=A2530,EDATE(Таблицаx_2[[#This Row],[Месяц]],2)=D2530),F2530,0)</f>
        <v>0</v>
      </c>
    </row>
    <row r="2530" spans="1:11" ht="12.75" hidden="1" customHeight="1" x14ac:dyDescent="0.2">
      <c r="A2530" s="8">
        <v>808</v>
      </c>
      <c r="B2530" s="8"/>
      <c r="C2530" s="8" t="s">
        <v>26</v>
      </c>
      <c r="D2530" s="12">
        <v>45108</v>
      </c>
      <c r="E2530" s="8">
        <v>78000</v>
      </c>
      <c r="F2530" s="10">
        <f>IF(ISTEXT(Таблицаx_2[[#This Row],[Значение]]), 0, Таблицаx_2[[#This Row],[Значение]])</f>
        <v>78000</v>
      </c>
      <c r="G2530" s="12">
        <v>45108</v>
      </c>
      <c r="H2530" s="10" t="str">
        <f>IFERROR(VLOOKUP(Таблицаx_2[[#This Row],[id]],prolongations!A:C,2,)," ")</f>
        <v>июль 2023</v>
      </c>
      <c r="I2530" s="10">
        <f>IF(Таблицаx_2[[#This Row],[Месяц окончания]]=Таблицаx_2[[#This Row],[Месяц]],Таблицаx_2[[#This Row],[Значения числа]],0)</f>
        <v>78000</v>
      </c>
      <c r="J2530" s="8">
        <f>IF(AND(Таблицаx_2[[#This Row],[Месяц окончания]]=Таблицаx_2[[#This Row],[Месяц]],Таблицаx_2[[#This Row],[id]]=A2531,EDATE(Таблицаx_2[[#This Row],[Месяц]],1)=D2531),F2531,0)</f>
        <v>73050</v>
      </c>
      <c r="K2530" s="8">
        <f>IF(AND(Таблицаx_2[[#This Row],[Месяц окончания]]=Таблицаx_2[[#This Row],[Месяц]],Таблицаx_2[[#This Row],[id]]=A2531,EDATE(Таблицаx_2[[#This Row],[Месяц]],2)=D2531),F2531,0)</f>
        <v>0</v>
      </c>
    </row>
    <row r="2531" spans="1:11" ht="12.75" hidden="1" customHeight="1" x14ac:dyDescent="0.2">
      <c r="A2531" s="8">
        <v>808</v>
      </c>
      <c r="B2531" s="8"/>
      <c r="C2531" s="8" t="s">
        <v>26</v>
      </c>
      <c r="D2531" s="12">
        <v>45139</v>
      </c>
      <c r="E2531" s="8">
        <v>73050</v>
      </c>
      <c r="F2531" s="10">
        <f>IF(ISTEXT(Таблицаx_2[[#This Row],[Значение]]), 0, Таблицаx_2[[#This Row],[Значение]])</f>
        <v>73050</v>
      </c>
      <c r="G2531" s="12">
        <v>45108</v>
      </c>
      <c r="H2531" s="10" t="str">
        <f>IFERROR(VLOOKUP(Таблицаx_2[[#This Row],[id]],prolongations!A:C,2,)," ")</f>
        <v>июль 2023</v>
      </c>
      <c r="I2531" s="10">
        <f>IF(Таблицаx_2[[#This Row],[Месяц окончания]]=Таблицаx_2[[#This Row],[Месяц]],Таблицаx_2[[#This Row],[Значения числа]],0)</f>
        <v>0</v>
      </c>
      <c r="J2531" s="8">
        <f>IF(AND(Таблицаx_2[[#This Row],[Месяц окончания]]=Таблицаx_2[[#This Row],[Месяц]],Таблицаx_2[[#This Row],[id]]=A2532,EDATE(Таблицаx_2[[#This Row],[Месяц]],1)=D2532),F2532,0)</f>
        <v>0</v>
      </c>
      <c r="K2531" s="8">
        <f>IF(AND(Таблицаx_2[[#This Row],[Месяц окончания]]=Таблицаx_2[[#This Row],[Месяц]],Таблицаx_2[[#This Row],[id]]=A2532,EDATE(Таблицаx_2[[#This Row],[Месяц]],2)=D2532),F2532,0)</f>
        <v>0</v>
      </c>
    </row>
    <row r="2532" spans="1:11" ht="12.75" hidden="1" customHeight="1" x14ac:dyDescent="0.2">
      <c r="A2532" s="8">
        <v>808</v>
      </c>
      <c r="B2532" s="8"/>
      <c r="C2532" s="8" t="s">
        <v>26</v>
      </c>
      <c r="D2532" s="12">
        <v>45170</v>
      </c>
      <c r="E2532" s="8">
        <v>101020</v>
      </c>
      <c r="F2532" s="10">
        <f>IF(ISTEXT(Таблицаx_2[[#This Row],[Значение]]), 0, Таблицаx_2[[#This Row],[Значение]])</f>
        <v>101020</v>
      </c>
      <c r="G2532" s="12">
        <v>45108</v>
      </c>
      <c r="H2532" s="10" t="str">
        <f>IFERROR(VLOOKUP(Таблицаx_2[[#This Row],[id]],prolongations!A:C,2,)," ")</f>
        <v>июль 2023</v>
      </c>
      <c r="I2532" s="10">
        <f>IF(Таблицаx_2[[#This Row],[Месяц окончания]]=Таблицаx_2[[#This Row],[Месяц]],Таблицаx_2[[#This Row],[Значения числа]],0)</f>
        <v>0</v>
      </c>
      <c r="J2532" s="8">
        <f>IF(AND(Таблицаx_2[[#This Row],[Месяц окончания]]=Таблицаx_2[[#This Row],[Месяц]],Таблицаx_2[[#This Row],[id]]=A2533,EDATE(Таблицаx_2[[#This Row],[Месяц]],1)=D2533),F2533,0)</f>
        <v>0</v>
      </c>
      <c r="K2532" s="8">
        <f>IF(AND(Таблицаx_2[[#This Row],[Месяц окончания]]=Таблицаx_2[[#This Row],[Месяц]],Таблицаx_2[[#This Row],[id]]=A2533,EDATE(Таблицаx_2[[#This Row],[Месяц]],2)=D2533),F2533,0)</f>
        <v>0</v>
      </c>
    </row>
    <row r="2533" spans="1:11" ht="12.75" hidden="1" customHeight="1" x14ac:dyDescent="0.2">
      <c r="A2533" s="8">
        <v>808</v>
      </c>
      <c r="B2533" s="8"/>
      <c r="C2533" s="8" t="s">
        <v>26</v>
      </c>
      <c r="D2533" s="12">
        <v>45200</v>
      </c>
      <c r="E2533" s="8">
        <v>100285</v>
      </c>
      <c r="F2533" s="10">
        <f>IF(ISTEXT(Таблицаx_2[[#This Row],[Значение]]), 0, Таблицаx_2[[#This Row],[Значение]])</f>
        <v>100285</v>
      </c>
      <c r="G2533" s="12">
        <v>45108</v>
      </c>
      <c r="H2533" s="10" t="str">
        <f>IFERROR(VLOOKUP(Таблицаx_2[[#This Row],[id]],prolongations!A:C,2,)," ")</f>
        <v>июль 2023</v>
      </c>
      <c r="I2533" s="10">
        <f>IF(Таблицаx_2[[#This Row],[Месяц окончания]]=Таблицаx_2[[#This Row],[Месяц]],Таблицаx_2[[#This Row],[Значения числа]],0)</f>
        <v>0</v>
      </c>
      <c r="J2533" s="8">
        <f>IF(AND(Таблицаx_2[[#This Row],[Месяц окончания]]=Таблицаx_2[[#This Row],[Месяц]],Таблицаx_2[[#This Row],[id]]=A2534,EDATE(Таблицаx_2[[#This Row],[Месяц]],1)=D2534),F2534,0)</f>
        <v>0</v>
      </c>
      <c r="K2533" s="8">
        <f>IF(AND(Таблицаx_2[[#This Row],[Месяц окончания]]=Таблицаx_2[[#This Row],[Месяц]],Таблицаx_2[[#This Row],[id]]=A2534,EDATE(Таблицаx_2[[#This Row],[Месяц]],2)=D2534),F2534,0)</f>
        <v>0</v>
      </c>
    </row>
    <row r="2534" spans="1:11" ht="12.75" hidden="1" customHeight="1" x14ac:dyDescent="0.2">
      <c r="A2534" s="8">
        <v>808</v>
      </c>
      <c r="B2534" s="8"/>
      <c r="C2534" s="8" t="s">
        <v>26</v>
      </c>
      <c r="D2534" s="12">
        <v>45231</v>
      </c>
      <c r="E2534" s="8">
        <v>73050</v>
      </c>
      <c r="F2534" s="10">
        <f>IF(ISTEXT(Таблицаx_2[[#This Row],[Значение]]), 0, Таблицаx_2[[#This Row],[Значение]])</f>
        <v>73050</v>
      </c>
      <c r="G2534" s="12">
        <v>45108</v>
      </c>
      <c r="H2534" s="10" t="str">
        <f>IFERROR(VLOOKUP(Таблицаx_2[[#This Row],[id]],prolongations!A:C,2,)," ")</f>
        <v>июль 2023</v>
      </c>
      <c r="I2534" s="10">
        <f>IF(Таблицаx_2[[#This Row],[Месяц окончания]]=Таблицаx_2[[#This Row],[Месяц]],Таблицаx_2[[#This Row],[Значения числа]],0)</f>
        <v>0</v>
      </c>
      <c r="J2534" s="8">
        <f>IF(AND(Таблицаx_2[[#This Row],[Месяц окончания]]=Таблицаx_2[[#This Row],[Месяц]],Таблицаx_2[[#This Row],[id]]=A2535,EDATE(Таблицаx_2[[#This Row],[Месяц]],1)=D2535),F2535,0)</f>
        <v>0</v>
      </c>
      <c r="K2534" s="8">
        <f>IF(AND(Таблицаx_2[[#This Row],[Месяц окончания]]=Таблицаx_2[[#This Row],[Месяц]],Таблицаx_2[[#This Row],[id]]=A2535,EDATE(Таблицаx_2[[#This Row],[Месяц]],2)=D2535),F2535,0)</f>
        <v>0</v>
      </c>
    </row>
    <row r="2535" spans="1:11" ht="12.75" hidden="1" customHeight="1" x14ac:dyDescent="0.2">
      <c r="A2535" s="8">
        <v>350</v>
      </c>
      <c r="B2535" s="8" t="s">
        <v>45</v>
      </c>
      <c r="C2535" s="8" t="s">
        <v>10</v>
      </c>
      <c r="D2535" s="12">
        <v>45200</v>
      </c>
      <c r="E2535" s="8">
        <v>121000</v>
      </c>
      <c r="F2535" s="10">
        <f>IF(ISTEXT(Таблицаx_2[[#This Row],[Значение]]), 0, Таблицаx_2[[#This Row],[Значение]])</f>
        <v>121000</v>
      </c>
      <c r="G2535" s="12">
        <v>45261</v>
      </c>
      <c r="H2535" s="10" t="str">
        <f>IFERROR(VLOOKUP(Таблицаx_2[[#This Row],[id]],prolongations!A:C,2,)," ")</f>
        <v>декабрь 2023</v>
      </c>
      <c r="I2535" s="10">
        <f>IF(Таблицаx_2[[#This Row],[Месяц окончания]]=Таблицаx_2[[#This Row],[Месяц]],Таблицаx_2[[#This Row],[Значения числа]],0)</f>
        <v>0</v>
      </c>
      <c r="J2535" s="8">
        <f>IF(AND(Таблицаx_2[[#This Row],[Месяц окончания]]=Таблицаx_2[[#This Row],[Месяц]],Таблицаx_2[[#This Row],[id]]=A2536,EDATE(Таблицаx_2[[#This Row],[Месяц]],1)=D2536),F2536,0)</f>
        <v>0</v>
      </c>
      <c r="K2535" s="8">
        <f>IF(AND(Таблицаx_2[[#This Row],[Месяц окончания]]=Таблицаx_2[[#This Row],[Месяц]],Таблицаx_2[[#This Row],[id]]=A2536,EDATE(Таблицаx_2[[#This Row],[Месяц]],2)=D2536),F2536,0)</f>
        <v>0</v>
      </c>
    </row>
    <row r="2536" spans="1:11" ht="12.75" hidden="1" customHeight="1" x14ac:dyDescent="0.2">
      <c r="A2536" s="8">
        <v>350</v>
      </c>
      <c r="B2536" s="8" t="s">
        <v>45</v>
      </c>
      <c r="C2536" s="8" t="s">
        <v>10</v>
      </c>
      <c r="D2536" s="12">
        <v>45231</v>
      </c>
      <c r="E2536" s="8">
        <v>121000</v>
      </c>
      <c r="F2536" s="10">
        <f>IF(ISTEXT(Таблицаx_2[[#This Row],[Значение]]), 0, Таблицаx_2[[#This Row],[Значение]])</f>
        <v>121000</v>
      </c>
      <c r="G2536" s="12">
        <v>45261</v>
      </c>
      <c r="H2536" s="10" t="str">
        <f>IFERROR(VLOOKUP(Таблицаx_2[[#This Row],[id]],prolongations!A:C,2,)," ")</f>
        <v>декабрь 2023</v>
      </c>
      <c r="I2536" s="10">
        <f>IF(Таблицаx_2[[#This Row],[Месяц окончания]]=Таблицаx_2[[#This Row],[Месяц]],Таблицаx_2[[#This Row],[Значения числа]],0)</f>
        <v>0</v>
      </c>
      <c r="J2536" s="8">
        <f>IF(AND(Таблицаx_2[[#This Row],[Месяц окончания]]=Таблицаx_2[[#This Row],[Месяц]],Таблицаx_2[[#This Row],[id]]=A2537,EDATE(Таблицаx_2[[#This Row],[Месяц]],1)=D2537),F2537,0)</f>
        <v>0</v>
      </c>
      <c r="K2536" s="8">
        <f>IF(AND(Таблицаx_2[[#This Row],[Месяц окончания]]=Таблицаx_2[[#This Row],[Месяц]],Таблицаx_2[[#This Row],[id]]=A2537,EDATE(Таблицаx_2[[#This Row],[Месяц]],2)=D2537),F2537,0)</f>
        <v>0</v>
      </c>
    </row>
    <row r="2537" spans="1:11" ht="12.75" hidden="1" customHeight="1" x14ac:dyDescent="0.2">
      <c r="A2537" s="8">
        <v>350</v>
      </c>
      <c r="B2537" s="8" t="s">
        <v>45</v>
      </c>
      <c r="C2537" s="8" t="s">
        <v>10</v>
      </c>
      <c r="D2537" s="12">
        <v>45261</v>
      </c>
      <c r="E2537" s="8">
        <v>121000</v>
      </c>
      <c r="F2537" s="10">
        <f>IF(ISTEXT(Таблицаx_2[[#This Row],[Значение]]), 0, Таблицаx_2[[#This Row],[Значение]])</f>
        <v>121000</v>
      </c>
      <c r="G2537" s="12">
        <v>45261</v>
      </c>
      <c r="H2537" s="10" t="str">
        <f>IFERROR(VLOOKUP(Таблицаx_2[[#This Row],[id]],prolongations!A:C,2,)," ")</f>
        <v>декабрь 2023</v>
      </c>
      <c r="I2537" s="10">
        <f>IF(Таблицаx_2[[#This Row],[Месяц окончания]]=Таблицаx_2[[#This Row],[Месяц]],Таблицаx_2[[#This Row],[Значения числа]],0)</f>
        <v>121000</v>
      </c>
      <c r="J2537" s="8">
        <f>IF(AND(Таблицаx_2[[#This Row],[Месяц окончания]]=Таблицаx_2[[#This Row],[Месяц]],Таблицаx_2[[#This Row],[id]]=A2538,EDATE(Таблицаx_2[[#This Row],[Месяц]],1)=D2538),F2538,0)</f>
        <v>117500</v>
      </c>
      <c r="K2537" s="8">
        <f>IF(AND(Таблицаx_2[[#This Row],[Месяц окончания]]=Таблицаx_2[[#This Row],[Месяц]],Таблицаx_2[[#This Row],[id]]=A2538,EDATE(Таблицаx_2[[#This Row],[Месяц]],2)=D2538),F2538,0)</f>
        <v>0</v>
      </c>
    </row>
    <row r="2538" spans="1:11" ht="12.75" hidden="1" customHeight="1" x14ac:dyDescent="0.2">
      <c r="A2538" s="8">
        <v>350</v>
      </c>
      <c r="B2538" s="8" t="s">
        <v>45</v>
      </c>
      <c r="C2538" s="8" t="s">
        <v>10</v>
      </c>
      <c r="D2538" s="12">
        <v>45292</v>
      </c>
      <c r="E2538" s="8">
        <v>117500</v>
      </c>
      <c r="F2538" s="10">
        <f>IF(ISTEXT(Таблицаx_2[[#This Row],[Значение]]), 0, Таблицаx_2[[#This Row],[Значение]])</f>
        <v>117500</v>
      </c>
      <c r="G2538" s="12">
        <v>45261</v>
      </c>
      <c r="H2538" s="10" t="str">
        <f>IFERROR(VLOOKUP(Таблицаx_2[[#This Row],[id]],prolongations!A:C,2,)," ")</f>
        <v>декабрь 2023</v>
      </c>
      <c r="I2538" s="10">
        <f>IF(Таблицаx_2[[#This Row],[Месяц окончания]]=Таблицаx_2[[#This Row],[Месяц]],Таблицаx_2[[#This Row],[Значения числа]],0)</f>
        <v>0</v>
      </c>
      <c r="J2538" s="8">
        <f>IF(AND(Таблицаx_2[[#This Row],[Месяц окончания]]=Таблицаx_2[[#This Row],[Месяц]],Таблицаx_2[[#This Row],[id]]=A2539,EDATE(Таблицаx_2[[#This Row],[Месяц]],1)=D2539),F2539,0)</f>
        <v>0</v>
      </c>
      <c r="K2538" s="8">
        <f>IF(AND(Таблицаx_2[[#This Row],[Месяц окончания]]=Таблицаx_2[[#This Row],[Месяц]],Таблицаx_2[[#This Row],[id]]=A2539,EDATE(Таблицаx_2[[#This Row],[Месяц]],2)=D2539),F2539,0)</f>
        <v>0</v>
      </c>
    </row>
    <row r="2539" spans="1:11" ht="12.75" hidden="1" customHeight="1" x14ac:dyDescent="0.2">
      <c r="A2539" s="8">
        <v>350</v>
      </c>
      <c r="B2539" s="8" t="s">
        <v>45</v>
      </c>
      <c r="C2539" s="8" t="s">
        <v>10</v>
      </c>
      <c r="D2539" s="12">
        <v>45323</v>
      </c>
      <c r="E2539" s="8">
        <v>117500</v>
      </c>
      <c r="F2539" s="10">
        <f>IF(ISTEXT(Таблицаx_2[[#This Row],[Значение]]), 0, Таблицаx_2[[#This Row],[Значение]])</f>
        <v>117500</v>
      </c>
      <c r="G2539" s="12">
        <v>45261</v>
      </c>
      <c r="H2539" s="10" t="str">
        <f>IFERROR(VLOOKUP(Таблицаx_2[[#This Row],[id]],prolongations!A:C,2,)," ")</f>
        <v>декабрь 2023</v>
      </c>
      <c r="I2539" s="10">
        <f>IF(Таблицаx_2[[#This Row],[Месяц окончания]]=Таблицаx_2[[#This Row],[Месяц]],Таблицаx_2[[#This Row],[Значения числа]],0)</f>
        <v>0</v>
      </c>
      <c r="J2539" s="8">
        <f>IF(AND(Таблицаx_2[[#This Row],[Месяц окончания]]=Таблицаx_2[[#This Row],[Месяц]],Таблицаx_2[[#This Row],[id]]=A2540,EDATE(Таблицаx_2[[#This Row],[Месяц]],1)=D2540),F2540,0)</f>
        <v>0</v>
      </c>
      <c r="K2539" s="8">
        <f>IF(AND(Таблицаx_2[[#This Row],[Месяц окончания]]=Таблицаx_2[[#This Row],[Месяц]],Таблицаx_2[[#This Row],[id]]=A2540,EDATE(Таблицаx_2[[#This Row],[Месяц]],2)=D2540),F2540,0)</f>
        <v>0</v>
      </c>
    </row>
    <row r="2540" spans="1:11" ht="12.75" hidden="1" customHeight="1" x14ac:dyDescent="0.2">
      <c r="A2540" s="8">
        <v>350</v>
      </c>
      <c r="B2540" s="8" t="s">
        <v>47</v>
      </c>
      <c r="C2540" s="8" t="s">
        <v>10</v>
      </c>
      <c r="D2540" s="12">
        <v>45200</v>
      </c>
      <c r="E2540" s="8" t="s">
        <v>48</v>
      </c>
      <c r="F2540" s="10">
        <f>IF(ISTEXT(Таблицаx_2[[#This Row],[Значение]]), 0, Таблицаx_2[[#This Row],[Значение]])</f>
        <v>0</v>
      </c>
      <c r="G2540" s="12">
        <v>45261</v>
      </c>
      <c r="H2540" s="10" t="str">
        <f>IFERROR(VLOOKUP(Таблицаx_2[[#This Row],[id]],prolongations!A:C,2,)," ")</f>
        <v>декабрь 2023</v>
      </c>
      <c r="I2540" s="10">
        <f>IF(Таблицаx_2[[#This Row],[Месяц окончания]]=Таблицаx_2[[#This Row],[Месяц]],Таблицаx_2[[#This Row],[Значения числа]],0)</f>
        <v>0</v>
      </c>
      <c r="J2540" s="8">
        <f>IF(AND(Таблицаx_2[[#This Row],[Месяц окончания]]=Таблицаx_2[[#This Row],[Месяц]],Таблицаx_2[[#This Row],[id]]=A2541,EDATE(Таблицаx_2[[#This Row],[Месяц]],1)=D2541),F2541,0)</f>
        <v>0</v>
      </c>
      <c r="K2540" s="8">
        <f>IF(AND(Таблицаx_2[[#This Row],[Месяц окончания]]=Таблицаx_2[[#This Row],[Месяц]],Таблицаx_2[[#This Row],[id]]=A2541,EDATE(Таблицаx_2[[#This Row],[Месяц]],2)=D2541),F2541,0)</f>
        <v>0</v>
      </c>
    </row>
    <row r="2541" spans="1:11" ht="12.75" hidden="1" customHeight="1" x14ac:dyDescent="0.2">
      <c r="A2541" s="8">
        <v>350</v>
      </c>
      <c r="B2541" s="8" t="s">
        <v>47</v>
      </c>
      <c r="C2541" s="8" t="s">
        <v>10</v>
      </c>
      <c r="D2541" s="12">
        <v>45231</v>
      </c>
      <c r="E2541" s="8" t="s">
        <v>48</v>
      </c>
      <c r="F2541" s="10">
        <f>IF(ISTEXT(Таблицаx_2[[#This Row],[Значение]]), 0, Таблицаx_2[[#This Row],[Значение]])</f>
        <v>0</v>
      </c>
      <c r="G2541" s="12">
        <v>45261</v>
      </c>
      <c r="H2541" s="10" t="str">
        <f>IFERROR(VLOOKUP(Таблицаx_2[[#This Row],[id]],prolongations!A:C,2,)," ")</f>
        <v>декабрь 2023</v>
      </c>
      <c r="I2541" s="10">
        <f>IF(Таблицаx_2[[#This Row],[Месяц окончания]]=Таблицаx_2[[#This Row],[Месяц]],Таблицаx_2[[#This Row],[Значения числа]],0)</f>
        <v>0</v>
      </c>
      <c r="J2541" s="8">
        <f>IF(AND(Таблицаx_2[[#This Row],[Месяц окончания]]=Таблицаx_2[[#This Row],[Месяц]],Таблицаx_2[[#This Row],[id]]=A2542,EDATE(Таблицаx_2[[#This Row],[Месяц]],1)=D2542),F2542,0)</f>
        <v>0</v>
      </c>
      <c r="K2541" s="8">
        <f>IF(AND(Таблицаx_2[[#This Row],[Месяц окончания]]=Таблицаx_2[[#This Row],[Месяц]],Таблицаx_2[[#This Row],[id]]=A2542,EDATE(Таблицаx_2[[#This Row],[Месяц]],2)=D2542),F2542,0)</f>
        <v>0</v>
      </c>
    </row>
    <row r="2542" spans="1:11" ht="12.75" hidden="1" customHeight="1" x14ac:dyDescent="0.2">
      <c r="A2542" s="8">
        <v>350</v>
      </c>
      <c r="B2542" s="8" t="s">
        <v>47</v>
      </c>
      <c r="C2542" s="8" t="s">
        <v>10</v>
      </c>
      <c r="D2542" s="12">
        <v>45261</v>
      </c>
      <c r="E2542" s="8">
        <v>305</v>
      </c>
      <c r="F2542" s="10">
        <f>IF(ISTEXT(Таблицаx_2[[#This Row],[Значение]]), 0, Таблицаx_2[[#This Row],[Значение]])</f>
        <v>305</v>
      </c>
      <c r="G2542" s="12">
        <v>45261</v>
      </c>
      <c r="H2542" s="10" t="str">
        <f>IFERROR(VLOOKUP(Таблицаx_2[[#This Row],[id]],prolongations!A:C,2,)," ")</f>
        <v>декабрь 2023</v>
      </c>
      <c r="I2542" s="10">
        <f>IF(Таблицаx_2[[#This Row],[Месяц окончания]]=Таблицаx_2[[#This Row],[Месяц]],Таблицаx_2[[#This Row],[Значения числа]],0)</f>
        <v>305</v>
      </c>
      <c r="J2542" s="8">
        <f>IF(AND(Таблицаx_2[[#This Row],[Месяц окончания]]=Таблицаx_2[[#This Row],[Месяц]],Таблицаx_2[[#This Row],[id]]=A2543,EDATE(Таблицаx_2[[#This Row],[Месяц]],1)=D2543),F2543,0)</f>
        <v>305</v>
      </c>
      <c r="K2542" s="8">
        <f>IF(AND(Таблицаx_2[[#This Row],[Месяц окончания]]=Таблицаx_2[[#This Row],[Месяц]],Таблицаx_2[[#This Row],[id]]=A2543,EDATE(Таблицаx_2[[#This Row],[Месяц]],2)=D2543),F2543,0)</f>
        <v>0</v>
      </c>
    </row>
    <row r="2543" spans="1:11" ht="12.75" hidden="1" customHeight="1" x14ac:dyDescent="0.2">
      <c r="A2543" s="8">
        <v>350</v>
      </c>
      <c r="B2543" s="8" t="s">
        <v>47</v>
      </c>
      <c r="C2543" s="8" t="s">
        <v>10</v>
      </c>
      <c r="D2543" s="12">
        <v>45292</v>
      </c>
      <c r="E2543" s="8">
        <v>305</v>
      </c>
      <c r="F2543" s="10">
        <f>IF(ISTEXT(Таблицаx_2[[#This Row],[Значение]]), 0, Таблицаx_2[[#This Row],[Значение]])</f>
        <v>305</v>
      </c>
      <c r="G2543" s="12">
        <v>45261</v>
      </c>
      <c r="H2543" s="10" t="str">
        <f>IFERROR(VLOOKUP(Таблицаx_2[[#This Row],[id]],prolongations!A:C,2,)," ")</f>
        <v>декабрь 2023</v>
      </c>
      <c r="I2543" s="10">
        <f>IF(Таблицаx_2[[#This Row],[Месяц окончания]]=Таблицаx_2[[#This Row],[Месяц]],Таблицаx_2[[#This Row],[Значения числа]],0)</f>
        <v>0</v>
      </c>
      <c r="J2543" s="8">
        <f>IF(AND(Таблицаx_2[[#This Row],[Месяц окончания]]=Таблицаx_2[[#This Row],[Месяц]],Таблицаx_2[[#This Row],[id]]=A2544,EDATE(Таблицаx_2[[#This Row],[Месяц]],1)=D2544),F2544,0)</f>
        <v>0</v>
      </c>
      <c r="K2543" s="8">
        <f>IF(AND(Таблицаx_2[[#This Row],[Месяц окончания]]=Таблицаx_2[[#This Row],[Месяц]],Таблицаx_2[[#This Row],[id]]=A2544,EDATE(Таблицаx_2[[#This Row],[Месяц]],2)=D2544),F2544,0)</f>
        <v>0</v>
      </c>
    </row>
    <row r="2544" spans="1:11" ht="12.75" hidden="1" customHeight="1" x14ac:dyDescent="0.2">
      <c r="A2544" s="8">
        <v>350</v>
      </c>
      <c r="B2544" s="8" t="s">
        <v>47</v>
      </c>
      <c r="C2544" s="8" t="s">
        <v>10</v>
      </c>
      <c r="D2544" s="12">
        <v>45323</v>
      </c>
      <c r="E2544" s="8">
        <v>305</v>
      </c>
      <c r="F2544" s="10">
        <f>IF(ISTEXT(Таблицаx_2[[#This Row],[Значение]]), 0, Таблицаx_2[[#This Row],[Значение]])</f>
        <v>305</v>
      </c>
      <c r="G2544" s="12">
        <v>45261</v>
      </c>
      <c r="H2544" s="10" t="str">
        <f>IFERROR(VLOOKUP(Таблицаx_2[[#This Row],[id]],prolongations!A:C,2,)," ")</f>
        <v>декабрь 2023</v>
      </c>
      <c r="I2544" s="10">
        <f>IF(Таблицаx_2[[#This Row],[Месяц окончания]]=Таблицаx_2[[#This Row],[Месяц]],Таблицаx_2[[#This Row],[Значения числа]],0)</f>
        <v>0</v>
      </c>
      <c r="J2544" s="8">
        <f>IF(AND(Таблицаx_2[[#This Row],[Месяц окончания]]=Таблицаx_2[[#This Row],[Месяц]],Таблицаx_2[[#This Row],[id]]=A2545,EDATE(Таблицаx_2[[#This Row],[Месяц]],1)=D2545),F2545,0)</f>
        <v>0</v>
      </c>
      <c r="K2544" s="8">
        <f>IF(AND(Таблицаx_2[[#This Row],[Месяц окончания]]=Таблицаx_2[[#This Row],[Месяц]],Таблицаx_2[[#This Row],[id]]=A2545,EDATE(Таблицаx_2[[#This Row],[Месяц]],2)=D2545),F2545,0)</f>
        <v>0</v>
      </c>
    </row>
    <row r="2545" spans="1:11" ht="12.75" hidden="1" customHeight="1" x14ac:dyDescent="0.2">
      <c r="A2545" s="8">
        <v>955</v>
      </c>
      <c r="B2545" s="8"/>
      <c r="C2545" s="8" t="s">
        <v>10</v>
      </c>
      <c r="D2545" s="12">
        <v>45170</v>
      </c>
      <c r="E2545" s="8">
        <v>9300</v>
      </c>
      <c r="F2545" s="10">
        <f>IF(ISTEXT(Таблицаx_2[[#This Row],[Значение]]), 0, Таблицаx_2[[#This Row],[Значение]])</f>
        <v>9300</v>
      </c>
      <c r="G2545" s="12">
        <v>45261</v>
      </c>
      <c r="H2545" s="10" t="str">
        <f>IFERROR(VLOOKUP(Таблицаx_2[[#This Row],[id]],prolongations!A:C,2,)," ")</f>
        <v>декабрь 2023</v>
      </c>
      <c r="I2545" s="10">
        <f>IF(Таблицаx_2[[#This Row],[Месяц окончания]]=Таблицаx_2[[#This Row],[Месяц]],Таблицаx_2[[#This Row],[Значения числа]],0)</f>
        <v>0</v>
      </c>
      <c r="J2545" s="8">
        <f>IF(AND(Таблицаx_2[[#This Row],[Месяц окончания]]=Таблицаx_2[[#This Row],[Месяц]],Таблицаx_2[[#This Row],[id]]=A2546,EDATE(Таблицаx_2[[#This Row],[Месяц]],1)=D2546),F2546,0)</f>
        <v>0</v>
      </c>
      <c r="K2545" s="8">
        <f>IF(AND(Таблицаx_2[[#This Row],[Месяц окончания]]=Таблицаx_2[[#This Row],[Месяц]],Таблицаx_2[[#This Row],[id]]=A2546,EDATE(Таблицаx_2[[#This Row],[Месяц]],2)=D2546),F2546,0)</f>
        <v>0</v>
      </c>
    </row>
    <row r="2546" spans="1:11" ht="12.75" hidden="1" customHeight="1" x14ac:dyDescent="0.2">
      <c r="A2546" s="8">
        <v>955</v>
      </c>
      <c r="B2546" s="8"/>
      <c r="C2546" s="8" t="s">
        <v>10</v>
      </c>
      <c r="D2546" s="12">
        <v>45200</v>
      </c>
      <c r="E2546" s="8">
        <v>9300</v>
      </c>
      <c r="F2546" s="10">
        <f>IF(ISTEXT(Таблицаx_2[[#This Row],[Значение]]), 0, Таблицаx_2[[#This Row],[Значение]])</f>
        <v>9300</v>
      </c>
      <c r="G2546" s="12">
        <v>45261</v>
      </c>
      <c r="H2546" s="10" t="str">
        <f>IFERROR(VLOOKUP(Таблицаx_2[[#This Row],[id]],prolongations!A:C,2,)," ")</f>
        <v>декабрь 2023</v>
      </c>
      <c r="I2546" s="10">
        <f>IF(Таблицаx_2[[#This Row],[Месяц окончания]]=Таблицаx_2[[#This Row],[Месяц]],Таблицаx_2[[#This Row],[Значения числа]],0)</f>
        <v>0</v>
      </c>
      <c r="J2546" s="8">
        <f>IF(AND(Таблицаx_2[[#This Row],[Месяц окончания]]=Таблицаx_2[[#This Row],[Месяц]],Таблицаx_2[[#This Row],[id]]=A2547,EDATE(Таблицаx_2[[#This Row],[Месяц]],1)=D2547),F2547,0)</f>
        <v>0</v>
      </c>
      <c r="K2546" s="8">
        <f>IF(AND(Таблицаx_2[[#This Row],[Месяц окончания]]=Таблицаx_2[[#This Row],[Месяц]],Таблицаx_2[[#This Row],[id]]=A2547,EDATE(Таблицаx_2[[#This Row],[Месяц]],2)=D2547),F2547,0)</f>
        <v>0</v>
      </c>
    </row>
    <row r="2547" spans="1:11" ht="12.75" hidden="1" customHeight="1" x14ac:dyDescent="0.2">
      <c r="A2547" s="8">
        <v>955</v>
      </c>
      <c r="B2547" s="8"/>
      <c r="C2547" s="8" t="s">
        <v>10</v>
      </c>
      <c r="D2547" s="12">
        <v>45231</v>
      </c>
      <c r="E2547" s="8">
        <v>13200</v>
      </c>
      <c r="F2547" s="10">
        <f>IF(ISTEXT(Таблицаx_2[[#This Row],[Значение]]), 0, Таблицаx_2[[#This Row],[Значение]])</f>
        <v>13200</v>
      </c>
      <c r="G2547" s="12">
        <v>45261</v>
      </c>
      <c r="H2547" s="10" t="str">
        <f>IFERROR(VLOOKUP(Таблицаx_2[[#This Row],[id]],prolongations!A:C,2,)," ")</f>
        <v>декабрь 2023</v>
      </c>
      <c r="I2547" s="10">
        <f>IF(Таблицаx_2[[#This Row],[Месяц окончания]]=Таблицаx_2[[#This Row],[Месяц]],Таблицаx_2[[#This Row],[Значения числа]],0)</f>
        <v>0</v>
      </c>
      <c r="J2547" s="8">
        <f>IF(AND(Таблицаx_2[[#This Row],[Месяц окончания]]=Таблицаx_2[[#This Row],[Месяц]],Таблицаx_2[[#This Row],[id]]=A2548,EDATE(Таблицаx_2[[#This Row],[Месяц]],1)=D2548),F2548,0)</f>
        <v>0</v>
      </c>
      <c r="K2547" s="8">
        <f>IF(AND(Таблицаx_2[[#This Row],[Месяц окончания]]=Таблицаx_2[[#This Row],[Месяц]],Таблицаx_2[[#This Row],[id]]=A2548,EDATE(Таблицаx_2[[#This Row],[Месяц]],2)=D2548),F2548,0)</f>
        <v>0</v>
      </c>
    </row>
    <row r="2548" spans="1:11" ht="12.75" hidden="1" customHeight="1" x14ac:dyDescent="0.2">
      <c r="A2548" s="8">
        <v>955</v>
      </c>
      <c r="B2548" s="8"/>
      <c r="C2548" s="8" t="s">
        <v>10</v>
      </c>
      <c r="D2548" s="12">
        <v>45261</v>
      </c>
      <c r="E2548" s="8">
        <v>17400</v>
      </c>
      <c r="F2548" s="10">
        <f>IF(ISTEXT(Таблицаx_2[[#This Row],[Значение]]), 0, Таблицаx_2[[#This Row],[Значение]])</f>
        <v>17400</v>
      </c>
      <c r="G2548" s="12">
        <v>45261</v>
      </c>
      <c r="H2548" s="10" t="str">
        <f>IFERROR(VLOOKUP(Таблицаx_2[[#This Row],[id]],prolongations!A:C,2,)," ")</f>
        <v>декабрь 2023</v>
      </c>
      <c r="I2548" s="10">
        <f>IF(Таблицаx_2[[#This Row],[Месяц окончания]]=Таблицаx_2[[#This Row],[Месяц]],Таблицаx_2[[#This Row],[Значения числа]],0)</f>
        <v>17400</v>
      </c>
      <c r="J2548" s="8">
        <f>IF(AND(Таблицаx_2[[#This Row],[Месяц окончания]]=Таблицаx_2[[#This Row],[Месяц]],Таблицаx_2[[#This Row],[id]]=A2549,EDATE(Таблицаx_2[[#This Row],[Месяц]],1)=D2549),F2549,0)</f>
        <v>0</v>
      </c>
      <c r="K2548" s="8">
        <f>IF(AND(Таблицаx_2[[#This Row],[Месяц окончания]]=Таблицаx_2[[#This Row],[Месяц]],Таблицаx_2[[#This Row],[id]]=A2549,EDATE(Таблицаx_2[[#This Row],[Месяц]],2)=D2549),F2549,0)</f>
        <v>0</v>
      </c>
    </row>
    <row r="2549" spans="1:11" ht="12.75" hidden="1" customHeight="1" x14ac:dyDescent="0.2">
      <c r="A2549" s="8">
        <v>1004</v>
      </c>
      <c r="B2549" s="8"/>
      <c r="C2549" s="8" t="s">
        <v>19</v>
      </c>
      <c r="D2549" s="12">
        <v>45231</v>
      </c>
      <c r="E2549" s="8">
        <v>34000</v>
      </c>
      <c r="F2549" s="10">
        <f>IF(ISTEXT(Таблицаx_2[[#This Row],[Значение]]), 0, Таблицаx_2[[#This Row],[Значение]])</f>
        <v>34000</v>
      </c>
      <c r="G2549" s="12">
        <v>45261</v>
      </c>
      <c r="H2549" s="10" t="str">
        <f>IFERROR(VLOOKUP(Таблицаx_2[[#This Row],[id]],prolongations!A:C,2,)," ")</f>
        <v>декабрь 2023</v>
      </c>
      <c r="I2549" s="10">
        <f>IF(Таблицаx_2[[#This Row],[Месяц окончания]]=Таблицаx_2[[#This Row],[Месяц]],Таблицаx_2[[#This Row],[Значения числа]],0)</f>
        <v>0</v>
      </c>
      <c r="J2549" s="8">
        <f>IF(AND(Таблицаx_2[[#This Row],[Месяц окончания]]=Таблицаx_2[[#This Row],[Месяц]],Таблицаx_2[[#This Row],[id]]=A2550,EDATE(Таблицаx_2[[#This Row],[Месяц]],1)=D2550),F2550,0)</f>
        <v>0</v>
      </c>
      <c r="K2549" s="8">
        <f>IF(AND(Таблицаx_2[[#This Row],[Месяц окончания]]=Таблицаx_2[[#This Row],[Месяц]],Таблицаx_2[[#This Row],[id]]=A2550,EDATE(Таблицаx_2[[#This Row],[Месяц]],2)=D2550),F2550,0)</f>
        <v>0</v>
      </c>
    </row>
    <row r="2550" spans="1:11" ht="12.75" hidden="1" customHeight="1" x14ac:dyDescent="0.2">
      <c r="A2550" s="8">
        <v>1004</v>
      </c>
      <c r="B2550" s="8"/>
      <c r="C2550" s="8" t="s">
        <v>19</v>
      </c>
      <c r="D2550" s="12">
        <v>45261</v>
      </c>
      <c r="E2550" s="8">
        <v>0</v>
      </c>
      <c r="F2550" s="10">
        <f>IF(ISTEXT(Таблицаx_2[[#This Row],[Значение]]), 0, Таблицаx_2[[#This Row],[Значение]])</f>
        <v>0</v>
      </c>
      <c r="G2550" s="12">
        <v>45261</v>
      </c>
      <c r="H2550" s="10" t="str">
        <f>IFERROR(VLOOKUP(Таблицаx_2[[#This Row],[id]],prolongations!A:C,2,)," ")</f>
        <v>декабрь 2023</v>
      </c>
      <c r="I2550" s="10">
        <f>IF(Таблицаx_2[[#This Row],[Месяц окончания]]=Таблицаx_2[[#This Row],[Месяц]],Таблицаx_2[[#This Row],[Значения числа]],0)</f>
        <v>0</v>
      </c>
      <c r="J2550" s="8">
        <f>IF(AND(Таблицаx_2[[#This Row],[Месяц окончания]]=Таблицаx_2[[#This Row],[Месяц]],Таблицаx_2[[#This Row],[id]]=A2551,EDATE(Таблицаx_2[[#This Row],[Месяц]],1)=D2551),F2551,0)</f>
        <v>0</v>
      </c>
      <c r="K2550" s="8">
        <f>IF(AND(Таблицаx_2[[#This Row],[Месяц окончания]]=Таблицаx_2[[#This Row],[Месяц]],Таблицаx_2[[#This Row],[id]]=A2551,EDATE(Таблицаx_2[[#This Row],[Месяц]],2)=D2551),F2551,0)</f>
        <v>0</v>
      </c>
    </row>
    <row r="2551" spans="1:11" ht="12.75" hidden="1" customHeight="1" x14ac:dyDescent="0.2">
      <c r="A2551" s="8">
        <v>281</v>
      </c>
      <c r="B2551" s="8" t="s">
        <v>52</v>
      </c>
      <c r="C2551" s="8" t="s">
        <v>6</v>
      </c>
      <c r="D2551" s="12">
        <v>44866</v>
      </c>
      <c r="E2551" s="8">
        <v>76550</v>
      </c>
      <c r="F2551" s="10">
        <f>IF(ISTEXT(Таблицаx_2[[#This Row],[Значение]]), 0, Таблицаx_2[[#This Row],[Значение]])</f>
        <v>76550</v>
      </c>
      <c r="G2551" s="12">
        <v>44896</v>
      </c>
      <c r="H2551" s="10" t="str">
        <f>IFERROR(VLOOKUP(Таблицаx_2[[#This Row],[id]],prolongations!A:C,2,)," ")</f>
        <v>декабрь 2022</v>
      </c>
      <c r="I2551" s="10">
        <f>IF(Таблицаx_2[[#This Row],[Месяц окончания]]=Таблицаx_2[[#This Row],[Месяц]],Таблицаx_2[[#This Row],[Значения числа]],0)</f>
        <v>0</v>
      </c>
      <c r="J2551" s="8">
        <f>IF(AND(Таблицаx_2[[#This Row],[Месяц окончания]]=Таблицаx_2[[#This Row],[Месяц]],Таблицаx_2[[#This Row],[id]]=A2552,EDATE(Таблицаx_2[[#This Row],[Месяц]],1)=D2552),F2552,0)</f>
        <v>0</v>
      </c>
      <c r="K2551" s="8">
        <f>IF(AND(Таблицаx_2[[#This Row],[Месяц окончания]]=Таблицаx_2[[#This Row],[Месяц]],Таблицаx_2[[#This Row],[id]]=A2552,EDATE(Таблицаx_2[[#This Row],[Месяц]],2)=D2552),F2552,0)</f>
        <v>0</v>
      </c>
    </row>
    <row r="2552" spans="1:11" hidden="1" x14ac:dyDescent="0.2">
      <c r="A2552" s="8">
        <v>281</v>
      </c>
      <c r="B2552" s="8" t="s">
        <v>52</v>
      </c>
      <c r="C2552" s="8" t="s">
        <v>6</v>
      </c>
      <c r="D2552" s="12">
        <v>44896</v>
      </c>
      <c r="E2552" s="8">
        <v>79950</v>
      </c>
      <c r="F2552" s="10">
        <f>IF(ISTEXT(Таблицаx_2[[#This Row],[Значение]]), 0, Таблицаx_2[[#This Row],[Значение]])</f>
        <v>79950</v>
      </c>
      <c r="G2552" s="12">
        <v>44896</v>
      </c>
      <c r="H2552" s="10" t="str">
        <f>IFERROR(VLOOKUP(Таблицаx_2[[#This Row],[id]],prolongations!A:C,2,)," ")</f>
        <v>декабрь 2022</v>
      </c>
      <c r="I2552" s="10">
        <f>IF(Таблицаx_2[[#This Row],[Месяц окончания]]=Таблицаx_2[[#This Row],[Месяц]],Таблицаx_2[[#This Row],[Значения числа]],0)</f>
        <v>79950</v>
      </c>
      <c r="J2552" s="8">
        <f>IF(AND(Таблицаx_2[[#This Row],[Месяц окончания]]=Таблицаx_2[[#This Row],[Месяц]],Таблицаx_2[[#This Row],[id]]=A2553,EDATE(Таблицаx_2[[#This Row],[Месяц]],1)=D2553),F2553,0)</f>
        <v>66900</v>
      </c>
      <c r="K2552" s="8">
        <f>IF(AND(Таблицаx_2[[#This Row],[Месяц окончания]]=Таблицаx_2[[#This Row],[Месяц]],Таблицаx_2[[#This Row],[id]]=A2553,EDATE(Таблицаx_2[[#This Row],[Месяц]],2)=D2553),F2553,0)</f>
        <v>0</v>
      </c>
    </row>
    <row r="2553" spans="1:11" ht="12.75" hidden="1" customHeight="1" x14ac:dyDescent="0.2">
      <c r="A2553" s="8">
        <v>281</v>
      </c>
      <c r="B2553" s="8" t="s">
        <v>52</v>
      </c>
      <c r="C2553" s="8" t="s">
        <v>6</v>
      </c>
      <c r="D2553" s="12">
        <v>44927</v>
      </c>
      <c r="E2553" s="8">
        <v>66900</v>
      </c>
      <c r="F2553" s="10">
        <f>IF(ISTEXT(Таблицаx_2[[#This Row],[Значение]]), 0, Таблицаx_2[[#This Row],[Значение]])</f>
        <v>66900</v>
      </c>
      <c r="G2553" s="12">
        <v>44896</v>
      </c>
      <c r="H2553" s="10" t="str">
        <f>IFERROR(VLOOKUP(Таблицаx_2[[#This Row],[id]],prolongations!A:C,2,)," ")</f>
        <v>декабрь 2022</v>
      </c>
      <c r="I2553" s="10">
        <f>IF(Таблицаx_2[[#This Row],[Месяц окончания]]=Таблицаx_2[[#This Row],[Месяц]],Таблицаx_2[[#This Row],[Значения числа]],0)</f>
        <v>0</v>
      </c>
      <c r="J2553" s="8">
        <f>IF(AND(Таблицаx_2[[#This Row],[Месяц окончания]]=Таблицаx_2[[#This Row],[Месяц]],Таблицаx_2[[#This Row],[id]]=A2554,EDATE(Таблицаx_2[[#This Row],[Месяц]],1)=D2554),F2554,0)</f>
        <v>0</v>
      </c>
      <c r="K2553" s="8">
        <f>IF(AND(Таблицаx_2[[#This Row],[Месяц окончания]]=Таблицаx_2[[#This Row],[Месяц]],Таблицаx_2[[#This Row],[id]]=A2554,EDATE(Таблицаx_2[[#This Row],[Месяц]],2)=D2554),F2554,0)</f>
        <v>0</v>
      </c>
    </row>
    <row r="2554" spans="1:11" ht="12.75" hidden="1" customHeight="1" x14ac:dyDescent="0.2">
      <c r="A2554" s="8">
        <v>281</v>
      </c>
      <c r="B2554" s="8" t="s">
        <v>52</v>
      </c>
      <c r="C2554" s="8" t="s">
        <v>6</v>
      </c>
      <c r="D2554" s="12">
        <v>44958</v>
      </c>
      <c r="E2554" s="8">
        <v>89150</v>
      </c>
      <c r="F2554" s="10">
        <f>IF(ISTEXT(Таблицаx_2[[#This Row],[Значение]]), 0, Таблицаx_2[[#This Row],[Значение]])</f>
        <v>89150</v>
      </c>
      <c r="G2554" s="12">
        <v>44896</v>
      </c>
      <c r="H2554" s="10" t="str">
        <f>IFERROR(VLOOKUP(Таблицаx_2[[#This Row],[id]],prolongations!A:C,2,)," ")</f>
        <v>декабрь 2022</v>
      </c>
      <c r="I2554" s="10">
        <f>IF(Таблицаx_2[[#This Row],[Месяц окончания]]=Таблицаx_2[[#This Row],[Месяц]],Таблицаx_2[[#This Row],[Значения числа]],0)</f>
        <v>0</v>
      </c>
      <c r="J2554" s="8">
        <f>IF(AND(Таблицаx_2[[#This Row],[Месяц окончания]]=Таблицаx_2[[#This Row],[Месяц]],Таблицаx_2[[#This Row],[id]]=A2555,EDATE(Таблицаx_2[[#This Row],[Месяц]],1)=D2555),F2555,0)</f>
        <v>0</v>
      </c>
      <c r="K2554" s="8">
        <f>IF(AND(Таблицаx_2[[#This Row],[Месяц окончания]]=Таблицаx_2[[#This Row],[Месяц]],Таблицаx_2[[#This Row],[id]]=A2555,EDATE(Таблицаx_2[[#This Row],[Месяц]],2)=D2555),F2555,0)</f>
        <v>0</v>
      </c>
    </row>
    <row r="2555" spans="1:11" ht="12.75" hidden="1" customHeight="1" x14ac:dyDescent="0.2">
      <c r="A2555" s="8">
        <v>281</v>
      </c>
      <c r="B2555" s="8" t="s">
        <v>52</v>
      </c>
      <c r="C2555" s="8" t="s">
        <v>6</v>
      </c>
      <c r="D2555" s="12">
        <v>44986</v>
      </c>
      <c r="E2555" s="8">
        <v>108450</v>
      </c>
      <c r="F2555" s="10">
        <f>IF(ISTEXT(Таблицаx_2[[#This Row],[Значение]]), 0, Таблицаx_2[[#This Row],[Значение]])</f>
        <v>108450</v>
      </c>
      <c r="G2555" s="12">
        <v>44896</v>
      </c>
      <c r="H2555" s="10" t="str">
        <f>IFERROR(VLOOKUP(Таблицаx_2[[#This Row],[id]],prolongations!A:C,2,)," ")</f>
        <v>декабрь 2022</v>
      </c>
      <c r="I2555" s="10">
        <f>IF(Таблицаx_2[[#This Row],[Месяц окончания]]=Таблицаx_2[[#This Row],[Месяц]],Таблицаx_2[[#This Row],[Значения числа]],0)</f>
        <v>0</v>
      </c>
      <c r="J2555" s="8">
        <f>IF(AND(Таблицаx_2[[#This Row],[Месяц окончания]]=Таблицаx_2[[#This Row],[Месяц]],Таблицаx_2[[#This Row],[id]]=A2556,EDATE(Таблицаx_2[[#This Row],[Месяц]],1)=D2556),F2556,0)</f>
        <v>0</v>
      </c>
      <c r="K2555" s="8">
        <f>IF(AND(Таблицаx_2[[#This Row],[Месяц окончания]]=Таблицаx_2[[#This Row],[Месяц]],Таблицаx_2[[#This Row],[id]]=A2556,EDATE(Таблицаx_2[[#This Row],[Месяц]],2)=D2556),F2556,0)</f>
        <v>0</v>
      </c>
    </row>
    <row r="2556" spans="1:11" ht="12.75" hidden="1" customHeight="1" x14ac:dyDescent="0.2">
      <c r="A2556" s="8">
        <v>281</v>
      </c>
      <c r="B2556" s="8" t="s">
        <v>52</v>
      </c>
      <c r="C2556" s="8" t="s">
        <v>6</v>
      </c>
      <c r="D2556" s="12">
        <v>45017</v>
      </c>
      <c r="E2556" s="8">
        <v>77100</v>
      </c>
      <c r="F2556" s="10">
        <f>IF(ISTEXT(Таблицаx_2[[#This Row],[Значение]]), 0, Таблицаx_2[[#This Row],[Значение]])</f>
        <v>77100</v>
      </c>
      <c r="G2556" s="12">
        <v>44896</v>
      </c>
      <c r="H2556" s="10" t="str">
        <f>IFERROR(VLOOKUP(Таблицаx_2[[#This Row],[id]],prolongations!A:C,2,)," ")</f>
        <v>декабрь 2022</v>
      </c>
      <c r="I2556" s="10">
        <f>IF(Таблицаx_2[[#This Row],[Месяц окончания]]=Таблицаx_2[[#This Row],[Месяц]],Таблицаx_2[[#This Row],[Значения числа]],0)</f>
        <v>0</v>
      </c>
      <c r="J2556" s="8">
        <f>IF(AND(Таблицаx_2[[#This Row],[Месяц окончания]]=Таблицаx_2[[#This Row],[Месяц]],Таблицаx_2[[#This Row],[id]]=A2557,EDATE(Таблицаx_2[[#This Row],[Месяц]],1)=D2557),F2557,0)</f>
        <v>0</v>
      </c>
      <c r="K2556" s="8">
        <f>IF(AND(Таблицаx_2[[#This Row],[Месяц окончания]]=Таблицаx_2[[#This Row],[Месяц]],Таблицаx_2[[#This Row],[id]]=A2557,EDATE(Таблицаx_2[[#This Row],[Месяц]],2)=D2557),F2557,0)</f>
        <v>0</v>
      </c>
    </row>
    <row r="2557" spans="1:11" ht="12.75" hidden="1" customHeight="1" x14ac:dyDescent="0.2">
      <c r="A2557" s="8">
        <v>281</v>
      </c>
      <c r="B2557" s="8" t="s">
        <v>52</v>
      </c>
      <c r="C2557" s="8" t="s">
        <v>6</v>
      </c>
      <c r="D2557" s="12">
        <v>45047</v>
      </c>
      <c r="E2557" s="8">
        <v>78800</v>
      </c>
      <c r="F2557" s="10">
        <f>IF(ISTEXT(Таблицаx_2[[#This Row],[Значение]]), 0, Таблицаx_2[[#This Row],[Значение]])</f>
        <v>78800</v>
      </c>
      <c r="G2557" s="12">
        <v>44896</v>
      </c>
      <c r="H2557" s="10" t="str">
        <f>IFERROR(VLOOKUP(Таблицаx_2[[#This Row],[id]],prolongations!A:C,2,)," ")</f>
        <v>декабрь 2022</v>
      </c>
      <c r="I2557" s="10">
        <f>IF(Таблицаx_2[[#This Row],[Месяц окончания]]=Таблицаx_2[[#This Row],[Месяц]],Таблицаx_2[[#This Row],[Значения числа]],0)</f>
        <v>0</v>
      </c>
      <c r="J2557" s="8">
        <f>IF(AND(Таблицаx_2[[#This Row],[Месяц окончания]]=Таблицаx_2[[#This Row],[Месяц]],Таблицаx_2[[#This Row],[id]]=A2558,EDATE(Таблицаx_2[[#This Row],[Месяц]],1)=D2558),F2558,0)</f>
        <v>0</v>
      </c>
      <c r="K2557" s="8">
        <f>IF(AND(Таблицаx_2[[#This Row],[Месяц окончания]]=Таблицаx_2[[#This Row],[Месяц]],Таблицаx_2[[#This Row],[id]]=A2558,EDATE(Таблицаx_2[[#This Row],[Месяц]],2)=D2558),F2558,0)</f>
        <v>0</v>
      </c>
    </row>
    <row r="2558" spans="1:11" ht="12.75" hidden="1" customHeight="1" x14ac:dyDescent="0.2">
      <c r="A2558" s="8">
        <v>281</v>
      </c>
      <c r="B2558" s="8" t="s">
        <v>52</v>
      </c>
      <c r="C2558" s="8" t="s">
        <v>6</v>
      </c>
      <c r="D2558" s="12">
        <v>45078</v>
      </c>
      <c r="E2558" s="8">
        <v>126740</v>
      </c>
      <c r="F2558" s="10">
        <f>IF(ISTEXT(Таблицаx_2[[#This Row],[Значение]]), 0, Таблицаx_2[[#This Row],[Значение]])</f>
        <v>126740</v>
      </c>
      <c r="G2558" s="12">
        <v>44896</v>
      </c>
      <c r="H2558" s="10" t="str">
        <f>IFERROR(VLOOKUP(Таблицаx_2[[#This Row],[id]],prolongations!A:C,2,)," ")</f>
        <v>декабрь 2022</v>
      </c>
      <c r="I2558" s="10">
        <f>IF(Таблицаx_2[[#This Row],[Месяц окончания]]=Таблицаx_2[[#This Row],[Месяц]],Таблицаx_2[[#This Row],[Значения числа]],0)</f>
        <v>0</v>
      </c>
      <c r="J2558" s="8">
        <f>IF(AND(Таблицаx_2[[#This Row],[Месяц окончания]]=Таблицаx_2[[#This Row],[Месяц]],Таблицаx_2[[#This Row],[id]]=A2559,EDATE(Таблицаx_2[[#This Row],[Месяц]],1)=D2559),F2559,0)</f>
        <v>0</v>
      </c>
      <c r="K2558" s="8">
        <f>IF(AND(Таблицаx_2[[#This Row],[Месяц окончания]]=Таблицаx_2[[#This Row],[Месяц]],Таблицаx_2[[#This Row],[id]]=A2559,EDATE(Таблицаx_2[[#This Row],[Месяц]],2)=D2559),F2559,0)</f>
        <v>0</v>
      </c>
    </row>
    <row r="2559" spans="1:11" ht="12.75" hidden="1" customHeight="1" x14ac:dyDescent="0.2">
      <c r="A2559" s="8">
        <v>281</v>
      </c>
      <c r="B2559" s="8" t="s">
        <v>52</v>
      </c>
      <c r="C2559" s="8" t="s">
        <v>6</v>
      </c>
      <c r="D2559" s="12">
        <v>45108</v>
      </c>
      <c r="E2559" s="8">
        <v>117730</v>
      </c>
      <c r="F2559" s="10">
        <f>IF(ISTEXT(Таблицаx_2[[#This Row],[Значение]]), 0, Таблицаx_2[[#This Row],[Значение]])</f>
        <v>117730</v>
      </c>
      <c r="G2559" s="12">
        <v>44896</v>
      </c>
      <c r="H2559" s="10" t="str">
        <f>IFERROR(VLOOKUP(Таблицаx_2[[#This Row],[id]],prolongations!A:C,2,)," ")</f>
        <v>декабрь 2022</v>
      </c>
      <c r="I2559" s="10">
        <f>IF(Таблицаx_2[[#This Row],[Месяц окончания]]=Таблицаx_2[[#This Row],[Месяц]],Таблицаx_2[[#This Row],[Значения числа]],0)</f>
        <v>0</v>
      </c>
      <c r="J2559" s="8">
        <f>IF(AND(Таблицаx_2[[#This Row],[Месяц окончания]]=Таблицаx_2[[#This Row],[Месяц]],Таблицаx_2[[#This Row],[id]]=A2560,EDATE(Таблицаx_2[[#This Row],[Месяц]],1)=D2560),F2560,0)</f>
        <v>0</v>
      </c>
      <c r="K2559" s="8">
        <f>IF(AND(Таблицаx_2[[#This Row],[Месяц окончания]]=Таблицаx_2[[#This Row],[Месяц]],Таблицаx_2[[#This Row],[id]]=A2560,EDATE(Таблицаx_2[[#This Row],[Месяц]],2)=D2560),F2560,0)</f>
        <v>0</v>
      </c>
    </row>
    <row r="2560" spans="1:11" ht="12.75" hidden="1" customHeight="1" x14ac:dyDescent="0.2">
      <c r="A2560" s="8">
        <v>281</v>
      </c>
      <c r="B2560" s="8" t="s">
        <v>52</v>
      </c>
      <c r="C2560" s="8" t="s">
        <v>6</v>
      </c>
      <c r="D2560" s="12">
        <v>45139</v>
      </c>
      <c r="E2560" s="8">
        <v>115860</v>
      </c>
      <c r="F2560" s="10">
        <f>IF(ISTEXT(Таблицаx_2[[#This Row],[Значение]]), 0, Таблицаx_2[[#This Row],[Значение]])</f>
        <v>115860</v>
      </c>
      <c r="G2560" s="12">
        <v>44896</v>
      </c>
      <c r="H2560" s="10" t="str">
        <f>IFERROR(VLOOKUP(Таблицаx_2[[#This Row],[id]],prolongations!A:C,2,)," ")</f>
        <v>декабрь 2022</v>
      </c>
      <c r="I2560" s="10">
        <f>IF(Таблицаx_2[[#This Row],[Месяц окончания]]=Таблицаx_2[[#This Row],[Месяц]],Таблицаx_2[[#This Row],[Значения числа]],0)</f>
        <v>0</v>
      </c>
      <c r="J2560" s="8">
        <f>IF(AND(Таблицаx_2[[#This Row],[Месяц окончания]]=Таблицаx_2[[#This Row],[Месяц]],Таблицаx_2[[#This Row],[id]]=A2561,EDATE(Таблицаx_2[[#This Row],[Месяц]],1)=D2561),F2561,0)</f>
        <v>0</v>
      </c>
      <c r="K2560" s="8">
        <f>IF(AND(Таблицаx_2[[#This Row],[Месяц окончания]]=Таблицаx_2[[#This Row],[Месяц]],Таблицаx_2[[#This Row],[id]]=A2561,EDATE(Таблицаx_2[[#This Row],[Месяц]],2)=D2561),F2561,0)</f>
        <v>0</v>
      </c>
    </row>
    <row r="2561" spans="1:11" ht="12.75" hidden="1" customHeight="1" x14ac:dyDescent="0.2">
      <c r="A2561" s="8">
        <v>281</v>
      </c>
      <c r="B2561" s="8" t="s">
        <v>52</v>
      </c>
      <c r="C2561" s="8" t="s">
        <v>6</v>
      </c>
      <c r="D2561" s="12">
        <v>45170</v>
      </c>
      <c r="E2561" s="8">
        <v>160770</v>
      </c>
      <c r="F2561" s="10">
        <f>IF(ISTEXT(Таблицаx_2[[#This Row],[Значение]]), 0, Таблицаx_2[[#This Row],[Значение]])</f>
        <v>160770</v>
      </c>
      <c r="G2561" s="12">
        <v>44896</v>
      </c>
      <c r="H2561" s="10" t="str">
        <f>IFERROR(VLOOKUP(Таблицаx_2[[#This Row],[id]],prolongations!A:C,2,)," ")</f>
        <v>декабрь 2022</v>
      </c>
      <c r="I2561" s="10">
        <f>IF(Таблицаx_2[[#This Row],[Месяц окончания]]=Таблицаx_2[[#This Row],[Месяц]],Таблицаx_2[[#This Row],[Значения числа]],0)</f>
        <v>0</v>
      </c>
      <c r="J2561" s="8">
        <f>IF(AND(Таблицаx_2[[#This Row],[Месяц окончания]]=Таблицаx_2[[#This Row],[Месяц]],Таблицаx_2[[#This Row],[id]]=A2562,EDATE(Таблицаx_2[[#This Row],[Месяц]],1)=D2562),F2562,0)</f>
        <v>0</v>
      </c>
      <c r="K2561" s="8">
        <f>IF(AND(Таблицаx_2[[#This Row],[Месяц окончания]]=Таблицаx_2[[#This Row],[Месяц]],Таблицаx_2[[#This Row],[id]]=A2562,EDATE(Таблицаx_2[[#This Row],[Месяц]],2)=D2562),F2562,0)</f>
        <v>0</v>
      </c>
    </row>
    <row r="2562" spans="1:11" ht="12.75" hidden="1" customHeight="1" x14ac:dyDescent="0.2">
      <c r="A2562" s="8">
        <v>281</v>
      </c>
      <c r="B2562" s="8" t="s">
        <v>52</v>
      </c>
      <c r="C2562" s="8" t="s">
        <v>6</v>
      </c>
      <c r="D2562" s="12">
        <v>45200</v>
      </c>
      <c r="E2562" s="8">
        <v>142490</v>
      </c>
      <c r="F2562" s="10">
        <f>IF(ISTEXT(Таблицаx_2[[#This Row],[Значение]]), 0, Таблицаx_2[[#This Row],[Значение]])</f>
        <v>142490</v>
      </c>
      <c r="G2562" s="12">
        <v>44896</v>
      </c>
      <c r="H2562" s="10" t="str">
        <f>IFERROR(VLOOKUP(Таблицаx_2[[#This Row],[id]],prolongations!A:C,2,)," ")</f>
        <v>декабрь 2022</v>
      </c>
      <c r="I2562" s="10">
        <f>IF(Таблицаx_2[[#This Row],[Месяц окончания]]=Таблицаx_2[[#This Row],[Месяц]],Таблицаx_2[[#This Row],[Значения числа]],0)</f>
        <v>0</v>
      </c>
      <c r="J2562" s="8">
        <f>IF(AND(Таблицаx_2[[#This Row],[Месяц окончания]]=Таблицаx_2[[#This Row],[Месяц]],Таблицаx_2[[#This Row],[id]]=A2563,EDATE(Таблицаx_2[[#This Row],[Месяц]],1)=D2563),F2563,0)</f>
        <v>0</v>
      </c>
      <c r="K2562" s="8">
        <f>IF(AND(Таблицаx_2[[#This Row],[Месяц окончания]]=Таблицаx_2[[#This Row],[Месяц]],Таблицаx_2[[#This Row],[id]]=A2563,EDATE(Таблицаx_2[[#This Row],[Месяц]],2)=D2563),F2563,0)</f>
        <v>0</v>
      </c>
    </row>
    <row r="2563" spans="1:11" ht="12.75" hidden="1" customHeight="1" x14ac:dyDescent="0.2">
      <c r="A2563" s="8">
        <v>281</v>
      </c>
      <c r="B2563" s="8" t="s">
        <v>52</v>
      </c>
      <c r="C2563" s="8" t="s">
        <v>6</v>
      </c>
      <c r="D2563" s="12">
        <v>45231</v>
      </c>
      <c r="E2563" s="8">
        <v>99125</v>
      </c>
      <c r="F2563" s="10">
        <f>IF(ISTEXT(Таблицаx_2[[#This Row],[Значение]]), 0, Таблицаx_2[[#This Row],[Значение]])</f>
        <v>99125</v>
      </c>
      <c r="G2563" s="12">
        <v>44896</v>
      </c>
      <c r="H2563" s="10" t="str">
        <f>IFERROR(VLOOKUP(Таблицаx_2[[#This Row],[id]],prolongations!A:C,2,)," ")</f>
        <v>декабрь 2022</v>
      </c>
      <c r="I2563" s="10">
        <f>IF(Таблицаx_2[[#This Row],[Месяц окончания]]=Таблицаx_2[[#This Row],[Месяц]],Таблицаx_2[[#This Row],[Значения числа]],0)</f>
        <v>0</v>
      </c>
      <c r="J2563" s="8">
        <f>IF(AND(Таблицаx_2[[#This Row],[Месяц окончания]]=Таблицаx_2[[#This Row],[Месяц]],Таблицаx_2[[#This Row],[id]]=A2564,EDATE(Таблицаx_2[[#This Row],[Месяц]],1)=D2564),F2564,0)</f>
        <v>0</v>
      </c>
      <c r="K2563" s="8">
        <f>IF(AND(Таблицаx_2[[#This Row],[Месяц окончания]]=Таблицаx_2[[#This Row],[Месяц]],Таблицаx_2[[#This Row],[id]]=A2564,EDATE(Таблицаx_2[[#This Row],[Месяц]],2)=D2564),F2564,0)</f>
        <v>0</v>
      </c>
    </row>
    <row r="2564" spans="1:11" ht="12.75" hidden="1" customHeight="1" x14ac:dyDescent="0.2">
      <c r="A2564" s="8">
        <v>281</v>
      </c>
      <c r="B2564" s="8" t="s">
        <v>52</v>
      </c>
      <c r="C2564" s="8" t="s">
        <v>6</v>
      </c>
      <c r="D2564" s="12">
        <v>45261</v>
      </c>
      <c r="E2564" s="8">
        <v>74350</v>
      </c>
      <c r="F2564" s="10">
        <f>IF(ISTEXT(Таблицаx_2[[#This Row],[Значение]]), 0, Таблицаx_2[[#This Row],[Значение]])</f>
        <v>74350</v>
      </c>
      <c r="G2564" s="12">
        <v>44896</v>
      </c>
      <c r="H2564" s="10" t="str">
        <f>IFERROR(VLOOKUP(Таблицаx_2[[#This Row],[id]],prolongations!A:C,2,)," ")</f>
        <v>декабрь 2022</v>
      </c>
      <c r="I2564" s="10">
        <f>IF(Таблицаx_2[[#This Row],[Месяц окончания]]=Таблицаx_2[[#This Row],[Месяц]],Таблицаx_2[[#This Row],[Значения числа]],0)</f>
        <v>0</v>
      </c>
      <c r="J2564" s="8">
        <f>IF(AND(Таблицаx_2[[#This Row],[Месяц окончания]]=Таблицаx_2[[#This Row],[Месяц]],Таблицаx_2[[#This Row],[id]]=A2565,EDATE(Таблицаx_2[[#This Row],[Месяц]],1)=D2565),F2565,0)</f>
        <v>0</v>
      </c>
      <c r="K2564" s="8">
        <f>IF(AND(Таблицаx_2[[#This Row],[Месяц окончания]]=Таблицаx_2[[#This Row],[Месяц]],Таблицаx_2[[#This Row],[id]]=A2565,EDATE(Таблицаx_2[[#This Row],[Месяц]],2)=D2565),F2565,0)</f>
        <v>0</v>
      </c>
    </row>
    <row r="2565" spans="1:11" ht="12.75" hidden="1" customHeight="1" x14ac:dyDescent="0.2">
      <c r="A2565" s="8">
        <v>281</v>
      </c>
      <c r="B2565" s="8" t="s">
        <v>52</v>
      </c>
      <c r="C2565" s="8" t="s">
        <v>6</v>
      </c>
      <c r="D2565" s="12">
        <v>45292</v>
      </c>
      <c r="E2565" s="8">
        <v>105775</v>
      </c>
      <c r="F2565" s="10">
        <f>IF(ISTEXT(Таблицаx_2[[#This Row],[Значение]]), 0, Таблицаx_2[[#This Row],[Значение]])</f>
        <v>105775</v>
      </c>
      <c r="G2565" s="12">
        <v>44896</v>
      </c>
      <c r="H2565" s="10" t="str">
        <f>IFERROR(VLOOKUP(Таблицаx_2[[#This Row],[id]],prolongations!A:C,2,)," ")</f>
        <v>декабрь 2022</v>
      </c>
      <c r="I2565" s="10">
        <f>IF(Таблицаx_2[[#This Row],[Месяц окончания]]=Таблицаx_2[[#This Row],[Месяц]],Таблицаx_2[[#This Row],[Значения числа]],0)</f>
        <v>0</v>
      </c>
      <c r="J2565" s="8">
        <f>IF(AND(Таблицаx_2[[#This Row],[Месяц окончания]]=Таблицаx_2[[#This Row],[Месяц]],Таблицаx_2[[#This Row],[id]]=A2566,EDATE(Таблицаx_2[[#This Row],[Месяц]],1)=D2566),F2566,0)</f>
        <v>0</v>
      </c>
      <c r="K2565" s="8">
        <f>IF(AND(Таблицаx_2[[#This Row],[Месяц окончания]]=Таблицаx_2[[#This Row],[Месяц]],Таблицаx_2[[#This Row],[id]]=A2566,EDATE(Таблицаx_2[[#This Row],[Месяц]],2)=D2566),F2566,0)</f>
        <v>0</v>
      </c>
    </row>
    <row r="2566" spans="1:11" ht="12.75" hidden="1" customHeight="1" x14ac:dyDescent="0.2">
      <c r="A2566" s="8">
        <v>281</v>
      </c>
      <c r="B2566" s="8" t="s">
        <v>52</v>
      </c>
      <c r="C2566" s="8" t="s">
        <v>6</v>
      </c>
      <c r="D2566" s="12">
        <v>45323</v>
      </c>
      <c r="E2566" s="8">
        <v>92065</v>
      </c>
      <c r="F2566" s="10">
        <f>IF(ISTEXT(Таблицаx_2[[#This Row],[Значение]]), 0, Таблицаx_2[[#This Row],[Значение]])</f>
        <v>92065</v>
      </c>
      <c r="G2566" s="12">
        <v>44896</v>
      </c>
      <c r="H2566" s="10" t="str">
        <f>IFERROR(VLOOKUP(Таблицаx_2[[#This Row],[id]],prolongations!A:C,2,)," ")</f>
        <v>декабрь 2022</v>
      </c>
      <c r="I2566" s="10">
        <f>IF(Таблицаx_2[[#This Row],[Месяц окончания]]=Таблицаx_2[[#This Row],[Месяц]],Таблицаx_2[[#This Row],[Значения числа]],0)</f>
        <v>0</v>
      </c>
      <c r="J2566" s="8">
        <f>IF(AND(Таблицаx_2[[#This Row],[Месяц окончания]]=Таблицаx_2[[#This Row],[Месяц]],Таблицаx_2[[#This Row],[id]]=A2567,EDATE(Таблицаx_2[[#This Row],[Месяц]],1)=D2567),F2567,0)</f>
        <v>0</v>
      </c>
      <c r="K2566" s="8">
        <f>IF(AND(Таблицаx_2[[#This Row],[Месяц окончания]]=Таблицаx_2[[#This Row],[Месяц]],Таблицаx_2[[#This Row],[id]]=A2567,EDATE(Таблицаx_2[[#This Row],[Месяц]],2)=D2567),F2567,0)</f>
        <v>0</v>
      </c>
    </row>
    <row r="2567" spans="1:11" ht="12.75" hidden="1" customHeight="1" x14ac:dyDescent="0.2">
      <c r="A2567" s="8">
        <v>281</v>
      </c>
      <c r="B2567" s="8" t="s">
        <v>50</v>
      </c>
      <c r="C2567" s="8" t="s">
        <v>6</v>
      </c>
      <c r="D2567" s="12">
        <v>44866</v>
      </c>
      <c r="E2567" s="8">
        <v>21450</v>
      </c>
      <c r="F2567" s="10">
        <f>IF(ISTEXT(Таблицаx_2[[#This Row],[Значение]]), 0, Таблицаx_2[[#This Row],[Значение]])</f>
        <v>21450</v>
      </c>
      <c r="G2567" s="12">
        <v>44896</v>
      </c>
      <c r="H2567" s="10" t="str">
        <f>IFERROR(VLOOKUP(Таблицаx_2[[#This Row],[id]],prolongations!A:C,2,)," ")</f>
        <v>декабрь 2022</v>
      </c>
      <c r="I2567" s="10">
        <f>IF(Таблицаx_2[[#This Row],[Месяц окончания]]=Таблицаx_2[[#This Row],[Месяц]],Таблицаx_2[[#This Row],[Значения числа]],0)</f>
        <v>0</v>
      </c>
      <c r="J2567" s="8">
        <f>IF(AND(Таблицаx_2[[#This Row],[Месяц окончания]]=Таблицаx_2[[#This Row],[Месяц]],Таблицаx_2[[#This Row],[id]]=A2568,EDATE(Таблицаx_2[[#This Row],[Месяц]],1)=D2568),F2568,0)</f>
        <v>0</v>
      </c>
      <c r="K2567" s="8">
        <f>IF(AND(Таблицаx_2[[#This Row],[Месяц окончания]]=Таблицаx_2[[#This Row],[Месяц]],Таблицаx_2[[#This Row],[id]]=A2568,EDATE(Таблицаx_2[[#This Row],[Месяц]],2)=D2568),F2568,0)</f>
        <v>0</v>
      </c>
    </row>
    <row r="2568" spans="1:11" hidden="1" x14ac:dyDescent="0.2">
      <c r="A2568" s="8">
        <v>281</v>
      </c>
      <c r="B2568" s="8" t="s">
        <v>50</v>
      </c>
      <c r="C2568" s="8" t="s">
        <v>6</v>
      </c>
      <c r="D2568" s="12">
        <v>44896</v>
      </c>
      <c r="E2568" s="8">
        <v>13300</v>
      </c>
      <c r="F2568" s="10">
        <f>IF(ISTEXT(Таблицаx_2[[#This Row],[Значение]]), 0, Таблицаx_2[[#This Row],[Значение]])</f>
        <v>13300</v>
      </c>
      <c r="G2568" s="12">
        <v>44896</v>
      </c>
      <c r="H2568" s="10" t="str">
        <f>IFERROR(VLOOKUP(Таблицаx_2[[#This Row],[id]],prolongations!A:C,2,)," ")</f>
        <v>декабрь 2022</v>
      </c>
      <c r="I2568" s="10">
        <f>IF(Таблицаx_2[[#This Row],[Месяц окончания]]=Таблицаx_2[[#This Row],[Месяц]],Таблицаx_2[[#This Row],[Значения числа]],0)</f>
        <v>13300</v>
      </c>
      <c r="J2568" s="8">
        <f>IF(AND(Таблицаx_2[[#This Row],[Месяц окончания]]=Таблицаx_2[[#This Row],[Месяц]],Таблицаx_2[[#This Row],[id]]=A2569,EDATE(Таблицаx_2[[#This Row],[Месяц]],1)=D2569),F2569,0)</f>
        <v>15900</v>
      </c>
      <c r="K2568" s="8">
        <f>IF(AND(Таблицаx_2[[#This Row],[Месяц окончания]]=Таблицаx_2[[#This Row],[Месяц]],Таблицаx_2[[#This Row],[id]]=A2569,EDATE(Таблицаx_2[[#This Row],[Месяц]],2)=D2569),F2569,0)</f>
        <v>0</v>
      </c>
    </row>
    <row r="2569" spans="1:11" ht="12.75" hidden="1" customHeight="1" x14ac:dyDescent="0.2">
      <c r="A2569" s="8">
        <v>281</v>
      </c>
      <c r="B2569" s="8" t="s">
        <v>50</v>
      </c>
      <c r="C2569" s="8" t="s">
        <v>6</v>
      </c>
      <c r="D2569" s="12">
        <v>44927</v>
      </c>
      <c r="E2569" s="8">
        <v>15900</v>
      </c>
      <c r="F2569" s="10">
        <f>IF(ISTEXT(Таблицаx_2[[#This Row],[Значение]]), 0, Таблицаx_2[[#This Row],[Значение]])</f>
        <v>15900</v>
      </c>
      <c r="G2569" s="12">
        <v>44896</v>
      </c>
      <c r="H2569" s="10" t="str">
        <f>IFERROR(VLOOKUP(Таблицаx_2[[#This Row],[id]],prolongations!A:C,2,)," ")</f>
        <v>декабрь 2022</v>
      </c>
      <c r="I2569" s="10">
        <f>IF(Таблицаx_2[[#This Row],[Месяц окончания]]=Таблицаx_2[[#This Row],[Месяц]],Таблицаx_2[[#This Row],[Значения числа]],0)</f>
        <v>0</v>
      </c>
      <c r="J2569" s="8">
        <f>IF(AND(Таблицаx_2[[#This Row],[Месяц окончания]]=Таблицаx_2[[#This Row],[Месяц]],Таблицаx_2[[#This Row],[id]]=A2570,EDATE(Таблицаx_2[[#This Row],[Месяц]],1)=D2570),F2570,0)</f>
        <v>0</v>
      </c>
      <c r="K2569" s="8">
        <f>IF(AND(Таблицаx_2[[#This Row],[Месяц окончания]]=Таблицаx_2[[#This Row],[Месяц]],Таблицаx_2[[#This Row],[id]]=A2570,EDATE(Таблицаx_2[[#This Row],[Месяц]],2)=D2570),F2570,0)</f>
        <v>0</v>
      </c>
    </row>
    <row r="2570" spans="1:11" ht="12.75" hidden="1" customHeight="1" x14ac:dyDescent="0.2">
      <c r="A2570" s="8">
        <v>281</v>
      </c>
      <c r="B2570" s="8" t="s">
        <v>50</v>
      </c>
      <c r="C2570" s="8" t="s">
        <v>6</v>
      </c>
      <c r="D2570" s="12">
        <v>44958</v>
      </c>
      <c r="E2570" s="8">
        <v>19850</v>
      </c>
      <c r="F2570" s="10">
        <f>IF(ISTEXT(Таблицаx_2[[#This Row],[Значение]]), 0, Таблицаx_2[[#This Row],[Значение]])</f>
        <v>19850</v>
      </c>
      <c r="G2570" s="12">
        <v>44896</v>
      </c>
      <c r="H2570" s="10" t="str">
        <f>IFERROR(VLOOKUP(Таблицаx_2[[#This Row],[id]],prolongations!A:C,2,)," ")</f>
        <v>декабрь 2022</v>
      </c>
      <c r="I2570" s="10">
        <f>IF(Таблицаx_2[[#This Row],[Месяц окончания]]=Таблицаx_2[[#This Row],[Месяц]],Таблицаx_2[[#This Row],[Значения числа]],0)</f>
        <v>0</v>
      </c>
      <c r="J2570" s="8">
        <f>IF(AND(Таблицаx_2[[#This Row],[Месяц окончания]]=Таблицаx_2[[#This Row],[Месяц]],Таблицаx_2[[#This Row],[id]]=A2571,EDATE(Таблицаx_2[[#This Row],[Месяц]],1)=D2571),F2571,0)</f>
        <v>0</v>
      </c>
      <c r="K2570" s="8">
        <f>IF(AND(Таблицаx_2[[#This Row],[Месяц окончания]]=Таблицаx_2[[#This Row],[Месяц]],Таблицаx_2[[#This Row],[id]]=A2571,EDATE(Таблицаx_2[[#This Row],[Месяц]],2)=D2571),F2571,0)</f>
        <v>0</v>
      </c>
    </row>
    <row r="2571" spans="1:11" ht="12.75" hidden="1" customHeight="1" x14ac:dyDescent="0.2">
      <c r="A2571" s="8">
        <v>281</v>
      </c>
      <c r="B2571" s="8" t="s">
        <v>50</v>
      </c>
      <c r="C2571" s="8" t="s">
        <v>6</v>
      </c>
      <c r="D2571" s="12">
        <v>44986</v>
      </c>
      <c r="E2571" s="8">
        <v>17350</v>
      </c>
      <c r="F2571" s="10">
        <f>IF(ISTEXT(Таблицаx_2[[#This Row],[Значение]]), 0, Таблицаx_2[[#This Row],[Значение]])</f>
        <v>17350</v>
      </c>
      <c r="G2571" s="12">
        <v>44896</v>
      </c>
      <c r="H2571" s="10" t="str">
        <f>IFERROR(VLOOKUP(Таблицаx_2[[#This Row],[id]],prolongations!A:C,2,)," ")</f>
        <v>декабрь 2022</v>
      </c>
      <c r="I2571" s="10">
        <f>IF(Таблицаx_2[[#This Row],[Месяц окончания]]=Таблицаx_2[[#This Row],[Месяц]],Таблицаx_2[[#This Row],[Значения числа]],0)</f>
        <v>0</v>
      </c>
      <c r="J2571" s="8">
        <f>IF(AND(Таблицаx_2[[#This Row],[Месяц окончания]]=Таблицаx_2[[#This Row],[Месяц]],Таблицаx_2[[#This Row],[id]]=A2572,EDATE(Таблицаx_2[[#This Row],[Месяц]],1)=D2572),F2572,0)</f>
        <v>0</v>
      </c>
      <c r="K2571" s="8">
        <f>IF(AND(Таблицаx_2[[#This Row],[Месяц окончания]]=Таблицаx_2[[#This Row],[Месяц]],Таблицаx_2[[#This Row],[id]]=A2572,EDATE(Таблицаx_2[[#This Row],[Месяц]],2)=D2572),F2572,0)</f>
        <v>0</v>
      </c>
    </row>
    <row r="2572" spans="1:11" ht="12.75" hidden="1" customHeight="1" x14ac:dyDescent="0.2">
      <c r="A2572" s="8">
        <v>281</v>
      </c>
      <c r="B2572" s="8" t="s">
        <v>50</v>
      </c>
      <c r="C2572" s="8" t="s">
        <v>6</v>
      </c>
      <c r="D2572" s="12">
        <v>45017</v>
      </c>
      <c r="E2572" s="8">
        <v>14650</v>
      </c>
      <c r="F2572" s="10">
        <f>IF(ISTEXT(Таблицаx_2[[#This Row],[Значение]]), 0, Таблицаx_2[[#This Row],[Значение]])</f>
        <v>14650</v>
      </c>
      <c r="G2572" s="12">
        <v>44896</v>
      </c>
      <c r="H2572" s="10" t="str">
        <f>IFERROR(VLOOKUP(Таблицаx_2[[#This Row],[id]],prolongations!A:C,2,)," ")</f>
        <v>декабрь 2022</v>
      </c>
      <c r="I2572" s="10">
        <f>IF(Таблицаx_2[[#This Row],[Месяц окончания]]=Таблицаx_2[[#This Row],[Месяц]],Таблицаx_2[[#This Row],[Значения числа]],0)</f>
        <v>0</v>
      </c>
      <c r="J2572" s="8">
        <f>IF(AND(Таблицаx_2[[#This Row],[Месяц окончания]]=Таблицаx_2[[#This Row],[Месяц]],Таблицаx_2[[#This Row],[id]]=A2573,EDATE(Таблицаx_2[[#This Row],[Месяц]],1)=D2573),F2573,0)</f>
        <v>0</v>
      </c>
      <c r="K2572" s="8">
        <f>IF(AND(Таблицаx_2[[#This Row],[Месяц окончания]]=Таблицаx_2[[#This Row],[Месяц]],Таблицаx_2[[#This Row],[id]]=A2573,EDATE(Таблицаx_2[[#This Row],[Месяц]],2)=D2573),F2573,0)</f>
        <v>0</v>
      </c>
    </row>
    <row r="2573" spans="1:11" ht="12.75" hidden="1" customHeight="1" x14ac:dyDescent="0.2">
      <c r="A2573" s="8">
        <v>281</v>
      </c>
      <c r="B2573" s="8" t="s">
        <v>50</v>
      </c>
      <c r="C2573" s="8" t="s">
        <v>6</v>
      </c>
      <c r="D2573" s="12">
        <v>45047</v>
      </c>
      <c r="E2573" s="8">
        <v>15900</v>
      </c>
      <c r="F2573" s="10">
        <f>IF(ISTEXT(Таблицаx_2[[#This Row],[Значение]]), 0, Таблицаx_2[[#This Row],[Значение]])</f>
        <v>15900</v>
      </c>
      <c r="G2573" s="12">
        <v>44896</v>
      </c>
      <c r="H2573" s="10" t="str">
        <f>IFERROR(VLOOKUP(Таблицаx_2[[#This Row],[id]],prolongations!A:C,2,)," ")</f>
        <v>декабрь 2022</v>
      </c>
      <c r="I2573" s="10">
        <f>IF(Таблицаx_2[[#This Row],[Месяц окончания]]=Таблицаx_2[[#This Row],[Месяц]],Таблицаx_2[[#This Row],[Значения числа]],0)</f>
        <v>0</v>
      </c>
      <c r="J2573" s="8">
        <f>IF(AND(Таблицаx_2[[#This Row],[Месяц окончания]]=Таблицаx_2[[#This Row],[Месяц]],Таблицаx_2[[#This Row],[id]]=A2574,EDATE(Таблицаx_2[[#This Row],[Месяц]],1)=D2574),F2574,0)</f>
        <v>0</v>
      </c>
      <c r="K2573" s="8">
        <f>IF(AND(Таблицаx_2[[#This Row],[Месяц окончания]]=Таблицаx_2[[#This Row],[Месяц]],Таблицаx_2[[#This Row],[id]]=A2574,EDATE(Таблицаx_2[[#This Row],[Месяц]],2)=D2574),F2574,0)</f>
        <v>0</v>
      </c>
    </row>
    <row r="2574" spans="1:11" ht="12.75" hidden="1" customHeight="1" x14ac:dyDescent="0.2">
      <c r="A2574" s="8">
        <v>281</v>
      </c>
      <c r="B2574" s="8" t="s">
        <v>50</v>
      </c>
      <c r="C2574" s="8" t="s">
        <v>6</v>
      </c>
      <c r="D2574" s="12">
        <v>45078</v>
      </c>
      <c r="E2574" s="8">
        <v>3000</v>
      </c>
      <c r="F2574" s="10">
        <f>IF(ISTEXT(Таблицаx_2[[#This Row],[Значение]]), 0, Таблицаx_2[[#This Row],[Значение]])</f>
        <v>3000</v>
      </c>
      <c r="G2574" s="12">
        <v>44896</v>
      </c>
      <c r="H2574" s="10" t="str">
        <f>IFERROR(VLOOKUP(Таблицаx_2[[#This Row],[id]],prolongations!A:C,2,)," ")</f>
        <v>декабрь 2022</v>
      </c>
      <c r="I2574" s="10">
        <f>IF(Таблицаx_2[[#This Row],[Месяц окончания]]=Таблицаx_2[[#This Row],[Месяц]],Таблицаx_2[[#This Row],[Значения числа]],0)</f>
        <v>0</v>
      </c>
      <c r="J2574" s="8">
        <f>IF(AND(Таблицаx_2[[#This Row],[Месяц окончания]]=Таблицаx_2[[#This Row],[Месяц]],Таблицаx_2[[#This Row],[id]]=A2575,EDATE(Таблицаx_2[[#This Row],[Месяц]],1)=D2575),F2575,0)</f>
        <v>0</v>
      </c>
      <c r="K2574" s="8">
        <f>IF(AND(Таблицаx_2[[#This Row],[Месяц окончания]]=Таблицаx_2[[#This Row],[Месяц]],Таблицаx_2[[#This Row],[id]]=A2575,EDATE(Таблицаx_2[[#This Row],[Месяц]],2)=D2575),F2575,0)</f>
        <v>0</v>
      </c>
    </row>
    <row r="2575" spans="1:11" ht="12.75" hidden="1" customHeight="1" x14ac:dyDescent="0.2">
      <c r="A2575" s="8">
        <v>785</v>
      </c>
      <c r="B2575" s="8"/>
      <c r="C2575" s="8" t="s">
        <v>6</v>
      </c>
      <c r="D2575" s="12">
        <v>44958</v>
      </c>
      <c r="E2575" s="8">
        <v>5306.6</v>
      </c>
      <c r="F2575" s="10">
        <f>IF(ISTEXT(Таблицаx_2[[#This Row],[Значение]]), 0, Таблицаx_2[[#This Row],[Значение]])</f>
        <v>5306.6</v>
      </c>
      <c r="G2575" s="12">
        <v>44958</v>
      </c>
      <c r="H2575" s="10" t="str">
        <f>IFERROR(VLOOKUP(Таблицаx_2[[#This Row],[id]],prolongations!A:C,2,)," ")</f>
        <v>февраль 2023</v>
      </c>
      <c r="I2575" s="10">
        <f>IF(Таблицаx_2[[#This Row],[Месяц окончания]]=Таблицаx_2[[#This Row],[Месяц]],Таблицаx_2[[#This Row],[Значения числа]],0)</f>
        <v>5306.6</v>
      </c>
      <c r="J2575" s="8">
        <f>IF(AND(Таблицаx_2[[#This Row],[Месяц окончания]]=Таблицаx_2[[#This Row],[Месяц]],Таблицаx_2[[#This Row],[id]]=A2576,EDATE(Таблицаx_2[[#This Row],[Месяц]],1)=D2576),F2576,0)</f>
        <v>12898.1</v>
      </c>
      <c r="K2575" s="8">
        <f>IF(AND(Таблицаx_2[[#This Row],[Месяц окончания]]=Таблицаx_2[[#This Row],[Месяц]],Таблицаx_2[[#This Row],[id]]=A2576,EDATE(Таблицаx_2[[#This Row],[Месяц]],2)=D2576),F2576,0)</f>
        <v>0</v>
      </c>
    </row>
    <row r="2576" spans="1:11" ht="12.75" hidden="1" customHeight="1" x14ac:dyDescent="0.2">
      <c r="A2576" s="8">
        <v>785</v>
      </c>
      <c r="B2576" s="8"/>
      <c r="C2576" s="8" t="s">
        <v>6</v>
      </c>
      <c r="D2576" s="12">
        <v>44986</v>
      </c>
      <c r="E2576" s="8">
        <v>12898.1</v>
      </c>
      <c r="F2576" s="10">
        <f>IF(ISTEXT(Таблицаx_2[[#This Row],[Значение]]), 0, Таблицаx_2[[#This Row],[Значение]])</f>
        <v>12898.1</v>
      </c>
      <c r="G2576" s="12">
        <v>44958</v>
      </c>
      <c r="H2576" s="10" t="str">
        <f>IFERROR(VLOOKUP(Таблицаx_2[[#This Row],[id]],prolongations!A:C,2,)," ")</f>
        <v>февраль 2023</v>
      </c>
      <c r="I2576" s="10">
        <f>IF(Таблицаx_2[[#This Row],[Месяц окончания]]=Таблицаx_2[[#This Row],[Месяц]],Таблицаx_2[[#This Row],[Значения числа]],0)</f>
        <v>0</v>
      </c>
      <c r="J2576" s="8">
        <f>IF(AND(Таблицаx_2[[#This Row],[Месяц окончания]]=Таблицаx_2[[#This Row],[Месяц]],Таблицаx_2[[#This Row],[id]]=A2577,EDATE(Таблицаx_2[[#This Row],[Месяц]],1)=D2577),F2577,0)</f>
        <v>0</v>
      </c>
      <c r="K2576" s="8">
        <f>IF(AND(Таблицаx_2[[#This Row],[Месяц окончания]]=Таблицаx_2[[#This Row],[Месяц]],Таблицаx_2[[#This Row],[id]]=A2577,EDATE(Таблицаx_2[[#This Row],[Месяц]],2)=D2577),F2577,0)</f>
        <v>0</v>
      </c>
    </row>
    <row r="2577" spans="1:11" ht="12.75" hidden="1" customHeight="1" x14ac:dyDescent="0.2">
      <c r="A2577" s="8">
        <v>785</v>
      </c>
      <c r="B2577" s="8"/>
      <c r="C2577" s="8" t="s">
        <v>6</v>
      </c>
      <c r="D2577" s="12">
        <v>45017</v>
      </c>
      <c r="E2577" s="8">
        <v>5287</v>
      </c>
      <c r="F2577" s="10">
        <f>IF(ISTEXT(Таблицаx_2[[#This Row],[Значение]]), 0, Таблицаx_2[[#This Row],[Значение]])</f>
        <v>5287</v>
      </c>
      <c r="G2577" s="12">
        <v>44958</v>
      </c>
      <c r="H2577" s="10" t="str">
        <f>IFERROR(VLOOKUP(Таблицаx_2[[#This Row],[id]],prolongations!A:C,2,)," ")</f>
        <v>февраль 2023</v>
      </c>
      <c r="I2577" s="10">
        <f>IF(Таблицаx_2[[#This Row],[Месяц окончания]]=Таблицаx_2[[#This Row],[Месяц]],Таблицаx_2[[#This Row],[Значения числа]],0)</f>
        <v>0</v>
      </c>
      <c r="J2577" s="8">
        <f>IF(AND(Таблицаx_2[[#This Row],[Месяц окончания]]=Таблицаx_2[[#This Row],[Месяц]],Таблицаx_2[[#This Row],[id]]=A2578,EDATE(Таблицаx_2[[#This Row],[Месяц]],1)=D2578),F2578,0)</f>
        <v>0</v>
      </c>
      <c r="K2577" s="8">
        <f>IF(AND(Таблицаx_2[[#This Row],[Месяц окончания]]=Таблицаx_2[[#This Row],[Месяц]],Таблицаx_2[[#This Row],[id]]=A2578,EDATE(Таблицаx_2[[#This Row],[Месяц]],2)=D2578),F2578,0)</f>
        <v>0</v>
      </c>
    </row>
    <row r="2578" spans="1:11" ht="12.75" hidden="1" customHeight="1" x14ac:dyDescent="0.2">
      <c r="A2578" s="8">
        <v>785</v>
      </c>
      <c r="B2578" s="8"/>
      <c r="C2578" s="8" t="s">
        <v>6</v>
      </c>
      <c r="D2578" s="12">
        <v>45047</v>
      </c>
      <c r="E2578" s="8">
        <v>10180</v>
      </c>
      <c r="F2578" s="10">
        <f>IF(ISTEXT(Таблицаx_2[[#This Row],[Значение]]), 0, Таблицаx_2[[#This Row],[Значение]])</f>
        <v>10180</v>
      </c>
      <c r="G2578" s="12">
        <v>44958</v>
      </c>
      <c r="H2578" s="10" t="str">
        <f>IFERROR(VLOOKUP(Таблицаx_2[[#This Row],[id]],prolongations!A:C,2,)," ")</f>
        <v>февраль 2023</v>
      </c>
      <c r="I2578" s="10">
        <f>IF(Таблицаx_2[[#This Row],[Месяц окончания]]=Таблицаx_2[[#This Row],[Месяц]],Таблицаx_2[[#This Row],[Значения числа]],0)</f>
        <v>0</v>
      </c>
      <c r="J2578" s="8">
        <f>IF(AND(Таблицаx_2[[#This Row],[Месяц окончания]]=Таблицаx_2[[#This Row],[Месяц]],Таблицаx_2[[#This Row],[id]]=A2579,EDATE(Таблицаx_2[[#This Row],[Месяц]],1)=D2579),F2579,0)</f>
        <v>0</v>
      </c>
      <c r="K2578" s="8">
        <f>IF(AND(Таблицаx_2[[#This Row],[Месяц окончания]]=Таблицаx_2[[#This Row],[Месяц]],Таблицаx_2[[#This Row],[id]]=A2579,EDATE(Таблицаx_2[[#This Row],[Месяц]],2)=D2579),F2579,0)</f>
        <v>0</v>
      </c>
    </row>
    <row r="2579" spans="1:11" ht="12.75" hidden="1" customHeight="1" x14ac:dyDescent="0.2">
      <c r="A2579" s="8">
        <v>785</v>
      </c>
      <c r="B2579" s="8"/>
      <c r="C2579" s="8" t="s">
        <v>6</v>
      </c>
      <c r="D2579" s="12">
        <v>45078</v>
      </c>
      <c r="E2579" s="8">
        <v>8600</v>
      </c>
      <c r="F2579" s="10">
        <f>IF(ISTEXT(Таблицаx_2[[#This Row],[Значение]]), 0, Таблицаx_2[[#This Row],[Значение]])</f>
        <v>8600</v>
      </c>
      <c r="G2579" s="12">
        <v>44958</v>
      </c>
      <c r="H2579" s="10" t="str">
        <f>IFERROR(VLOOKUP(Таблицаx_2[[#This Row],[id]],prolongations!A:C,2,)," ")</f>
        <v>февраль 2023</v>
      </c>
      <c r="I2579" s="10">
        <f>IF(Таблицаx_2[[#This Row],[Месяц окончания]]=Таблицаx_2[[#This Row],[Месяц]],Таблицаx_2[[#This Row],[Значения числа]],0)</f>
        <v>0</v>
      </c>
      <c r="J2579" s="8">
        <f>IF(AND(Таблицаx_2[[#This Row],[Месяц окончания]]=Таблицаx_2[[#This Row],[Месяц]],Таблицаx_2[[#This Row],[id]]=A2580,EDATE(Таблицаx_2[[#This Row],[Месяц]],1)=D2580),F2580,0)</f>
        <v>0</v>
      </c>
      <c r="K2579" s="8">
        <f>IF(AND(Таблицаx_2[[#This Row],[Месяц окончания]]=Таблицаx_2[[#This Row],[Месяц]],Таблицаx_2[[#This Row],[id]]=A2580,EDATE(Таблицаx_2[[#This Row],[Месяц]],2)=D2580),F2580,0)</f>
        <v>0</v>
      </c>
    </row>
    <row r="2580" spans="1:11" ht="12.75" hidden="1" customHeight="1" x14ac:dyDescent="0.2">
      <c r="A2580" s="8">
        <v>785</v>
      </c>
      <c r="B2580" s="8"/>
      <c r="C2580" s="8" t="s">
        <v>6</v>
      </c>
      <c r="D2580" s="12">
        <v>45108</v>
      </c>
      <c r="E2580" s="8">
        <v>3860</v>
      </c>
      <c r="F2580" s="10">
        <f>IF(ISTEXT(Таблицаx_2[[#This Row],[Значение]]), 0, Таблицаx_2[[#This Row],[Значение]])</f>
        <v>3860</v>
      </c>
      <c r="G2580" s="12">
        <v>44958</v>
      </c>
      <c r="H2580" s="10" t="str">
        <f>IFERROR(VLOOKUP(Таблицаx_2[[#This Row],[id]],prolongations!A:C,2,)," ")</f>
        <v>февраль 2023</v>
      </c>
      <c r="I2580" s="10">
        <f>IF(Таблицаx_2[[#This Row],[Месяц окончания]]=Таблицаx_2[[#This Row],[Месяц]],Таблицаx_2[[#This Row],[Значения числа]],0)</f>
        <v>0</v>
      </c>
      <c r="J2580" s="8">
        <f>IF(AND(Таблицаx_2[[#This Row],[Месяц окончания]]=Таблицаx_2[[#This Row],[Месяц]],Таблицаx_2[[#This Row],[id]]=A2581,EDATE(Таблицаx_2[[#This Row],[Месяц]],1)=D2581),F2581,0)</f>
        <v>0</v>
      </c>
      <c r="K2580" s="8">
        <f>IF(AND(Таблицаx_2[[#This Row],[Месяц окончания]]=Таблицаx_2[[#This Row],[Месяц]],Таблицаx_2[[#This Row],[id]]=A2581,EDATE(Таблицаx_2[[#This Row],[Месяц]],2)=D2581),F2581,0)</f>
        <v>0</v>
      </c>
    </row>
    <row r="2581" spans="1:11" ht="12.75" hidden="1" customHeight="1" x14ac:dyDescent="0.2">
      <c r="A2581" s="8">
        <v>785</v>
      </c>
      <c r="B2581" s="8"/>
      <c r="C2581" s="8" t="s">
        <v>6</v>
      </c>
      <c r="D2581" s="12">
        <v>45139</v>
      </c>
      <c r="E2581" s="8">
        <v>8600</v>
      </c>
      <c r="F2581" s="10">
        <f>IF(ISTEXT(Таблицаx_2[[#This Row],[Значение]]), 0, Таблицаx_2[[#This Row],[Значение]])</f>
        <v>8600</v>
      </c>
      <c r="G2581" s="12">
        <v>44958</v>
      </c>
      <c r="H2581" s="10" t="str">
        <f>IFERROR(VLOOKUP(Таблицаx_2[[#This Row],[id]],prolongations!A:C,2,)," ")</f>
        <v>февраль 2023</v>
      </c>
      <c r="I2581" s="10">
        <f>IF(Таблицаx_2[[#This Row],[Месяц окончания]]=Таблицаx_2[[#This Row],[Месяц]],Таблицаx_2[[#This Row],[Значения числа]],0)</f>
        <v>0</v>
      </c>
      <c r="J2581" s="8">
        <f>IF(AND(Таблицаx_2[[#This Row],[Месяц окончания]]=Таблицаx_2[[#This Row],[Месяц]],Таблицаx_2[[#This Row],[id]]=A2582,EDATE(Таблицаx_2[[#This Row],[Месяц]],1)=D2582),F2582,0)</f>
        <v>0</v>
      </c>
      <c r="K2581" s="8">
        <f>IF(AND(Таблицаx_2[[#This Row],[Месяц окончания]]=Таблицаx_2[[#This Row],[Месяц]],Таблицаx_2[[#This Row],[id]]=A2582,EDATE(Таблицаx_2[[#This Row],[Месяц]],2)=D2582),F2582,0)</f>
        <v>0</v>
      </c>
    </row>
    <row r="2582" spans="1:11" ht="12.75" hidden="1" customHeight="1" x14ac:dyDescent="0.2">
      <c r="A2582" s="8">
        <v>785</v>
      </c>
      <c r="B2582" s="8"/>
      <c r="C2582" s="8" t="s">
        <v>6</v>
      </c>
      <c r="D2582" s="12">
        <v>45170</v>
      </c>
      <c r="E2582" s="8">
        <v>700</v>
      </c>
      <c r="F2582" s="10">
        <f>IF(ISTEXT(Таблицаx_2[[#This Row],[Значение]]), 0, Таблицаx_2[[#This Row],[Значение]])</f>
        <v>700</v>
      </c>
      <c r="G2582" s="12">
        <v>44958</v>
      </c>
      <c r="H2582" s="10" t="str">
        <f>IFERROR(VLOOKUP(Таблицаx_2[[#This Row],[id]],prolongations!A:C,2,)," ")</f>
        <v>февраль 2023</v>
      </c>
      <c r="I2582" s="10">
        <f>IF(Таблицаx_2[[#This Row],[Месяц окончания]]=Таблицаx_2[[#This Row],[Месяц]],Таблицаx_2[[#This Row],[Значения числа]],0)</f>
        <v>0</v>
      </c>
      <c r="J2582" s="8">
        <f>IF(AND(Таблицаx_2[[#This Row],[Месяц окончания]]=Таблицаx_2[[#This Row],[Месяц]],Таблицаx_2[[#This Row],[id]]=A2583,EDATE(Таблицаx_2[[#This Row],[Месяц]],1)=D2583),F2583,0)</f>
        <v>0</v>
      </c>
      <c r="K2582" s="8">
        <f>IF(AND(Таблицаx_2[[#This Row],[Месяц окончания]]=Таблицаx_2[[#This Row],[Месяц]],Таблицаx_2[[#This Row],[id]]=A2583,EDATE(Таблицаx_2[[#This Row],[Месяц]],2)=D2583),F2583,0)</f>
        <v>0</v>
      </c>
    </row>
    <row r="2583" spans="1:11" ht="12.75" hidden="1" customHeight="1" x14ac:dyDescent="0.2">
      <c r="A2583" s="8">
        <v>785</v>
      </c>
      <c r="B2583" s="8"/>
      <c r="C2583" s="8" t="s">
        <v>6</v>
      </c>
      <c r="D2583" s="12">
        <v>45200</v>
      </c>
      <c r="E2583" s="8">
        <v>700</v>
      </c>
      <c r="F2583" s="10">
        <f>IF(ISTEXT(Таблицаx_2[[#This Row],[Значение]]), 0, Таблицаx_2[[#This Row],[Значение]])</f>
        <v>700</v>
      </c>
      <c r="G2583" s="12">
        <v>44958</v>
      </c>
      <c r="H2583" s="10" t="str">
        <f>IFERROR(VLOOKUP(Таблицаx_2[[#This Row],[id]],prolongations!A:C,2,)," ")</f>
        <v>февраль 2023</v>
      </c>
      <c r="I2583" s="10">
        <f>IF(Таблицаx_2[[#This Row],[Месяц окончания]]=Таблицаx_2[[#This Row],[Месяц]],Таблицаx_2[[#This Row],[Значения числа]],0)</f>
        <v>0</v>
      </c>
      <c r="J2583" s="8">
        <f>IF(AND(Таблицаx_2[[#This Row],[Месяц окончания]]=Таблицаx_2[[#This Row],[Месяц]],Таблицаx_2[[#This Row],[id]]=A2584,EDATE(Таблицаx_2[[#This Row],[Месяц]],1)=D2584),F2584,0)</f>
        <v>0</v>
      </c>
      <c r="K2583" s="8">
        <f>IF(AND(Таблицаx_2[[#This Row],[Месяц окончания]]=Таблицаx_2[[#This Row],[Месяц]],Таблицаx_2[[#This Row],[id]]=A2584,EDATE(Таблицаx_2[[#This Row],[Месяц]],2)=D2584),F2584,0)</f>
        <v>0</v>
      </c>
    </row>
    <row r="2584" spans="1:11" ht="12.75" hidden="1" customHeight="1" x14ac:dyDescent="0.2">
      <c r="A2584" s="8">
        <v>785</v>
      </c>
      <c r="B2584" s="8"/>
      <c r="C2584" s="8" t="s">
        <v>6</v>
      </c>
      <c r="D2584" s="12">
        <v>45231</v>
      </c>
      <c r="E2584" s="8" t="s">
        <v>48</v>
      </c>
      <c r="F2584" s="10">
        <f>IF(ISTEXT(Таблицаx_2[[#This Row],[Значение]]), 0, Таблицаx_2[[#This Row],[Значение]])</f>
        <v>0</v>
      </c>
      <c r="G2584" s="12">
        <v>44958</v>
      </c>
      <c r="H2584" s="10" t="str">
        <f>IFERROR(VLOOKUP(Таблицаx_2[[#This Row],[id]],prolongations!A:C,2,)," ")</f>
        <v>февраль 2023</v>
      </c>
      <c r="I2584" s="10">
        <f>IF(Таблицаx_2[[#This Row],[Месяц окончания]]=Таблицаx_2[[#This Row],[Месяц]],Таблицаx_2[[#This Row],[Значения числа]],0)</f>
        <v>0</v>
      </c>
      <c r="J2584" s="8">
        <f>IF(AND(Таблицаx_2[[#This Row],[Месяц окончания]]=Таблицаx_2[[#This Row],[Месяц]],Таблицаx_2[[#This Row],[id]]=A2585,EDATE(Таблицаx_2[[#This Row],[Месяц]],1)=D2585),F2585,0)</f>
        <v>0</v>
      </c>
      <c r="K2584" s="8">
        <f>IF(AND(Таблицаx_2[[#This Row],[Месяц окончания]]=Таблицаx_2[[#This Row],[Месяц]],Таблицаx_2[[#This Row],[id]]=A2585,EDATE(Таблицаx_2[[#This Row],[Месяц]],2)=D2585),F2585,0)</f>
        <v>0</v>
      </c>
    </row>
    <row r="2585" spans="1:11" ht="12.75" hidden="1" customHeight="1" x14ac:dyDescent="0.2">
      <c r="A2585" s="8">
        <v>785</v>
      </c>
      <c r="B2585" s="8"/>
      <c r="C2585" s="8" t="s">
        <v>6</v>
      </c>
      <c r="D2585" s="12">
        <v>45261</v>
      </c>
      <c r="E2585" s="8" t="s">
        <v>48</v>
      </c>
      <c r="F2585" s="10">
        <f>IF(ISTEXT(Таблицаx_2[[#This Row],[Значение]]), 0, Таблицаx_2[[#This Row],[Значение]])</f>
        <v>0</v>
      </c>
      <c r="G2585" s="12">
        <v>44958</v>
      </c>
      <c r="H2585" s="10" t="str">
        <f>IFERROR(VLOOKUP(Таблицаx_2[[#This Row],[id]],prolongations!A:C,2,)," ")</f>
        <v>февраль 2023</v>
      </c>
      <c r="I2585" s="10">
        <f>IF(Таблицаx_2[[#This Row],[Месяц окончания]]=Таблицаx_2[[#This Row],[Месяц]],Таблицаx_2[[#This Row],[Значения числа]],0)</f>
        <v>0</v>
      </c>
      <c r="J2585" s="8">
        <f>IF(AND(Таблицаx_2[[#This Row],[Месяц окончания]]=Таблицаx_2[[#This Row],[Месяц]],Таблицаx_2[[#This Row],[id]]=A2586,EDATE(Таблицаx_2[[#This Row],[Месяц]],1)=D2586),F2586,0)</f>
        <v>0</v>
      </c>
      <c r="K2585" s="8">
        <f>IF(AND(Таблицаx_2[[#This Row],[Месяц окончания]]=Таблицаx_2[[#This Row],[Месяц]],Таблицаx_2[[#This Row],[id]]=A2586,EDATE(Таблицаx_2[[#This Row],[Месяц]],2)=D2586),F2586,0)</f>
        <v>0</v>
      </c>
    </row>
    <row r="2586" spans="1:11" ht="12.75" hidden="1" customHeight="1" x14ac:dyDescent="0.2">
      <c r="A2586" s="8">
        <v>913</v>
      </c>
      <c r="B2586" s="8"/>
      <c r="C2586" s="8" t="s">
        <v>10</v>
      </c>
      <c r="D2586" s="12">
        <v>45108</v>
      </c>
      <c r="E2586" s="8">
        <v>58200</v>
      </c>
      <c r="F2586" s="10">
        <f>IF(ISTEXT(Таблицаx_2[[#This Row],[Значение]]), 0, Таблицаx_2[[#This Row],[Значение]])</f>
        <v>58200</v>
      </c>
      <c r="G2586" s="12">
        <v>45261</v>
      </c>
      <c r="H2586" s="10" t="str">
        <f>IFERROR(VLOOKUP(Таблицаx_2[[#This Row],[id]],prolongations!A:C,2,)," ")</f>
        <v>декабрь 2023</v>
      </c>
      <c r="I2586" s="10">
        <f>IF(Таблицаx_2[[#This Row],[Месяц окончания]]=Таблицаx_2[[#This Row],[Месяц]],Таблицаx_2[[#This Row],[Значения числа]],0)</f>
        <v>0</v>
      </c>
      <c r="J2586" s="8">
        <f>IF(AND(Таблицаx_2[[#This Row],[Месяц окончания]]=Таблицаx_2[[#This Row],[Месяц]],Таблицаx_2[[#This Row],[id]]=A2587,EDATE(Таблицаx_2[[#This Row],[Месяц]],1)=D2587),F2587,0)</f>
        <v>0</v>
      </c>
      <c r="K2586" s="8">
        <f>IF(AND(Таблицаx_2[[#This Row],[Месяц окончания]]=Таблицаx_2[[#This Row],[Месяц]],Таблицаx_2[[#This Row],[id]]=A2587,EDATE(Таблицаx_2[[#This Row],[Месяц]],2)=D2587),F2587,0)</f>
        <v>0</v>
      </c>
    </row>
    <row r="2587" spans="1:11" ht="12.75" hidden="1" customHeight="1" x14ac:dyDescent="0.2">
      <c r="A2587" s="8">
        <v>913</v>
      </c>
      <c r="B2587" s="8"/>
      <c r="C2587" s="8" t="s">
        <v>10</v>
      </c>
      <c r="D2587" s="12">
        <v>45139</v>
      </c>
      <c r="E2587" s="8">
        <v>58200</v>
      </c>
      <c r="F2587" s="10">
        <f>IF(ISTEXT(Таблицаx_2[[#This Row],[Значение]]), 0, Таблицаx_2[[#This Row],[Значение]])</f>
        <v>58200</v>
      </c>
      <c r="G2587" s="12">
        <v>45261</v>
      </c>
      <c r="H2587" s="10" t="str">
        <f>IFERROR(VLOOKUP(Таблицаx_2[[#This Row],[id]],prolongations!A:C,2,)," ")</f>
        <v>декабрь 2023</v>
      </c>
      <c r="I2587" s="10">
        <f>IF(Таблицаx_2[[#This Row],[Месяц окончания]]=Таблицаx_2[[#This Row],[Месяц]],Таблицаx_2[[#This Row],[Значения числа]],0)</f>
        <v>0</v>
      </c>
      <c r="J2587" s="8">
        <f>IF(AND(Таблицаx_2[[#This Row],[Месяц окончания]]=Таблицаx_2[[#This Row],[Месяц]],Таблицаx_2[[#This Row],[id]]=A2588,EDATE(Таблицаx_2[[#This Row],[Месяц]],1)=D2588),F2588,0)</f>
        <v>0</v>
      </c>
      <c r="K2587" s="8">
        <f>IF(AND(Таблицаx_2[[#This Row],[Месяц окончания]]=Таблицаx_2[[#This Row],[Месяц]],Таблицаx_2[[#This Row],[id]]=A2588,EDATE(Таблицаx_2[[#This Row],[Месяц]],2)=D2588),F2588,0)</f>
        <v>0</v>
      </c>
    </row>
    <row r="2588" spans="1:11" ht="12.75" hidden="1" customHeight="1" x14ac:dyDescent="0.2">
      <c r="A2588" s="8">
        <v>913</v>
      </c>
      <c r="B2588" s="8"/>
      <c r="C2588" s="8" t="s">
        <v>10</v>
      </c>
      <c r="D2588" s="12">
        <v>45170</v>
      </c>
      <c r="E2588" s="8">
        <v>58200</v>
      </c>
      <c r="F2588" s="10">
        <f>IF(ISTEXT(Таблицаx_2[[#This Row],[Значение]]), 0, Таблицаx_2[[#This Row],[Значение]])</f>
        <v>58200</v>
      </c>
      <c r="G2588" s="12">
        <v>45261</v>
      </c>
      <c r="H2588" s="10" t="str">
        <f>IFERROR(VLOOKUP(Таблицаx_2[[#This Row],[id]],prolongations!A:C,2,)," ")</f>
        <v>декабрь 2023</v>
      </c>
      <c r="I2588" s="10">
        <f>IF(Таблицаx_2[[#This Row],[Месяц окончания]]=Таблицаx_2[[#This Row],[Месяц]],Таблицаx_2[[#This Row],[Значения числа]],0)</f>
        <v>0</v>
      </c>
      <c r="J2588" s="8">
        <f>IF(AND(Таблицаx_2[[#This Row],[Месяц окончания]]=Таблицаx_2[[#This Row],[Месяц]],Таблицаx_2[[#This Row],[id]]=A2589,EDATE(Таблицаx_2[[#This Row],[Месяц]],1)=D2589),F2589,0)</f>
        <v>0</v>
      </c>
      <c r="K2588" s="8">
        <f>IF(AND(Таблицаx_2[[#This Row],[Месяц окончания]]=Таблицаx_2[[#This Row],[Месяц]],Таблицаx_2[[#This Row],[id]]=A2589,EDATE(Таблицаx_2[[#This Row],[Месяц]],2)=D2589),F2589,0)</f>
        <v>0</v>
      </c>
    </row>
    <row r="2589" spans="1:11" ht="12.75" hidden="1" customHeight="1" x14ac:dyDescent="0.2">
      <c r="A2589" s="8">
        <v>913</v>
      </c>
      <c r="B2589" s="8"/>
      <c r="C2589" s="8" t="s">
        <v>10</v>
      </c>
      <c r="D2589" s="12">
        <v>45200</v>
      </c>
      <c r="E2589" s="8">
        <v>58200</v>
      </c>
      <c r="F2589" s="10">
        <f>IF(ISTEXT(Таблицаx_2[[#This Row],[Значение]]), 0, Таблицаx_2[[#This Row],[Значение]])</f>
        <v>58200</v>
      </c>
      <c r="G2589" s="12">
        <v>45261</v>
      </c>
      <c r="H2589" s="10" t="str">
        <f>IFERROR(VLOOKUP(Таблицаx_2[[#This Row],[id]],prolongations!A:C,2,)," ")</f>
        <v>декабрь 2023</v>
      </c>
      <c r="I2589" s="10">
        <f>IF(Таблицаx_2[[#This Row],[Месяц окончания]]=Таблицаx_2[[#This Row],[Месяц]],Таблицаx_2[[#This Row],[Значения числа]],0)</f>
        <v>0</v>
      </c>
      <c r="J2589" s="8">
        <f>IF(AND(Таблицаx_2[[#This Row],[Месяц окончания]]=Таблицаx_2[[#This Row],[Месяц]],Таблицаx_2[[#This Row],[id]]=A2590,EDATE(Таблицаx_2[[#This Row],[Месяц]],1)=D2590),F2590,0)</f>
        <v>0</v>
      </c>
      <c r="K2589" s="8">
        <f>IF(AND(Таблицаx_2[[#This Row],[Месяц окончания]]=Таблицаx_2[[#This Row],[Месяц]],Таблицаx_2[[#This Row],[id]]=A2590,EDATE(Таблицаx_2[[#This Row],[Месяц]],2)=D2590),F2590,0)</f>
        <v>0</v>
      </c>
    </row>
    <row r="2590" spans="1:11" ht="12.75" hidden="1" customHeight="1" x14ac:dyDescent="0.2">
      <c r="A2590" s="8">
        <v>913</v>
      </c>
      <c r="B2590" s="8"/>
      <c r="C2590" s="8" t="s">
        <v>10</v>
      </c>
      <c r="D2590" s="12">
        <v>45231</v>
      </c>
      <c r="E2590" s="8">
        <v>58200</v>
      </c>
      <c r="F2590" s="10">
        <f>IF(ISTEXT(Таблицаx_2[[#This Row],[Значение]]), 0, Таблицаx_2[[#This Row],[Значение]])</f>
        <v>58200</v>
      </c>
      <c r="G2590" s="12">
        <v>45261</v>
      </c>
      <c r="H2590" s="10" t="str">
        <f>IFERROR(VLOOKUP(Таблицаx_2[[#This Row],[id]],prolongations!A:C,2,)," ")</f>
        <v>декабрь 2023</v>
      </c>
      <c r="I2590" s="10">
        <f>IF(Таблицаx_2[[#This Row],[Месяц окончания]]=Таблицаx_2[[#This Row],[Месяц]],Таблицаx_2[[#This Row],[Значения числа]],0)</f>
        <v>0</v>
      </c>
      <c r="J2590" s="8">
        <f>IF(AND(Таблицаx_2[[#This Row],[Месяц окончания]]=Таблицаx_2[[#This Row],[Месяц]],Таблицаx_2[[#This Row],[id]]=A2591,EDATE(Таблицаx_2[[#This Row],[Месяц]],1)=D2591),F2591,0)</f>
        <v>0</v>
      </c>
      <c r="K2590" s="8">
        <f>IF(AND(Таблицаx_2[[#This Row],[Месяц окончания]]=Таблицаx_2[[#This Row],[Месяц]],Таблицаx_2[[#This Row],[id]]=A2591,EDATE(Таблицаx_2[[#This Row],[Месяц]],2)=D2591),F2591,0)</f>
        <v>0</v>
      </c>
    </row>
    <row r="2591" spans="1:11" ht="12.75" hidden="1" customHeight="1" x14ac:dyDescent="0.2">
      <c r="A2591" s="8">
        <v>913</v>
      </c>
      <c r="B2591" s="8"/>
      <c r="C2591" s="8" t="s">
        <v>10</v>
      </c>
      <c r="D2591" s="12">
        <v>45261</v>
      </c>
      <c r="E2591" s="8">
        <v>58200</v>
      </c>
      <c r="F2591" s="10">
        <f>IF(ISTEXT(Таблицаx_2[[#This Row],[Значение]]), 0, Таблицаx_2[[#This Row],[Значение]])</f>
        <v>58200</v>
      </c>
      <c r="G2591" s="12">
        <v>45261</v>
      </c>
      <c r="H2591" s="10" t="str">
        <f>IFERROR(VLOOKUP(Таблицаx_2[[#This Row],[id]],prolongations!A:C,2,)," ")</f>
        <v>декабрь 2023</v>
      </c>
      <c r="I2591" s="10">
        <f>IF(Таблицаx_2[[#This Row],[Месяц окончания]]=Таблицаx_2[[#This Row],[Месяц]],Таблицаx_2[[#This Row],[Значения числа]],0)</f>
        <v>58200</v>
      </c>
      <c r="J2591" s="8">
        <f>IF(AND(Таблицаx_2[[#This Row],[Месяц окончания]]=Таблицаx_2[[#This Row],[Месяц]],Таблицаx_2[[#This Row],[id]]=A2592,EDATE(Таблицаx_2[[#This Row],[Месяц]],1)=D2592),F2592,0)</f>
        <v>0</v>
      </c>
      <c r="K2591" s="8">
        <f>IF(AND(Таблицаx_2[[#This Row],[Месяц окончания]]=Таблицаx_2[[#This Row],[Месяц]],Таблицаx_2[[#This Row],[id]]=A2592,EDATE(Таблицаx_2[[#This Row],[Месяц]],2)=D2592),F2592,0)</f>
        <v>0</v>
      </c>
    </row>
    <row r="2592" spans="1:11" ht="12.75" hidden="1" customHeight="1" x14ac:dyDescent="0.2">
      <c r="A2592" s="8">
        <v>930</v>
      </c>
      <c r="B2592" s="8" t="s">
        <v>45</v>
      </c>
      <c r="C2592" s="8" t="s">
        <v>11</v>
      </c>
      <c r="D2592" s="12">
        <v>45170</v>
      </c>
      <c r="E2592" s="8">
        <v>36687.5</v>
      </c>
      <c r="F2592" s="10">
        <f>IF(ISTEXT(Таблицаx_2[[#This Row],[Значение]]), 0, Таблицаx_2[[#This Row],[Значение]])</f>
        <v>36687.5</v>
      </c>
      <c r="G2592" s="12"/>
      <c r="K2592" s="8">
        <f>IF(AND(Таблицаx_2[[#This Row],[Месяц окончания]]=Таблицаx_2[[#This Row],[Месяц]],Таблицаx_2[[#This Row],[id]]=A2593,EDATE(Таблицаx_2[[#This Row],[Месяц]],2)=D2593),F2593,0)</f>
        <v>0</v>
      </c>
    </row>
    <row r="2593" spans="1:11" ht="12.75" hidden="1" customHeight="1" x14ac:dyDescent="0.2">
      <c r="A2593" s="8">
        <v>930</v>
      </c>
      <c r="B2593" s="8" t="s">
        <v>45</v>
      </c>
      <c r="C2593" s="8" t="s">
        <v>11</v>
      </c>
      <c r="D2593" s="12">
        <v>45200</v>
      </c>
      <c r="E2593" s="8">
        <v>31152.5</v>
      </c>
      <c r="F2593" s="10">
        <f>IF(ISTEXT(Таблицаx_2[[#This Row],[Значение]]), 0, Таблицаx_2[[#This Row],[Значение]])</f>
        <v>31152.5</v>
      </c>
      <c r="G2593" s="12"/>
      <c r="K2593" s="8">
        <f>IF(AND(Таблицаx_2[[#This Row],[Месяц окончания]]=Таблицаx_2[[#This Row],[Месяц]],Таблицаx_2[[#This Row],[id]]=A2594,EDATE(Таблицаx_2[[#This Row],[Месяц]],2)=D2594),F2594,0)</f>
        <v>0</v>
      </c>
    </row>
    <row r="2594" spans="1:11" ht="12.75" hidden="1" customHeight="1" x14ac:dyDescent="0.2">
      <c r="A2594" s="8">
        <v>930</v>
      </c>
      <c r="B2594" s="8" t="s">
        <v>45</v>
      </c>
      <c r="C2594" s="8" t="s">
        <v>11</v>
      </c>
      <c r="D2594" s="12">
        <v>45231</v>
      </c>
      <c r="E2594" s="8">
        <v>30350</v>
      </c>
      <c r="F2594" s="10">
        <f>IF(ISTEXT(Таблицаx_2[[#This Row],[Значение]]), 0, Таблицаx_2[[#This Row],[Значение]])</f>
        <v>30350</v>
      </c>
      <c r="G2594" s="12"/>
      <c r="K2594" s="8">
        <f>IF(AND(Таблицаx_2[[#This Row],[Месяц окончания]]=Таблицаx_2[[#This Row],[Месяц]],Таблицаx_2[[#This Row],[id]]=A2595,EDATE(Таблицаx_2[[#This Row],[Месяц]],2)=D2595),F2595,0)</f>
        <v>0</v>
      </c>
    </row>
    <row r="2595" spans="1:11" ht="12.75" hidden="1" customHeight="1" x14ac:dyDescent="0.2">
      <c r="A2595" s="8">
        <v>930</v>
      </c>
      <c r="B2595" s="8" t="s">
        <v>45</v>
      </c>
      <c r="C2595" s="8" t="s">
        <v>11</v>
      </c>
      <c r="D2595" s="12">
        <v>45261</v>
      </c>
      <c r="E2595" s="8">
        <v>34547.5</v>
      </c>
      <c r="F2595" s="10">
        <f>IF(ISTEXT(Таблицаx_2[[#This Row],[Значение]]), 0, Таблицаx_2[[#This Row],[Значение]])</f>
        <v>34547.5</v>
      </c>
      <c r="G2595" s="12"/>
      <c r="K2595" s="8">
        <f>IF(AND(Таблицаx_2[[#This Row],[Месяц окончания]]=Таблицаx_2[[#This Row],[Месяц]],Таблицаx_2[[#This Row],[id]]=A2596,EDATE(Таблицаx_2[[#This Row],[Месяц]],2)=D2596),F2596,0)</f>
        <v>0</v>
      </c>
    </row>
    <row r="2596" spans="1:11" ht="12.75" hidden="1" customHeight="1" x14ac:dyDescent="0.2">
      <c r="A2596" s="8">
        <v>930</v>
      </c>
      <c r="B2596" s="8" t="s">
        <v>45</v>
      </c>
      <c r="C2596" s="8" t="s">
        <v>11</v>
      </c>
      <c r="D2596" s="12">
        <v>45292</v>
      </c>
      <c r="E2596" s="8">
        <v>25750</v>
      </c>
      <c r="F2596" s="10">
        <f>IF(ISTEXT(Таблицаx_2[[#This Row],[Значение]]), 0, Таблицаx_2[[#This Row],[Значение]])</f>
        <v>25750</v>
      </c>
      <c r="G2596" s="12"/>
      <c r="K2596" s="8">
        <f>IF(AND(Таблицаx_2[[#This Row],[Месяц окончания]]=Таблицаx_2[[#This Row],[Месяц]],Таблицаx_2[[#This Row],[id]]=A2597,EDATE(Таблицаx_2[[#This Row],[Месяц]],2)=D2597),F2597,0)</f>
        <v>0</v>
      </c>
    </row>
    <row r="2597" spans="1:11" ht="12.75" hidden="1" customHeight="1" x14ac:dyDescent="0.2">
      <c r="A2597" s="8">
        <v>930</v>
      </c>
      <c r="B2597" s="8" t="s">
        <v>45</v>
      </c>
      <c r="C2597" s="8" t="s">
        <v>11</v>
      </c>
      <c r="D2597" s="12">
        <v>45323</v>
      </c>
      <c r="E2597" s="8">
        <v>25600</v>
      </c>
      <c r="F2597" s="10">
        <f>IF(ISTEXT(Таблицаx_2[[#This Row],[Значение]]), 0, Таблицаx_2[[#This Row],[Значение]])</f>
        <v>25600</v>
      </c>
      <c r="G2597" s="12"/>
      <c r="K2597" s="8">
        <f>IF(AND(Таблицаx_2[[#This Row],[Месяц окончания]]=Таблицаx_2[[#This Row],[Месяц]],Таблицаx_2[[#This Row],[id]]=A2598,EDATE(Таблицаx_2[[#This Row],[Месяц]],2)=D2598),F2598,0)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6"/>
  <sheetViews>
    <sheetView workbookViewId="0">
      <selection activeCell="L22" sqref="L22"/>
    </sheetView>
  </sheetViews>
  <sheetFormatPr defaultColWidth="12.5703125" defaultRowHeight="15.75" customHeight="1" x14ac:dyDescent="0.2"/>
  <cols>
    <col min="1" max="1" width="16.28515625" customWidth="1"/>
    <col min="2" max="2" width="14.28515625" customWidth="1"/>
    <col min="3" max="3" width="18" customWidth="1"/>
    <col min="4" max="4" width="12.7109375" customWidth="1"/>
    <col min="5" max="5" width="14.5703125" customWidth="1"/>
    <col min="6" max="6" width="15.5703125" customWidth="1"/>
  </cols>
  <sheetData>
    <row r="1" spans="1:7" x14ac:dyDescent="0.2">
      <c r="A1" s="16" t="s">
        <v>54</v>
      </c>
      <c r="B1" s="18" t="s">
        <v>55</v>
      </c>
      <c r="C1" s="19"/>
      <c r="D1" s="20"/>
      <c r="E1" s="18" t="s">
        <v>56</v>
      </c>
      <c r="F1" s="19"/>
      <c r="G1" s="20"/>
    </row>
    <row r="2" spans="1:7" x14ac:dyDescent="0.2">
      <c r="A2" s="17"/>
      <c r="B2" s="4" t="s">
        <v>57</v>
      </c>
      <c r="C2" s="4" t="s">
        <v>58</v>
      </c>
      <c r="D2" s="4" t="s">
        <v>59</v>
      </c>
      <c r="E2" s="4" t="s">
        <v>57</v>
      </c>
      <c r="F2" s="4" t="s">
        <v>58</v>
      </c>
      <c r="G2" s="4" t="s">
        <v>59</v>
      </c>
    </row>
    <row r="3" spans="1:7" x14ac:dyDescent="0.2">
      <c r="A3" s="5">
        <v>44866</v>
      </c>
      <c r="B3" s="13"/>
      <c r="C3" s="13"/>
      <c r="D3" s="13"/>
      <c r="E3" s="13"/>
      <c r="F3" s="13"/>
      <c r="G3" s="13"/>
    </row>
    <row r="4" spans="1:7" x14ac:dyDescent="0.2">
      <c r="A4" s="5">
        <v>44896</v>
      </c>
      <c r="B4" s="13"/>
      <c r="C4" s="13"/>
      <c r="D4" s="13"/>
      <c r="E4" s="13"/>
      <c r="F4" s="13"/>
      <c r="G4" s="13"/>
    </row>
    <row r="5" spans="1:7" x14ac:dyDescent="0.2">
      <c r="A5" s="5">
        <v>44927</v>
      </c>
      <c r="B5">
        <f>IFERROR(SUMIF('financial data unpivot'!G:G,A4,'financial data unpivot'!I:I),0)</f>
        <v>5986766.8599999994</v>
      </c>
      <c r="C5">
        <f>IFERROR(SUMIF('financial data unpivot'!G:G,A4,'financial data unpivot'!J:J),0)</f>
        <v>2585586.61</v>
      </c>
      <c r="D5">
        <f>IFERROR(C5/B5,0)</f>
        <v>0.43188363109232553</v>
      </c>
      <c r="E5">
        <f>IFERROR(SUMIF('financial data unpivot'!G:G,A3,'financial data unpivot'!I:I),0)</f>
        <v>1898979</v>
      </c>
      <c r="F5">
        <f>IFERROR(SUMIF('financial data unpivot'!G:G,A3,'financial data unpivot'!K:K),0)</f>
        <v>73380</v>
      </c>
      <c r="G5">
        <f>IFERROR(F5/E5,0)</f>
        <v>3.8641817524048452E-2</v>
      </c>
    </row>
    <row r="6" spans="1:7" x14ac:dyDescent="0.2">
      <c r="A6" s="5">
        <v>44958</v>
      </c>
      <c r="B6">
        <f>IFERROR(SUMIF('financial data unpivot'!G:G,A5,'financial data unpivot'!I:I),0)</f>
        <v>752795.5</v>
      </c>
      <c r="C6">
        <f>IFERROR(SUMIF('financial data unpivot'!G:G,A5,'financial data unpivot'!J:J),0)</f>
        <v>137155</v>
      </c>
      <c r="D6">
        <f t="shared" ref="D6:D16" si="0">IFERROR(C6/B6,0)</f>
        <v>0.18219423468923499</v>
      </c>
      <c r="E6">
        <f>IFERROR(SUMIF('financial data unpivot'!G:G,A4,'financial data unpivot'!I:I),0)</f>
        <v>5986766.8599999994</v>
      </c>
      <c r="F6">
        <f>IFERROR(SUMIF('financial data unpivot'!G:G,A4,'financial data unpivot'!K:K),0)</f>
        <v>262620</v>
      </c>
      <c r="G6">
        <f t="shared" ref="G6:G16" si="1">IFERROR(F6/E6,0)</f>
        <v>4.3866749138783072E-2</v>
      </c>
    </row>
    <row r="7" spans="1:7" x14ac:dyDescent="0.2">
      <c r="A7" s="5">
        <v>44986</v>
      </c>
      <c r="B7">
        <f>IFERROR(SUMIF('financial data unpivot'!G:G,A6,'financial data unpivot'!I:I),0)</f>
        <v>1114126.02</v>
      </c>
      <c r="C7">
        <f>IFERROR(SUMIF('financial data unpivot'!G:G,A6,'financial data unpivot'!J:J),0)</f>
        <v>740747.65</v>
      </c>
      <c r="D7">
        <f t="shared" si="0"/>
        <v>0.66486881798164987</v>
      </c>
      <c r="E7">
        <f>IFERROR(SUMIF('financial data unpivot'!G:G,A5,'financial data unpivot'!I:I),0)</f>
        <v>752795.5</v>
      </c>
      <c r="F7">
        <f>IFERROR(SUMIF('financial data unpivot'!G:G,A5,'financial data unpivot'!K:K),0)</f>
        <v>122999.08</v>
      </c>
      <c r="G7">
        <f t="shared" si="1"/>
        <v>0.1633897652151215</v>
      </c>
    </row>
    <row r="8" spans="1:7" x14ac:dyDescent="0.2">
      <c r="A8" s="5">
        <v>45017</v>
      </c>
      <c r="B8">
        <f>IFERROR(SUMIF('financial data unpivot'!G:G,A7,'financial data unpivot'!I:I),0)</f>
        <v>2147978</v>
      </c>
      <c r="C8">
        <f>IFERROR(SUMIF('financial data unpivot'!G:G,A7,'financial data unpivot'!J:J),0)</f>
        <v>876170.35</v>
      </c>
      <c r="D8">
        <f t="shared" si="0"/>
        <v>0.40790471317676436</v>
      </c>
      <c r="E8">
        <f>IFERROR(SUMIF('financial data unpivot'!G:G,A6,'financial data unpivot'!I:I),0)</f>
        <v>1114126.02</v>
      </c>
      <c r="F8">
        <f>IFERROR(SUMIF('financial data unpivot'!G:G,A6,'financial data unpivot'!K:K),0)</f>
        <v>17740</v>
      </c>
      <c r="G8">
        <f t="shared" si="1"/>
        <v>1.5922794801974016E-2</v>
      </c>
    </row>
    <row r="9" spans="1:7" x14ac:dyDescent="0.2">
      <c r="A9" s="5">
        <v>45047</v>
      </c>
      <c r="B9">
        <f>IFERROR(SUMIF('financial data unpivot'!G:G,A8,'financial data unpivot'!I:I),0)</f>
        <v>1512668.5</v>
      </c>
      <c r="C9">
        <f>IFERROR(SUMIF('financial data unpivot'!G:G,A8,'financial data unpivot'!J:J),0)</f>
        <v>619404.75</v>
      </c>
      <c r="D9">
        <f t="shared" si="0"/>
        <v>0.40947818375275219</v>
      </c>
      <c r="E9">
        <f>IFERROR(SUMIF('financial data unpivot'!G:G,A7,'financial data unpivot'!I:I),0)</f>
        <v>2147978</v>
      </c>
      <c r="F9">
        <f>IFERROR(SUMIF('financial data unpivot'!G:G,A7,'financial data unpivot'!K:K),0)</f>
        <v>0</v>
      </c>
      <c r="G9">
        <f t="shared" si="1"/>
        <v>0</v>
      </c>
    </row>
    <row r="10" spans="1:7" x14ac:dyDescent="0.2">
      <c r="A10" s="5">
        <v>45078</v>
      </c>
      <c r="B10">
        <f>IFERROR(SUMIF('financial data unpivot'!G:G,A9,'financial data unpivot'!I:I),0)</f>
        <v>1025588.5299999999</v>
      </c>
      <c r="C10">
        <f>IFERROR(SUMIF('financial data unpivot'!G:G,A9,'financial data unpivot'!J:J),0)</f>
        <v>104768</v>
      </c>
      <c r="D10">
        <f t="shared" si="0"/>
        <v>0.10215402857518308</v>
      </c>
      <c r="E10">
        <f>IFERROR(SUMIF('financial data unpivot'!G:G,A8,'financial data unpivot'!I:I),0)</f>
        <v>1512668.5</v>
      </c>
      <c r="F10">
        <f>IFERROR(SUMIF('financial data unpivot'!G:G,A8,'financial data unpivot'!K:K),0)</f>
        <v>38632.5</v>
      </c>
      <c r="G10">
        <f t="shared" si="1"/>
        <v>2.5539303555273347E-2</v>
      </c>
    </row>
    <row r="11" spans="1:7" x14ac:dyDescent="0.2">
      <c r="A11" s="5">
        <v>45108</v>
      </c>
      <c r="B11">
        <f>IFERROR(SUMIF('financial data unpivot'!G:G,A10,'financial data unpivot'!I:I),0)</f>
        <v>1153571.1000000001</v>
      </c>
      <c r="C11">
        <f>IFERROR(SUMIF('financial data unpivot'!G:G,A10,'financial data unpivot'!J:J),0)</f>
        <v>301260</v>
      </c>
      <c r="D11">
        <f t="shared" si="0"/>
        <v>0.26115425395105685</v>
      </c>
      <c r="E11">
        <f>IFERROR(SUMIF('financial data unpivot'!G:G,A9,'financial data unpivot'!I:I),0)</f>
        <v>1025588.5299999999</v>
      </c>
      <c r="F11">
        <f>IFERROR(SUMIF('financial data unpivot'!G:G,A9,'financial data unpivot'!K:K),0)</f>
        <v>94885</v>
      </c>
      <c r="G11">
        <f t="shared" si="1"/>
        <v>9.2517610351980056E-2</v>
      </c>
    </row>
    <row r="12" spans="1:7" x14ac:dyDescent="0.2">
      <c r="A12" s="5">
        <v>45139</v>
      </c>
      <c r="B12">
        <f>IFERROR(SUMIF('financial data unpivot'!G:G,A11,'financial data unpivot'!I:I),0)</f>
        <v>1222393.33</v>
      </c>
      <c r="C12">
        <f>IFERROR(SUMIF('financial data unpivot'!G:G,A11,'financial data unpivot'!J:J),0)</f>
        <v>424548.88</v>
      </c>
      <c r="D12">
        <f t="shared" si="0"/>
        <v>0.34730955215536063</v>
      </c>
      <c r="E12">
        <f>IFERROR(SUMIF('financial data unpivot'!G:G,A10,'financial data unpivot'!I:I),0)</f>
        <v>1153571.1000000001</v>
      </c>
      <c r="F12">
        <f>IFERROR(SUMIF('financial data unpivot'!G:G,A10,'financial data unpivot'!K:K),0)</f>
        <v>0</v>
      </c>
      <c r="G12">
        <f t="shared" si="1"/>
        <v>0</v>
      </c>
    </row>
    <row r="13" spans="1:7" x14ac:dyDescent="0.2">
      <c r="A13" s="5">
        <v>45170</v>
      </c>
      <c r="B13">
        <f>IFERROR(SUMIF('financial data unpivot'!G:G,A12,'financial data unpivot'!I:I),0)</f>
        <v>2115914.0100000002</v>
      </c>
      <c r="C13">
        <f>IFERROR(SUMIF('financial data unpivot'!G:G,A12,'financial data unpivot'!J:J),0)</f>
        <v>927545.42</v>
      </c>
      <c r="D13">
        <f t="shared" si="0"/>
        <v>0.43836631149297034</v>
      </c>
      <c r="E13">
        <f>IFERROR(SUMIF('financial data unpivot'!G:G,A11,'financial data unpivot'!I:I),0)</f>
        <v>1222393.33</v>
      </c>
      <c r="F13">
        <f>IFERROR(SUMIF('financial data unpivot'!G:G,A11,'financial data unpivot'!K:K),0)</f>
        <v>0</v>
      </c>
      <c r="G13">
        <f t="shared" si="1"/>
        <v>0</v>
      </c>
    </row>
    <row r="14" spans="1:7" x14ac:dyDescent="0.2">
      <c r="A14" s="5">
        <v>45200</v>
      </c>
      <c r="B14">
        <f>IFERROR(SUMIF('financial data unpivot'!G:G,A13,'financial data unpivot'!I:I),0)</f>
        <v>1663092.58</v>
      </c>
      <c r="C14">
        <f>IFERROR(SUMIF('financial data unpivot'!G:G,A13,'financial data unpivot'!J:J),0)</f>
        <v>1433344.55</v>
      </c>
      <c r="D14">
        <f t="shared" si="0"/>
        <v>0.86185493654237821</v>
      </c>
      <c r="E14">
        <f>IFERROR(SUMIF('financial data unpivot'!G:G,A12,'financial data unpivot'!I:I),0)</f>
        <v>2115914.0100000002</v>
      </c>
      <c r="F14">
        <f>IFERROR(SUMIF('financial data unpivot'!G:G,A12,'financial data unpivot'!K:K),0)</f>
        <v>82020</v>
      </c>
      <c r="G14">
        <f t="shared" si="1"/>
        <v>3.8763390011298235E-2</v>
      </c>
    </row>
    <row r="15" spans="1:7" x14ac:dyDescent="0.2">
      <c r="A15" s="5">
        <v>45231</v>
      </c>
      <c r="B15">
        <f>IFERROR(SUMIF('financial data unpivot'!G:G,A14,'financial data unpivot'!I:I),0)</f>
        <v>1075209.97</v>
      </c>
      <c r="C15">
        <f>IFERROR(SUMIF('financial data unpivot'!G:G,A14,'financial data unpivot'!J:J),0)</f>
        <v>719019</v>
      </c>
      <c r="D15">
        <f t="shared" si="0"/>
        <v>0.66872426787485983</v>
      </c>
      <c r="E15">
        <f>IFERROR(SUMIF('financial data unpivot'!G:G,A13,'financial data unpivot'!I:I),0)</f>
        <v>1663092.58</v>
      </c>
      <c r="F15">
        <f>IFERROR(SUMIF('financial data unpivot'!G:G,A13,'financial data unpivot'!K:K),0)</f>
        <v>0</v>
      </c>
      <c r="G15">
        <f t="shared" si="1"/>
        <v>0</v>
      </c>
    </row>
    <row r="16" spans="1:7" x14ac:dyDescent="0.2">
      <c r="A16" s="5">
        <v>45261</v>
      </c>
      <c r="B16">
        <f>IFERROR(SUMIF('financial data unpivot'!G:G,A15,'financial data unpivot'!I:I),0)</f>
        <v>1119808.06</v>
      </c>
      <c r="C16">
        <f>IFERROR(SUMIF('financial data unpivot'!G:G,A15,'financial data unpivot'!J:J),0)</f>
        <v>227292.52000000002</v>
      </c>
      <c r="D16">
        <f t="shared" si="0"/>
        <v>0.20297453476089466</v>
      </c>
      <c r="E16">
        <f>IFERROR(SUMIF('financial data unpivot'!G:G,A14,'financial data unpivot'!I:I),0)</f>
        <v>1075209.97</v>
      </c>
      <c r="F16">
        <f>IFERROR(SUMIF('financial data unpivot'!G:G,A14,'financial data unpivot'!K:K),0)</f>
        <v>155640</v>
      </c>
      <c r="G16">
        <f t="shared" si="1"/>
        <v>0.14475312203438739</v>
      </c>
    </row>
  </sheetData>
  <mergeCells count="3">
    <mergeCell ref="A1:A2"/>
    <mergeCell ref="B1:D1"/>
    <mergeCell ref="E1:G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2"/>
  <sheetViews>
    <sheetView workbookViewId="0">
      <selection activeCell="G32" sqref="G32"/>
    </sheetView>
  </sheetViews>
  <sheetFormatPr defaultColWidth="12.5703125" defaultRowHeight="15.75" customHeight="1" x14ac:dyDescent="0.2"/>
  <cols>
    <col min="1" max="1" width="30.7109375" customWidth="1"/>
    <col min="2" max="2" width="15.140625" customWidth="1"/>
    <col min="3" max="3" width="16.7109375" customWidth="1"/>
    <col min="5" max="5" width="14.5703125" customWidth="1"/>
    <col min="6" max="6" width="16.140625" customWidth="1"/>
  </cols>
  <sheetData>
    <row r="1" spans="1:7" x14ac:dyDescent="0.2">
      <c r="A1" s="16" t="s">
        <v>60</v>
      </c>
      <c r="B1" s="18" t="s">
        <v>55</v>
      </c>
      <c r="C1" s="19"/>
      <c r="D1" s="20"/>
      <c r="E1" s="18" t="s">
        <v>56</v>
      </c>
      <c r="F1" s="19"/>
      <c r="G1" s="20"/>
    </row>
    <row r="2" spans="1:7" x14ac:dyDescent="0.2">
      <c r="A2" s="17"/>
      <c r="B2" s="4" t="s">
        <v>57</v>
      </c>
      <c r="C2" s="4" t="s">
        <v>58</v>
      </c>
      <c r="D2" s="4" t="s">
        <v>59</v>
      </c>
      <c r="E2" s="4" t="s">
        <v>57</v>
      </c>
      <c r="F2" s="4" t="s">
        <v>58</v>
      </c>
      <c r="G2" s="4" t="s">
        <v>59</v>
      </c>
    </row>
    <row r="3" spans="1:7" x14ac:dyDescent="0.2">
      <c r="A3" s="1" t="s">
        <v>4</v>
      </c>
      <c r="B3">
        <f>IFERROR(SUMIF('financial data unpivot'!C:C,'Менеджер за год'!A3,'financial data unpivot'!I:I),0)</f>
        <v>8380223.3899999997</v>
      </c>
      <c r="C3">
        <f>IFERROR(SUMIF('financial data unpivot'!C:C,'Менеджер за год'!A3,'financial data unpivot'!J:J),0)</f>
        <v>3781646.52</v>
      </c>
      <c r="D3">
        <f>IFERROR(C3/B3,0)</f>
        <v>0.45125843835053187</v>
      </c>
      <c r="E3">
        <f>IFERROR(SUMIF('financial data unpivot'!C:C,'Менеджер за год'!A3,'financial data unpivot'!I:I),0)</f>
        <v>8380223.3899999997</v>
      </c>
      <c r="F3">
        <f>IFERROR(SUMIF('financial data unpivot'!C:C,'Менеджер за год'!A3,'financial data unpivot'!K:K),0)</f>
        <v>335835</v>
      </c>
      <c r="G3">
        <f>IFERROR(F3/E3,0)</f>
        <v>4.0074707364095699E-2</v>
      </c>
    </row>
    <row r="4" spans="1:7" x14ac:dyDescent="0.2">
      <c r="A4" s="1" t="s">
        <v>5</v>
      </c>
      <c r="B4">
        <f>IFERROR(SUMIF('financial data unpivot'!C:C,'Менеджер за год'!A4,'financial data unpivot'!I:I),0)</f>
        <v>1645180.1800000002</v>
      </c>
      <c r="C4">
        <f>IFERROR(SUMIF('financial data unpivot'!C:C,'Менеджер за год'!A4,'financial data unpivot'!J:J),0)</f>
        <v>1215589.75</v>
      </c>
      <c r="D4">
        <f t="shared" ref="D4:D12" si="0">IFERROR(C4/B4,0)</f>
        <v>0.73887940347056691</v>
      </c>
      <c r="E4">
        <f>IFERROR(SUMIF('financial data unpivot'!C:C,'Менеджер за год'!A4,'financial data unpivot'!I:I),0)</f>
        <v>1645180.1800000002</v>
      </c>
      <c r="F4">
        <f>IFERROR(SUMIF('financial data unpivot'!C:C,'Менеджер за год'!A4,'financial data unpivot'!K:K),0)</f>
        <v>0</v>
      </c>
      <c r="G4">
        <f t="shared" ref="G4:G12" si="1">IFERROR(F4/E4,0)</f>
        <v>0</v>
      </c>
    </row>
    <row r="5" spans="1:7" x14ac:dyDescent="0.2">
      <c r="A5" s="1" t="s">
        <v>6</v>
      </c>
      <c r="B5">
        <f>IFERROR(SUMIF('financial data unpivot'!C:C,'Менеджер за год'!A5,'financial data unpivot'!I:I),0)</f>
        <v>4523555.0199999996</v>
      </c>
      <c r="C5">
        <f>IFERROR(SUMIF('financial data unpivot'!C:C,'Менеджер за год'!A5,'financial data unpivot'!J:J),0)</f>
        <v>1908950.42</v>
      </c>
      <c r="D5">
        <f t="shared" si="0"/>
        <v>0.42200225520855944</v>
      </c>
      <c r="E5">
        <f>IFERROR(SUMIF('financial data unpivot'!C:C,'Менеджер за год'!A5,'financial data unpivot'!I:I),0)</f>
        <v>4523555.0199999996</v>
      </c>
      <c r="F5">
        <f>IFERROR(SUMIF('financial data unpivot'!C:C,'Менеджер за год'!A5,'financial data unpivot'!K:K),0)</f>
        <v>46995</v>
      </c>
      <c r="G5">
        <f t="shared" si="1"/>
        <v>1.038895289041936E-2</v>
      </c>
    </row>
    <row r="6" spans="1:7" x14ac:dyDescent="0.2">
      <c r="A6" s="1" t="s">
        <v>7</v>
      </c>
      <c r="B6">
        <f>IFERROR(SUMIF('financial data unpivot'!C:C,'Менеджер за год'!A6,'financial data unpivot'!I:I),0)</f>
        <v>3427787.91</v>
      </c>
      <c r="C6">
        <f>IFERROR(SUMIF('financial data unpivot'!C:C,'Менеджер за год'!A6,'financial data unpivot'!J:J),0)</f>
        <v>579854.30000000005</v>
      </c>
      <c r="D6">
        <f t="shared" si="0"/>
        <v>0.16916282898027959</v>
      </c>
      <c r="E6">
        <f>IFERROR(SUMIF('financial data unpivot'!C:C,'Менеджер за год'!A6,'financial data unpivot'!I:I),0)</f>
        <v>3427787.91</v>
      </c>
      <c r="F6">
        <f>IFERROR(SUMIF('financial data unpivot'!C:C,'Менеджер за год'!A6,'financial data unpivot'!K:K),0)</f>
        <v>112012.5</v>
      </c>
      <c r="G6">
        <f t="shared" si="1"/>
        <v>3.2677780230574417E-2</v>
      </c>
    </row>
    <row r="7" spans="1:7" x14ac:dyDescent="0.2">
      <c r="A7" s="1" t="s">
        <v>8</v>
      </c>
      <c r="B7">
        <f>IFERROR(SUMIF('financial data unpivot'!C:C,'Менеджер за год'!A7,'financial data unpivot'!I:I),0)</f>
        <v>3973343.6799999997</v>
      </c>
      <c r="C7">
        <f>IFERROR(SUMIF('financial data unpivot'!C:C,'Менеджер за год'!A7,'financial data unpivot'!J:J),0)</f>
        <v>1830067.3</v>
      </c>
      <c r="D7">
        <f t="shared" si="0"/>
        <v>0.46058620833926961</v>
      </c>
      <c r="E7">
        <f>IFERROR(SUMIF('financial data unpivot'!C:C,'Менеджер за год'!A7,'financial data unpivot'!I:I),0)</f>
        <v>3973343.6799999997</v>
      </c>
      <c r="F7">
        <f>IFERROR(SUMIF('financial data unpivot'!C:C,'Менеджер за год'!A7,'financial data unpivot'!K:K),0)</f>
        <v>85400</v>
      </c>
      <c r="G7">
        <f t="shared" si="1"/>
        <v>2.1493232621649282E-2</v>
      </c>
    </row>
    <row r="8" spans="1:7" x14ac:dyDescent="0.2">
      <c r="A8" s="1" t="s">
        <v>10</v>
      </c>
      <c r="B8">
        <f>IFERROR(SUMIF('financial data unpivot'!C:C,'Менеджер за год'!A8,'financial data unpivot'!I:I),0)</f>
        <v>3454191.64</v>
      </c>
      <c r="C8">
        <f>IFERROR(SUMIF('financial data unpivot'!C:C,'Менеджер за год'!A8,'financial data unpivot'!J:J),0)</f>
        <v>2139438.2000000002</v>
      </c>
      <c r="D8">
        <f t="shared" si="0"/>
        <v>0.619374494230436</v>
      </c>
      <c r="E8">
        <f>IFERROR(SUMIF('financial data unpivot'!C:C,'Менеджер за год'!A8,'financial data unpivot'!I:I),0)</f>
        <v>3454191.64</v>
      </c>
      <c r="F8">
        <f>IFERROR(SUMIF('financial data unpivot'!C:C,'Менеджер за год'!A8,'financial data unpivot'!K:K),0)</f>
        <v>329160</v>
      </c>
      <c r="G8">
        <f t="shared" si="1"/>
        <v>9.5292917795377435E-2</v>
      </c>
    </row>
    <row r="9" spans="1:7" x14ac:dyDescent="0.2">
      <c r="A9" s="1" t="s">
        <v>11</v>
      </c>
      <c r="B9">
        <f>IFERROR(SUMIF('financial data unpivot'!C:C,'Менеджер за год'!A9,'financial data unpivot'!I:I),0)</f>
        <v>1307609.4500000002</v>
      </c>
      <c r="C9">
        <f>IFERROR(SUMIF('financial data unpivot'!C:C,'Менеджер за год'!A9,'financial data unpivot'!J:J),0)</f>
        <v>541800.55000000005</v>
      </c>
      <c r="D9">
        <f t="shared" si="0"/>
        <v>0.41434432123444809</v>
      </c>
      <c r="E9">
        <f>IFERROR(SUMIF('financial data unpivot'!C:C,'Менеджер за год'!A9,'financial data unpivot'!I:I),0)</f>
        <v>1307609.4500000002</v>
      </c>
      <c r="F9">
        <f>IFERROR(SUMIF('financial data unpivot'!C:C,'Менеджер за год'!A9,'financial data unpivot'!K:K),0)</f>
        <v>117124.08</v>
      </c>
      <c r="G9">
        <f t="shared" si="1"/>
        <v>8.95711483272012E-2</v>
      </c>
    </row>
    <row r="10" spans="1:7" x14ac:dyDescent="0.2">
      <c r="A10" s="1" t="s">
        <v>24</v>
      </c>
      <c r="B10">
        <f>IFERROR(SUMIF('financial data unpivot'!C:C,'Менеджер за год'!A10,'financial data unpivot'!I:I),0)</f>
        <v>98492</v>
      </c>
      <c r="C10">
        <f>IFERROR(SUMIF('financial data unpivot'!C:C,'Менеджер за год'!A10,'financial data unpivot'!J:J),0)</f>
        <v>109442.52</v>
      </c>
      <c r="D10">
        <f t="shared" si="0"/>
        <v>1.1111818218738578</v>
      </c>
      <c r="E10">
        <f>IFERROR(SUMIF('financial data unpivot'!C:C,'Менеджер за год'!A10,'financial data unpivot'!I:I),0)</f>
        <v>98492</v>
      </c>
      <c r="F10">
        <f>IFERROR(SUMIF('financial data unpivot'!C:C,'Менеджер за год'!A10,'financial data unpivot'!K:K),0)</f>
        <v>0</v>
      </c>
      <c r="G10">
        <f t="shared" si="1"/>
        <v>0</v>
      </c>
    </row>
    <row r="11" spans="1:7" x14ac:dyDescent="0.2">
      <c r="A11" s="1" t="s">
        <v>26</v>
      </c>
      <c r="B11">
        <f>IFERROR(SUMIF('financial data unpivot'!C:C,'Менеджер за год'!A11,'financial data unpivot'!I:I),0)</f>
        <v>128250</v>
      </c>
      <c r="C11">
        <f>IFERROR(SUMIF('financial data unpivot'!C:C,'Менеджер за год'!A11,'financial data unpivot'!J:J),0)</f>
        <v>73050</v>
      </c>
      <c r="D11">
        <f t="shared" si="0"/>
        <v>0.56959064327485376</v>
      </c>
      <c r="E11">
        <f>IFERROR(SUMIF('financial data unpivot'!C:C,'Менеджер за год'!A11,'financial data unpivot'!I:I),0)</f>
        <v>128250</v>
      </c>
      <c r="F11">
        <f>IFERROR(SUMIF('financial data unpivot'!C:C,'Менеджер за год'!A11,'financial data unpivot'!K:K),0)</f>
        <v>0</v>
      </c>
      <c r="G11">
        <f t="shared" si="1"/>
        <v>0</v>
      </c>
    </row>
    <row r="12" spans="1:7" x14ac:dyDescent="0.2">
      <c r="A12" s="1" t="s">
        <v>19</v>
      </c>
      <c r="B12">
        <f>IFERROR(SUMIF('financial data unpivot'!C:C,'Менеджер за год'!A12,'financial data unpivot'!I:I),0)</f>
        <v>0</v>
      </c>
      <c r="C12">
        <f>IFERROR(SUMIF('financial data unpivot'!C:C,'Менеджер за год'!A12,'financial data unpivot'!J:J),0)</f>
        <v>0</v>
      </c>
      <c r="D12">
        <f t="shared" si="0"/>
        <v>0</v>
      </c>
      <c r="E12">
        <f>IFERROR(SUMIF('financial data unpivot'!C:C,'Менеджер за год'!A12,'financial data unpivot'!I:I),0)</f>
        <v>0</v>
      </c>
      <c r="F12">
        <f>IFERROR(SUMIF('financial data unpivot'!C:C,'Менеджер за год'!A12,'financial data unpivot'!K:K),0)</f>
        <v>0</v>
      </c>
      <c r="G12">
        <f t="shared" si="1"/>
        <v>0</v>
      </c>
    </row>
  </sheetData>
  <mergeCells count="3">
    <mergeCell ref="A1:A2"/>
    <mergeCell ref="B1:D1"/>
    <mergeCell ref="E1:G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28"/>
  <sheetViews>
    <sheetView tabSelected="1" zoomScale="70" zoomScaleNormal="70" workbookViewId="0">
      <selection activeCell="V14" sqref="V14"/>
    </sheetView>
  </sheetViews>
  <sheetFormatPr defaultColWidth="12.5703125" defaultRowHeight="15.75" customHeight="1" x14ac:dyDescent="0.2"/>
  <cols>
    <col min="1" max="1" width="31" customWidth="1"/>
    <col min="2" max="2" width="14.7109375" customWidth="1"/>
    <col min="3" max="3" width="16.140625" customWidth="1"/>
    <col min="4" max="4" width="18.140625" customWidth="1"/>
    <col min="5" max="6" width="15.85546875" customWidth="1"/>
    <col min="7" max="7" width="15.28515625" customWidth="1"/>
    <col min="9" max="9" width="14.28515625" customWidth="1"/>
    <col min="10" max="10" width="18.85546875" customWidth="1"/>
    <col min="11" max="11" width="19.42578125" customWidth="1"/>
    <col min="12" max="12" width="19.140625" customWidth="1"/>
    <col min="13" max="13" width="16.28515625" customWidth="1"/>
    <col min="14" max="14" width="15" customWidth="1"/>
    <col min="15" max="15" width="16.7109375" customWidth="1"/>
  </cols>
  <sheetData>
    <row r="1" spans="1:15" x14ac:dyDescent="0.2">
      <c r="A1" s="18" t="s">
        <v>61</v>
      </c>
      <c r="B1" s="20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5" x14ac:dyDescent="0.2">
      <c r="A2" s="16" t="s">
        <v>60</v>
      </c>
      <c r="B2" s="23" t="s">
        <v>54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3" spans="1:15" x14ac:dyDescent="0.2">
      <c r="A3" s="17"/>
      <c r="B3" s="7">
        <v>44866</v>
      </c>
      <c r="C3" s="7">
        <v>44896</v>
      </c>
      <c r="D3" s="7">
        <v>44927</v>
      </c>
      <c r="E3" s="7">
        <v>44958</v>
      </c>
      <c r="F3" s="7">
        <v>44986</v>
      </c>
      <c r="G3" s="7">
        <v>45017</v>
      </c>
      <c r="H3" s="7">
        <v>45047</v>
      </c>
      <c r="I3" s="7">
        <v>45078</v>
      </c>
      <c r="J3" s="7">
        <v>45108</v>
      </c>
      <c r="K3" s="7">
        <v>45139</v>
      </c>
      <c r="L3" s="7">
        <v>45170</v>
      </c>
      <c r="M3" s="7">
        <v>45200</v>
      </c>
      <c r="N3" s="7">
        <v>45231</v>
      </c>
      <c r="O3" s="7">
        <v>45261</v>
      </c>
    </row>
    <row r="4" spans="1:15" x14ac:dyDescent="0.2">
      <c r="A4" s="1" t="s">
        <v>4</v>
      </c>
      <c r="B4" s="14"/>
      <c r="C4" s="15"/>
      <c r="D4">
        <f>IFERROR(SUMIFS('financial data unpivot'!$J:$J,'financial data unpivot'!$C:$C,'Менеджеры по месяцам'!$A4,'financial data unpivot'!$G:$G,'Менеджеры по месяцам'!C$3)/SUMIFS('financial data unpivot'!$I:$I,'financial data unpivot'!$C:$C,'Менеджеры по месяцам'!$A4,'financial data unpivot'!$G:$G,'Менеджеры по месяцам'!C$3),0)</f>
        <v>0.59070738588884797</v>
      </c>
      <c r="E4">
        <f>IFERROR(SUMIFS('financial data unpivot'!$J:$J,'financial data unpivot'!$C:$C,'Менеджеры по месяцам'!$A4,'financial data unpivot'!$G:$G,'Менеджеры по месяцам'!D$3)/SUMIFS('financial data unpivot'!$I:$I,'financial data unpivot'!$C:$C,'Менеджеры по месяцам'!$A4,'financial data unpivot'!$G:$G,'Менеджеры по месяцам'!D$3),0)</f>
        <v>0</v>
      </c>
      <c r="F4">
        <f>IFERROR(SUMIFS('financial data unpivot'!$J:$J,'financial data unpivot'!$C:$C,'Менеджеры по месяцам'!$A4,'financial data unpivot'!$G:$G,'Менеджеры по месяцам'!E$3)/SUMIFS('financial data unpivot'!$I:$I,'financial data unpivot'!$C:$C,'Менеджеры по месяцам'!$A4,'financial data unpivot'!$G:$G,'Менеджеры по месяцам'!E$3),0)</f>
        <v>0.54461462989207454</v>
      </c>
      <c r="G4">
        <f>IFERROR(SUMIFS('financial data unpivot'!$J:$J,'financial data unpivot'!$C:$C,'Менеджеры по месяцам'!$A4,'financial data unpivot'!$G:$G,'Менеджеры по месяцам'!F$3)/SUMIFS('financial data unpivot'!$I:$I,'financial data unpivot'!$C:$C,'Менеджеры по месяцам'!$A4,'financial data unpivot'!$G:$G,'Менеджеры по месяцам'!F$3),0)</f>
        <v>0.49563586037083296</v>
      </c>
      <c r="H4">
        <f>IFERROR(SUMIFS('financial data unpivot'!$J:$J,'financial data unpivot'!$C:$C,'Менеджеры по месяцам'!$A4,'financial data unpivot'!$G:$G,'Менеджеры по месяцам'!G$3)/SUMIFS('financial data unpivot'!$I:$I,'financial data unpivot'!$C:$C,'Менеджеры по месяцам'!$A4,'financial data unpivot'!$G:$G,'Менеджеры по месяцам'!G$3),0)</f>
        <v>0</v>
      </c>
      <c r="I4">
        <f>IFERROR(SUMIFS('financial data unpivot'!$J:$J,'financial data unpivot'!$C:$C,'Менеджеры по месяцам'!$A4,'financial data unpivot'!$G:$G,'Менеджеры по месяцам'!H$3)/SUMIFS('financial data unpivot'!$I:$I,'financial data unpivot'!$C:$C,'Менеджеры по месяцам'!$A4,'financial data unpivot'!$G:$G,'Менеджеры по месяцам'!H$3),0)</f>
        <v>0</v>
      </c>
      <c r="J4">
        <f>IFERROR(SUMIFS('financial data unpivot'!$J:$J,'financial data unpivot'!$C:$C,'Менеджеры по месяцам'!$A4,'financial data unpivot'!$G:$G,'Менеджеры по месяцам'!I$3)/SUMIFS('financial data unpivot'!$I:$I,'financial data unpivot'!$C:$C,'Менеджеры по месяцам'!$A4,'financial data unpivot'!$G:$G,'Менеджеры по месяцам'!I$3),0)</f>
        <v>0.96969919359016421</v>
      </c>
      <c r="K4">
        <f>IFERROR(SUMIFS('financial data unpivot'!$J:$J,'financial data unpivot'!$C:$C,'Менеджеры по месяцам'!$A4,'financial data unpivot'!$G:$G,'Менеджеры по месяцам'!J$3)/SUMIFS('financial data unpivot'!$I:$I,'financial data unpivot'!$C:$C,'Менеджеры по месяцам'!$A4,'financial data unpivot'!$G:$G,'Менеджеры по месяцам'!J$3),0)</f>
        <v>0.29702970297029702</v>
      </c>
      <c r="L4">
        <f>IFERROR(SUMIFS('financial data unpivot'!$J:$J,'financial data unpivot'!$C:$C,'Менеджеры по месяцам'!$A4,'financial data unpivot'!$G:$G,'Менеджеры по месяцам'!K$3)/SUMIFS('financial data unpivot'!$I:$I,'financial data unpivot'!$C:$C,'Менеджеры по месяцам'!$A4,'financial data unpivot'!$G:$G,'Менеджеры по месяцам'!K$3),0)</f>
        <v>0.16086746099421539</v>
      </c>
      <c r="M4">
        <f>IFERROR(SUMIFS('financial data unpivot'!$J:$J,'financial data unpivot'!$C:$C,'Менеджеры по месяцам'!$A4,'financial data unpivot'!$G:$G,'Менеджеры по месяцам'!L$3)/SUMIFS('financial data unpivot'!$I:$I,'financial data unpivot'!$C:$C,'Менеджеры по месяцам'!$A4,'financial data unpivot'!$G:$G,'Менеджеры по месяцам'!L$3),0)</f>
        <v>0</v>
      </c>
      <c r="N4">
        <f>IFERROR(SUMIFS('financial data unpivot'!$J:$J,'financial data unpivot'!$C:$C,'Менеджеры по месяцам'!$A4,'financial data unpivot'!$G:$G,'Менеджеры по месяцам'!M$3)/SUMIFS('financial data unpivot'!$I:$I,'financial data unpivot'!$C:$C,'Менеджеры по месяцам'!$A4,'financial data unpivot'!$G:$G,'Менеджеры по месяцам'!M$3),0)</f>
        <v>0.72371011991123357</v>
      </c>
      <c r="O4">
        <f>IFERROR(SUMIFS('financial data unpivot'!$J:$J,'financial data unpivot'!$C:$C,'Менеджеры по месяцам'!$A4,'financial data unpivot'!$G:$G,'Менеджеры по месяцам'!N$3)/SUMIFS('financial data unpivot'!$I:$I,'financial data unpivot'!$C:$C,'Менеджеры по месяцам'!$A4,'financial data unpivot'!$G:$G,'Менеджеры по месяцам'!N$3),0)</f>
        <v>0</v>
      </c>
    </row>
    <row r="5" spans="1:15" x14ac:dyDescent="0.2">
      <c r="A5" s="1" t="s">
        <v>5</v>
      </c>
      <c r="B5" s="14"/>
      <c r="C5" s="15"/>
      <c r="D5">
        <f>IFERROR(SUMIFS('financial data unpivot'!$J:$J,'financial data unpivot'!$C:$C,'Менеджеры по месяцам'!$A5,'financial data unpivot'!$G:$G,'Менеджеры по месяцам'!C$3)/SUMIFS('financial data unpivot'!$I:$I,'financial data unpivot'!$C:$C,'Менеджеры по месяцам'!$A5,'financial data unpivot'!$G:$G,'Менеджеры по месяцам'!C$3),0)</f>
        <v>0.36636478208622764</v>
      </c>
      <c r="E5">
        <f>IFERROR(SUMIFS('financial data unpivot'!$J:$J,'financial data unpivot'!$C:$C,'Менеджеры по месяцам'!$A5,'financial data unpivot'!$G:$G,'Менеджеры по месяцам'!D$3)/SUMIFS('financial data unpivot'!$I:$I,'financial data unpivot'!$C:$C,'Менеджеры по месяцам'!$A5,'financial data unpivot'!$G:$G,'Менеджеры по месяцам'!D$3),0)</f>
        <v>0</v>
      </c>
      <c r="F5">
        <f>IFERROR(SUMIFS('financial data unpivot'!$J:$J,'financial data unpivot'!$C:$C,'Менеджеры по месяцам'!$A5,'financial data unpivot'!$G:$G,'Менеджеры по месяцам'!E$3)/SUMIFS('financial data unpivot'!$I:$I,'financial data unpivot'!$C:$C,'Менеджеры по месяцам'!$A5,'financial data unpivot'!$G:$G,'Менеджеры по месяцам'!E$3),0)</f>
        <v>0</v>
      </c>
      <c r="G5">
        <f>IFERROR(SUMIFS('financial data unpivot'!$J:$J,'financial data unpivot'!$C:$C,'Менеджеры по месяцам'!$A5,'financial data unpivot'!$G:$G,'Менеджеры по месяцам'!F$3)/SUMIFS('financial data unpivot'!$I:$I,'financial data unpivot'!$C:$C,'Менеджеры по месяцам'!$A5,'financial data unpivot'!$G:$G,'Менеджеры по месяцам'!F$3),0)</f>
        <v>0</v>
      </c>
      <c r="H5">
        <f>IFERROR(SUMIFS('financial data unpivot'!$J:$J,'financial data unpivot'!$C:$C,'Менеджеры по месяцам'!$A5,'financial data unpivot'!$G:$G,'Менеджеры по месяцам'!G$3)/SUMIFS('financial data unpivot'!$I:$I,'financial data unpivot'!$C:$C,'Менеджеры по месяцам'!$A5,'financial data unpivot'!$G:$G,'Менеджеры по месяцам'!G$3),0)</f>
        <v>1.3308369178592108</v>
      </c>
      <c r="I5">
        <f>IFERROR(SUMIFS('financial data unpivot'!$J:$J,'financial data unpivot'!$C:$C,'Менеджеры по месяцам'!$A5,'financial data unpivot'!$G:$G,'Менеджеры по месяцам'!H$3)/SUMIFS('financial data unpivot'!$I:$I,'financial data unpivot'!$C:$C,'Менеджеры по месяцам'!$A5,'financial data unpivot'!$G:$G,'Менеджеры по месяцам'!H$3),0)</f>
        <v>0</v>
      </c>
      <c r="J5">
        <f>IFERROR(SUMIFS('financial data unpivot'!$J:$J,'financial data unpivot'!$C:$C,'Менеджеры по месяцам'!$A5,'financial data unpivot'!$G:$G,'Менеджеры по месяцам'!I$3)/SUMIFS('financial data unpivot'!$I:$I,'financial data unpivot'!$C:$C,'Менеджеры по месяцам'!$A5,'financial data unpivot'!$G:$G,'Менеджеры по месяцам'!I$3),0)</f>
        <v>1.1975246274311695</v>
      </c>
      <c r="K5">
        <f>IFERROR(SUMIFS('financial data unpivot'!$J:$J,'financial data unpivot'!$C:$C,'Менеджеры по месяцам'!$A5,'financial data unpivot'!$G:$G,'Менеджеры по месяцам'!J$3)/SUMIFS('financial data unpivot'!$I:$I,'financial data unpivot'!$C:$C,'Менеджеры по месяцам'!$A5,'financial data unpivot'!$G:$G,'Менеджеры по месяцам'!J$3),0)</f>
        <v>0</v>
      </c>
      <c r="L5">
        <f>IFERROR(SUMIFS('financial data unpivot'!$J:$J,'financial data unpivot'!$C:$C,'Менеджеры по месяцам'!$A5,'financial data unpivot'!$G:$G,'Менеджеры по месяцам'!K$3)/SUMIFS('financial data unpivot'!$I:$I,'financial data unpivot'!$C:$C,'Менеджеры по месяцам'!$A5,'financial data unpivot'!$G:$G,'Менеджеры по месяцам'!K$3),0)</f>
        <v>0</v>
      </c>
      <c r="M5">
        <f>IFERROR(SUMIFS('financial data unpivot'!$J:$J,'financial data unpivot'!$C:$C,'Менеджеры по месяцам'!$A5,'financial data unpivot'!$G:$G,'Менеджеры по месяцам'!L$3)/SUMIFS('financial data unpivot'!$I:$I,'financial data unpivot'!$C:$C,'Менеджеры по месяцам'!$A5,'financial data unpivot'!$G:$G,'Менеджеры по месяцам'!L$3),0)</f>
        <v>0</v>
      </c>
      <c r="N5">
        <f>IFERROR(SUMIFS('financial data unpivot'!$J:$J,'financial data unpivot'!$C:$C,'Менеджеры по месяцам'!$A5,'financial data unpivot'!$G:$G,'Менеджеры по месяцам'!M$3)/SUMIFS('financial data unpivot'!$I:$I,'financial data unpivot'!$C:$C,'Менеджеры по месяцам'!$A5,'financial data unpivot'!$G:$G,'Менеджеры по месяцам'!M$3),0)</f>
        <v>0</v>
      </c>
      <c r="O5">
        <f>IFERROR(SUMIFS('financial data unpivot'!$J:$J,'financial data unpivot'!$C:$C,'Менеджеры по месяцам'!$A5,'financial data unpivot'!$G:$G,'Менеджеры по месяцам'!N$3)/SUMIFS('financial data unpivot'!$I:$I,'financial data unpivot'!$C:$C,'Менеджеры по месяцам'!$A5,'financial data unpivot'!$G:$G,'Менеджеры по месяцам'!N$3),0)</f>
        <v>0</v>
      </c>
    </row>
    <row r="6" spans="1:15" x14ac:dyDescent="0.2">
      <c r="A6" s="1" t="s">
        <v>6</v>
      </c>
      <c r="B6" s="14"/>
      <c r="C6" s="15"/>
      <c r="D6">
        <f>IFERROR(SUMIFS('financial data unpivot'!$J:$J,'financial data unpivot'!$C:$C,'Менеджеры по месяцам'!$A6,'financial data unpivot'!$G:$G,'Менеджеры по месяцам'!C$3)/SUMIFS('financial data unpivot'!$I:$I,'financial data unpivot'!$C:$C,'Менеджеры по месяцам'!$A6,'financial data unpivot'!$G:$G,'Менеджеры по месяцам'!C$3),0)</f>
        <v>0.51441027749665658</v>
      </c>
      <c r="E6">
        <f>IFERROR(SUMIFS('financial data unpivot'!$J:$J,'financial data unpivot'!$C:$C,'Менеджеры по месяцам'!$A6,'financial data unpivot'!$G:$G,'Менеджеры по месяцам'!D$3)/SUMIFS('financial data unpivot'!$I:$I,'financial data unpivot'!$C:$C,'Менеджеры по месяцам'!$A6,'financial data unpivot'!$G:$G,'Менеджеры по месяцам'!D$3),0)</f>
        <v>0.35432008029067913</v>
      </c>
      <c r="F6">
        <f>IFERROR(SUMIFS('financial data unpivot'!$J:$J,'financial data unpivot'!$C:$C,'Менеджеры по месяцам'!$A6,'financial data unpivot'!$G:$G,'Менеджеры по месяцам'!E$3)/SUMIFS('financial data unpivot'!$I:$I,'financial data unpivot'!$C:$C,'Менеджеры по месяцам'!$A6,'financial data unpivot'!$G:$G,'Менеджеры по месяцам'!E$3),0)</f>
        <v>1.1961796817193926</v>
      </c>
      <c r="G6">
        <f>IFERROR(SUMIFS('financial data unpivot'!$J:$J,'financial data unpivot'!$C:$C,'Менеджеры по месяцам'!$A6,'financial data unpivot'!$G:$G,'Менеджеры по месяцам'!F$3)/SUMIFS('financial data unpivot'!$I:$I,'financial data unpivot'!$C:$C,'Менеджеры по месяцам'!$A6,'financial data unpivot'!$G:$G,'Менеджеры по месяцам'!F$3),0)</f>
        <v>0.86062179110884185</v>
      </c>
      <c r="H6">
        <f>IFERROR(SUMIFS('financial data unpivot'!$J:$J,'financial data unpivot'!$C:$C,'Менеджеры по месяцам'!$A6,'financial data unpivot'!$G:$G,'Менеджеры по месяцам'!G$3)/SUMIFS('financial data unpivot'!$I:$I,'financial data unpivot'!$C:$C,'Менеджеры по месяцам'!$A6,'financial data unpivot'!$G:$G,'Менеджеры по месяцам'!G$3),0)</f>
        <v>9.6547642533043987E-2</v>
      </c>
      <c r="I6">
        <f>IFERROR(SUMIFS('financial data unpivot'!$J:$J,'financial data unpivot'!$C:$C,'Менеджеры по месяцам'!$A6,'financial data unpivot'!$G:$G,'Менеджеры по месяцам'!H$3)/SUMIFS('financial data unpivot'!$I:$I,'financial data unpivot'!$C:$C,'Менеджеры по месяцам'!$A6,'financial data unpivot'!$G:$G,'Менеджеры по месяцам'!H$3),0)</f>
        <v>0</v>
      </c>
      <c r="J6">
        <f>IFERROR(SUMIFS('financial data unpivot'!$J:$J,'financial data unpivot'!$C:$C,'Менеджеры по месяцам'!$A6,'financial data unpivot'!$G:$G,'Менеджеры по месяцам'!I$3)/SUMIFS('financial data unpivot'!$I:$I,'financial data unpivot'!$C:$C,'Менеджеры по месяцам'!$A6,'financial data unpivot'!$G:$G,'Менеджеры по месяцам'!I$3),0)</f>
        <v>0.105650386324003</v>
      </c>
      <c r="K6">
        <f>IFERROR(SUMIFS('financial data unpivot'!$J:$J,'financial data unpivot'!$C:$C,'Менеджеры по месяцам'!$A6,'financial data unpivot'!$G:$G,'Менеджеры по месяцам'!J$3)/SUMIFS('financial data unpivot'!$I:$I,'financial data unpivot'!$C:$C,'Менеджеры по месяцам'!$A6,'financial data unpivot'!$G:$G,'Менеджеры по месяцам'!J$3),0)</f>
        <v>0</v>
      </c>
      <c r="L6">
        <f>IFERROR(SUMIFS('financial data unpivot'!$J:$J,'financial data unpivot'!$C:$C,'Менеджеры по месяцам'!$A6,'financial data unpivot'!$G:$G,'Менеджеры по месяцам'!K$3)/SUMIFS('financial data unpivot'!$I:$I,'financial data unpivot'!$C:$C,'Менеджеры по месяцам'!$A6,'financial data unpivot'!$G:$G,'Менеджеры по месяцам'!K$3),0)</f>
        <v>0.63496223303508448</v>
      </c>
      <c r="M6">
        <f>IFERROR(SUMIFS('financial data unpivot'!$J:$J,'financial data unpivot'!$C:$C,'Менеджеры по месяцам'!$A6,'financial data unpivot'!$G:$G,'Менеджеры по месяцам'!L$3)/SUMIFS('financial data unpivot'!$I:$I,'financial data unpivot'!$C:$C,'Менеджеры по месяцам'!$A6,'financial data unpivot'!$G:$G,'Менеджеры по месяцам'!L$3),0)</f>
        <v>0.68910252458878962</v>
      </c>
      <c r="N6">
        <f>IFERROR(SUMIFS('financial data unpivot'!$J:$J,'financial data unpivot'!$C:$C,'Менеджеры по месяцам'!$A6,'financial data unpivot'!$G:$G,'Менеджеры по месяцам'!M$3)/SUMIFS('financial data unpivot'!$I:$I,'financial data unpivot'!$C:$C,'Менеджеры по месяцам'!$A6,'financial data unpivot'!$G:$G,'Менеджеры по месяцам'!M$3),0)</f>
        <v>0.27059053578412201</v>
      </c>
      <c r="O6">
        <f>IFERROR(SUMIFS('financial data unpivot'!$J:$J,'financial data unpivot'!$C:$C,'Менеджеры по месяцам'!$A6,'financial data unpivot'!$G:$G,'Менеджеры по месяцам'!N$3)/SUMIFS('financial data unpivot'!$I:$I,'financial data unpivot'!$C:$C,'Менеджеры по месяцам'!$A6,'financial data unpivot'!$G:$G,'Менеджеры по месяцам'!N$3),0)</f>
        <v>0.14701558365186709</v>
      </c>
    </row>
    <row r="7" spans="1:15" x14ac:dyDescent="0.2">
      <c r="A7" s="1" t="s">
        <v>7</v>
      </c>
      <c r="B7" s="14"/>
      <c r="C7" s="15"/>
      <c r="D7">
        <f>IFERROR(SUMIFS('financial data unpivot'!$J:$J,'financial data unpivot'!$C:$C,'Менеджеры по месяцам'!$A7,'financial data unpivot'!$G:$G,'Менеджеры по месяцам'!C$3)/SUMIFS('financial data unpivot'!$I:$I,'financial data unpivot'!$C:$C,'Менеджеры по месяцам'!$A7,'financial data unpivot'!$G:$G,'Менеджеры по месяцам'!C$3),0)</f>
        <v>0.17610818917684892</v>
      </c>
      <c r="E7">
        <f>IFERROR(SUMIFS('financial data unpivot'!$J:$J,'financial data unpivot'!$C:$C,'Менеджеры по месяцам'!$A7,'financial data unpivot'!$G:$G,'Менеджеры по месяцам'!D$3)/SUMIFS('financial data unpivot'!$I:$I,'financial data unpivot'!$C:$C,'Менеджеры по месяцам'!$A7,'financial data unpivot'!$G:$G,'Менеджеры по месяцам'!D$3),0)</f>
        <v>0</v>
      </c>
      <c r="F7">
        <f>IFERROR(SUMIFS('financial data unpivot'!$J:$J,'financial data unpivot'!$C:$C,'Менеджеры по месяцам'!$A7,'financial data unpivot'!$G:$G,'Менеджеры по месяцам'!E$3)/SUMIFS('financial data unpivot'!$I:$I,'financial data unpivot'!$C:$C,'Менеджеры по месяцам'!$A7,'financial data unpivot'!$G:$G,'Менеджеры по месяцам'!E$3),0)</f>
        <v>0</v>
      </c>
      <c r="G7">
        <f>IFERROR(SUMIFS('financial data unpivot'!$J:$J,'financial data unpivot'!$C:$C,'Менеджеры по месяцам'!$A7,'financial data unpivot'!$G:$G,'Менеджеры по месяцам'!F$3)/SUMIFS('financial data unpivot'!$I:$I,'financial data unpivot'!$C:$C,'Менеджеры по месяцам'!$A7,'financial data unpivot'!$G:$G,'Менеджеры по месяцам'!F$3),0)</f>
        <v>0.1208165071637993</v>
      </c>
      <c r="H7">
        <f>IFERROR(SUMIFS('financial data unpivot'!$J:$J,'financial data unpivot'!$C:$C,'Менеджеры по месяцам'!$A7,'financial data unpivot'!$G:$G,'Менеджеры по месяцам'!G$3)/SUMIFS('financial data unpivot'!$I:$I,'financial data unpivot'!$C:$C,'Менеджеры по месяцам'!$A7,'financial data unpivot'!$G:$G,'Менеджеры по месяцам'!G$3),0)</f>
        <v>0</v>
      </c>
      <c r="I7">
        <f>IFERROR(SUMIFS('financial data unpivot'!$J:$J,'financial data unpivot'!$C:$C,'Менеджеры по месяцам'!$A7,'financial data unpivot'!$G:$G,'Менеджеры по месяцам'!H$3)/SUMIFS('financial data unpivot'!$I:$I,'financial data unpivot'!$C:$C,'Менеджеры по месяцам'!$A7,'financial data unpivot'!$G:$G,'Менеджеры по месяцам'!H$3),0)</f>
        <v>0</v>
      </c>
      <c r="J7">
        <f>IFERROR(SUMIFS('financial data unpivot'!$J:$J,'financial data unpivot'!$C:$C,'Менеджеры по месяцам'!$A7,'financial data unpivot'!$G:$G,'Менеджеры по месяцам'!I$3)/SUMIFS('financial data unpivot'!$I:$I,'financial data unpivot'!$C:$C,'Менеджеры по месяцам'!$A7,'financial data unpivot'!$G:$G,'Менеджеры по месяцам'!I$3),0)</f>
        <v>0</v>
      </c>
      <c r="K7">
        <f>IFERROR(SUMIFS('financial data unpivot'!$J:$J,'financial data unpivot'!$C:$C,'Менеджеры по месяцам'!$A7,'financial data unpivot'!$G:$G,'Менеджеры по месяцам'!J$3)/SUMIFS('financial data unpivot'!$I:$I,'financial data unpivot'!$C:$C,'Менеджеры по месяцам'!$A7,'financial data unpivot'!$G:$G,'Менеджеры по месяцам'!J$3),0)</f>
        <v>0.45119943335832657</v>
      </c>
      <c r="L7">
        <f>IFERROR(SUMIFS('financial data unpivot'!$J:$J,'financial data unpivot'!$C:$C,'Менеджеры по месяцам'!$A7,'financial data unpivot'!$G:$G,'Менеджеры по месяцам'!K$3)/SUMIFS('financial data unpivot'!$I:$I,'financial data unpivot'!$C:$C,'Менеджеры по месяцам'!$A7,'financial data unpivot'!$G:$G,'Менеджеры по месяцам'!K$3),0)</f>
        <v>1</v>
      </c>
      <c r="M7">
        <f>IFERROR(SUMIFS('financial data unpivot'!$J:$J,'financial data unpivot'!$C:$C,'Менеджеры по месяцам'!$A7,'financial data unpivot'!$G:$G,'Менеджеры по месяцам'!L$3)/SUMIFS('financial data unpivot'!$I:$I,'financial data unpivot'!$C:$C,'Менеджеры по месяцам'!$A7,'financial data unpivot'!$G:$G,'Менеджеры по месяцам'!L$3),0)</f>
        <v>0</v>
      </c>
      <c r="N7">
        <f>IFERROR(SUMIFS('financial data unpivot'!$J:$J,'financial data unpivot'!$C:$C,'Менеджеры по месяцам'!$A7,'financial data unpivot'!$G:$G,'Менеджеры по месяцам'!M$3)/SUMIFS('financial data unpivot'!$I:$I,'financial data unpivot'!$C:$C,'Менеджеры по месяцам'!$A7,'financial data unpivot'!$G:$G,'Менеджеры по месяцам'!M$3),0)</f>
        <v>0</v>
      </c>
      <c r="O7">
        <f>IFERROR(SUMIFS('financial data unpivot'!$J:$J,'financial data unpivot'!$C:$C,'Менеджеры по месяцам'!$A7,'financial data unpivot'!$G:$G,'Менеджеры по месяцам'!N$3)/SUMIFS('financial data unpivot'!$I:$I,'financial data unpivot'!$C:$C,'Менеджеры по месяцам'!$A7,'financial data unpivot'!$G:$G,'Менеджеры по месяцам'!N$3),0)</f>
        <v>0</v>
      </c>
    </row>
    <row r="8" spans="1:15" x14ac:dyDescent="0.2">
      <c r="A8" s="1" t="s">
        <v>8</v>
      </c>
      <c r="B8" s="14"/>
      <c r="C8" s="15"/>
      <c r="D8">
        <f>IFERROR(SUMIFS('financial data unpivot'!$J:$J,'financial data unpivot'!$C:$C,'Менеджеры по месяцам'!$A8,'financial data unpivot'!$G:$G,'Менеджеры по месяцам'!C$3)/SUMIFS('financial data unpivot'!$I:$I,'financial data unpivot'!$C:$C,'Менеджеры по месяцам'!$A8,'financial data unpivot'!$G:$G,'Менеджеры по месяцам'!C$3),0)</f>
        <v>0.54662580494995738</v>
      </c>
      <c r="E8">
        <f>IFERROR(SUMIFS('financial data unpivot'!$J:$J,'financial data unpivot'!$C:$C,'Менеджеры по месяцам'!$A8,'financial data unpivot'!$G:$G,'Менеджеры по месяцам'!D$3)/SUMIFS('financial data unpivot'!$I:$I,'financial data unpivot'!$C:$C,'Менеджеры по месяцам'!$A8,'financial data unpivot'!$G:$G,'Менеджеры по месяцам'!D$3),0)</f>
        <v>0</v>
      </c>
      <c r="F8">
        <f>IFERROR(SUMIFS('financial data unpivot'!$J:$J,'financial data unpivot'!$C:$C,'Менеджеры по месяцам'!$A8,'financial data unpivot'!$G:$G,'Менеджеры по месяцам'!E$3)/SUMIFS('financial data unpivot'!$I:$I,'financial data unpivot'!$C:$C,'Менеджеры по месяцам'!$A8,'financial data unpivot'!$G:$G,'Менеджеры по месяцам'!E$3),0)</f>
        <v>0.59039901379597903</v>
      </c>
      <c r="G8">
        <f>IFERROR(SUMIFS('financial data unpivot'!$J:$J,'financial data unpivot'!$C:$C,'Менеджеры по месяцам'!$A8,'financial data unpivot'!$G:$G,'Менеджеры по месяцам'!F$3)/SUMIFS('financial data unpivot'!$I:$I,'financial data unpivot'!$C:$C,'Менеджеры по месяцам'!$A8,'financial data unpivot'!$G:$G,'Менеджеры по месяцам'!F$3),0)</f>
        <v>0.14222152837405355</v>
      </c>
      <c r="H8">
        <f>IFERROR(SUMIFS('financial data unpivot'!$J:$J,'financial data unpivot'!$C:$C,'Менеджеры по месяцам'!$A8,'financial data unpivot'!$G:$G,'Менеджеры по месяцам'!G$3)/SUMIFS('financial data unpivot'!$I:$I,'financial data unpivot'!$C:$C,'Менеджеры по месяцам'!$A8,'financial data unpivot'!$G:$G,'Менеджеры по месяцам'!G$3),0)</f>
        <v>0.57048630519843491</v>
      </c>
      <c r="I8">
        <f>IFERROR(SUMIFS('financial data unpivot'!$J:$J,'financial data unpivot'!$C:$C,'Менеджеры по месяцам'!$A8,'financial data unpivot'!$G:$G,'Менеджеры по месяцам'!H$3)/SUMIFS('financial data unpivot'!$I:$I,'financial data unpivot'!$C:$C,'Менеджеры по месяцам'!$A8,'financial data unpivot'!$G:$G,'Менеджеры по месяцам'!H$3),0)</f>
        <v>0</v>
      </c>
      <c r="J8">
        <f>IFERROR(SUMIFS('financial data unpivot'!$J:$J,'financial data unpivot'!$C:$C,'Менеджеры по месяцам'!$A8,'financial data unpivot'!$G:$G,'Менеджеры по месяцам'!I$3)/SUMIFS('financial data unpivot'!$I:$I,'financial data unpivot'!$C:$C,'Менеджеры по месяцам'!$A8,'financial data unpivot'!$G:$G,'Менеджеры по месяцам'!I$3),0)</f>
        <v>9.6051892970747829E-2</v>
      </c>
      <c r="K8">
        <f>IFERROR(SUMIFS('financial data unpivot'!$J:$J,'financial data unpivot'!$C:$C,'Менеджеры по месяцам'!$A8,'financial data unpivot'!$G:$G,'Менеджеры по месяцам'!J$3)/SUMIFS('financial data unpivot'!$I:$I,'financial data unpivot'!$C:$C,'Менеджеры по месяцам'!$A8,'financial data unpivot'!$G:$G,'Менеджеры по месяцам'!J$3),0)</f>
        <v>0.55476104737898035</v>
      </c>
      <c r="L8">
        <f>IFERROR(SUMIFS('financial data unpivot'!$J:$J,'financial data unpivot'!$C:$C,'Менеджеры по месяцам'!$A8,'financial data unpivot'!$G:$G,'Менеджеры по месяцам'!K$3)/SUMIFS('financial data unpivot'!$I:$I,'financial data unpivot'!$C:$C,'Менеджеры по месяцам'!$A8,'financial data unpivot'!$G:$G,'Менеджеры по месяцам'!K$3),0)</f>
        <v>0.97722744093367497</v>
      </c>
      <c r="M8">
        <f>IFERROR(SUMIFS('financial data unpivot'!$J:$J,'financial data unpivot'!$C:$C,'Менеджеры по месяцам'!$A8,'financial data unpivot'!$G:$G,'Менеджеры по месяцам'!L$3)/SUMIFS('financial data unpivot'!$I:$I,'financial data unpivot'!$C:$C,'Менеджеры по месяцам'!$A8,'financial data unpivot'!$G:$G,'Менеджеры по месяцам'!L$3),0)</f>
        <v>0.72991569536478229</v>
      </c>
      <c r="N8">
        <f>IFERROR(SUMIFS('financial data unpivot'!$J:$J,'financial data unpivot'!$C:$C,'Менеджеры по месяцам'!$A8,'financial data unpivot'!$G:$G,'Менеджеры по месяцам'!M$3)/SUMIFS('financial data unpivot'!$I:$I,'financial data unpivot'!$C:$C,'Менеджеры по месяцам'!$A8,'financial data unpivot'!$G:$G,'Менеджеры по месяцам'!M$3),0)</f>
        <v>0</v>
      </c>
      <c r="O8">
        <f>IFERROR(SUMIFS('financial data unpivot'!$J:$J,'financial data unpivot'!$C:$C,'Менеджеры по месяцам'!$A8,'financial data unpivot'!$G:$G,'Менеджеры по месяцам'!N$3)/SUMIFS('financial data unpivot'!$I:$I,'financial data unpivot'!$C:$C,'Менеджеры по месяцам'!$A8,'financial data unpivot'!$G:$G,'Менеджеры по месяцам'!N$3),0)</f>
        <v>0.60012382805589948</v>
      </c>
    </row>
    <row r="9" spans="1:15" x14ac:dyDescent="0.2">
      <c r="A9" s="1" t="s">
        <v>10</v>
      </c>
      <c r="B9" s="14"/>
      <c r="C9" s="15"/>
      <c r="D9">
        <f>IFERROR(SUMIFS('financial data unpivot'!$J:$J,'financial data unpivot'!$C:$C,'Менеджеры по месяцам'!$A9,'financial data unpivot'!$G:$G,'Менеджеры по месяцам'!C$3)/SUMIFS('financial data unpivot'!$I:$I,'financial data unpivot'!$C:$C,'Менеджеры по месяцам'!$A9,'financial data unpivot'!$G:$G,'Менеджеры по месяцам'!C$3),0)</f>
        <v>0.70570353451533929</v>
      </c>
      <c r="E9">
        <f>IFERROR(SUMIFS('financial data unpivot'!$J:$J,'financial data unpivot'!$C:$C,'Менеджеры по месяцам'!$A9,'financial data unpivot'!$G:$G,'Менеджеры по месяцам'!D$3)/SUMIFS('financial data unpivot'!$I:$I,'financial data unpivot'!$C:$C,'Менеджеры по месяцам'!$A9,'financial data unpivot'!$G:$G,'Менеджеры по месяцам'!D$3),0)</f>
        <v>0</v>
      </c>
      <c r="F9">
        <f>IFERROR(SUMIFS('financial data unpivot'!$J:$J,'financial data unpivot'!$C:$C,'Менеджеры по месяцам'!$A9,'financial data unpivot'!$G:$G,'Менеджеры по месяцам'!E$3)/SUMIFS('financial data unpivot'!$I:$I,'financial data unpivot'!$C:$C,'Менеджеры по месяцам'!$A9,'financial data unpivot'!$G:$G,'Менеджеры по месяцам'!E$3),0)</f>
        <v>0.98701379783979526</v>
      </c>
      <c r="G9">
        <f>IFERROR(SUMIFS('financial data unpivot'!$J:$J,'financial data unpivot'!$C:$C,'Менеджеры по месяцам'!$A9,'financial data unpivot'!$G:$G,'Менеджеры по месяцам'!F$3)/SUMIFS('financial data unpivot'!$I:$I,'financial data unpivot'!$C:$C,'Менеджеры по месяцам'!$A9,'financial data unpivot'!$G:$G,'Менеджеры по месяцам'!F$3),0)</f>
        <v>1</v>
      </c>
      <c r="H9">
        <f>IFERROR(SUMIFS('financial data unpivot'!$J:$J,'financial data unpivot'!$C:$C,'Менеджеры по месяцам'!$A9,'financial data unpivot'!$G:$G,'Менеджеры по месяцам'!G$3)/SUMIFS('financial data unpivot'!$I:$I,'financial data unpivot'!$C:$C,'Менеджеры по месяцам'!$A9,'financial data unpivot'!$G:$G,'Менеджеры по месяцам'!G$3),0)</f>
        <v>0.70277282433166743</v>
      </c>
      <c r="I9">
        <f>IFERROR(SUMIFS('financial data unpivot'!$J:$J,'financial data unpivot'!$C:$C,'Менеджеры по месяцам'!$A9,'financial data unpivot'!$G:$G,'Менеджеры по месяцам'!H$3)/SUMIFS('financial data unpivot'!$I:$I,'financial data unpivot'!$C:$C,'Менеджеры по месяцам'!$A9,'financial data unpivot'!$G:$G,'Менеджеры по месяцам'!H$3),0)</f>
        <v>0.43806226189030173</v>
      </c>
      <c r="J9">
        <f>IFERROR(SUMIFS('financial data unpivot'!$J:$J,'financial data unpivot'!$C:$C,'Менеджеры по месяцам'!$A9,'financial data unpivot'!$G:$G,'Менеджеры по месяцам'!I$3)/SUMIFS('financial data unpivot'!$I:$I,'financial data unpivot'!$C:$C,'Менеджеры по месяцам'!$A9,'financial data unpivot'!$G:$G,'Менеджеры по месяцам'!I$3),0)</f>
        <v>0</v>
      </c>
      <c r="K9">
        <f>IFERROR(SUMIFS('financial data unpivot'!$J:$J,'financial data unpivot'!$C:$C,'Менеджеры по месяцам'!$A9,'financial data unpivot'!$G:$G,'Менеджеры по месяцам'!J$3)/SUMIFS('financial data unpivot'!$I:$I,'financial data unpivot'!$C:$C,'Менеджеры по месяцам'!$A9,'financial data unpivot'!$G:$G,'Менеджеры по месяцам'!J$3),0)</f>
        <v>0.28098047192839709</v>
      </c>
      <c r="L9">
        <f>IFERROR(SUMIFS('financial data unpivot'!$J:$J,'financial data unpivot'!$C:$C,'Менеджеры по месяцам'!$A9,'financial data unpivot'!$G:$G,'Менеджеры по месяцам'!K$3)/SUMIFS('financial data unpivot'!$I:$I,'financial data unpivot'!$C:$C,'Менеджеры по месяцам'!$A9,'financial data unpivot'!$G:$G,'Менеджеры по месяцам'!K$3),0)</f>
        <v>0.61082747011830785</v>
      </c>
      <c r="M9">
        <f>IFERROR(SUMIFS('financial data unpivot'!$J:$J,'financial data unpivot'!$C:$C,'Менеджеры по месяцам'!$A9,'financial data unpivot'!$G:$G,'Менеджеры по месяцам'!L$3)/SUMIFS('financial data unpivot'!$I:$I,'financial data unpivot'!$C:$C,'Менеджеры по месяцам'!$A9,'financial data unpivot'!$G:$G,'Менеджеры по месяцам'!L$3),0)</f>
        <v>1.2244524400014967</v>
      </c>
      <c r="N9">
        <f>IFERROR(SUMIFS('financial data unpivot'!$J:$J,'financial data unpivot'!$C:$C,'Менеджеры по месяцам'!$A9,'financial data unpivot'!$G:$G,'Менеджеры по месяцам'!M$3)/SUMIFS('financial data unpivot'!$I:$I,'financial data unpivot'!$C:$C,'Менеджеры по месяцам'!$A9,'financial data unpivot'!$G:$G,'Менеджеры по месяцам'!M$3),0)</f>
        <v>0.84311020536134196</v>
      </c>
      <c r="O9">
        <f>IFERROR(SUMIFS('financial data unpivot'!$J:$J,'financial data unpivot'!$C:$C,'Менеджеры по месяцам'!$A9,'financial data unpivot'!$G:$G,'Менеджеры по месяцам'!N$3)/SUMIFS('financial data unpivot'!$I:$I,'financial data unpivot'!$C:$C,'Менеджеры по месяцам'!$A9,'financial data unpivot'!$G:$G,'Менеджеры по месяцам'!N$3),0)</f>
        <v>6.9589422407794019E-2</v>
      </c>
    </row>
    <row r="10" spans="1:15" x14ac:dyDescent="0.2">
      <c r="A10" s="1" t="s">
        <v>11</v>
      </c>
      <c r="B10" s="14"/>
      <c r="C10" s="15"/>
      <c r="D10">
        <f>IFERROR(SUMIFS('financial data unpivot'!$J:$J,'financial data unpivot'!$C:$C,'Менеджеры по месяцам'!$A10,'financial data unpivot'!$G:$G,'Менеджеры по месяцам'!C$3)/SUMIFS('financial data unpivot'!$I:$I,'financial data unpivot'!$C:$C,'Менеджеры по месяцам'!$A10,'financial data unpivot'!$G:$G,'Менеджеры по месяцам'!C$3),0)</f>
        <v>0.56749696084590473</v>
      </c>
      <c r="E10">
        <f>IFERROR(SUMIFS('financial data unpivot'!$J:$J,'financial data unpivot'!$C:$C,'Менеджеры по месяцам'!$A10,'financial data unpivot'!$G:$G,'Менеджеры по месяцам'!D$3)/SUMIFS('financial data unpivot'!$I:$I,'financial data unpivot'!$C:$C,'Менеджеры по месяцам'!$A10,'financial data unpivot'!$G:$G,'Менеджеры по месяцам'!D$3),0)</f>
        <v>0</v>
      </c>
      <c r="F10">
        <f>IFERROR(SUMIFS('financial data unpivot'!$J:$J,'financial data unpivot'!$C:$C,'Менеджеры по месяцам'!$A10,'financial data unpivot'!$G:$G,'Менеджеры по месяцам'!E$3)/SUMIFS('financial data unpivot'!$I:$I,'financial data unpivot'!$C:$C,'Менеджеры по месяцам'!$A10,'financial data unpivot'!$G:$G,'Менеджеры по месяцам'!E$3),0)</f>
        <v>1.0118926187500015</v>
      </c>
      <c r="G10">
        <f>IFERROR(SUMIFS('financial data unpivot'!$J:$J,'financial data unpivot'!$C:$C,'Менеджеры по месяцам'!$A10,'financial data unpivot'!$G:$G,'Менеджеры по месяцам'!F$3)/SUMIFS('financial data unpivot'!$I:$I,'financial data unpivot'!$C:$C,'Менеджеры по месяцам'!$A10,'financial data unpivot'!$G:$G,'Менеджеры по месяцам'!F$3),0)</f>
        <v>0</v>
      </c>
      <c r="H10">
        <f>IFERROR(SUMIFS('financial data unpivot'!$J:$J,'financial data unpivot'!$C:$C,'Менеджеры по месяцам'!$A10,'financial data unpivot'!$G:$G,'Менеджеры по месяцам'!G$3)/SUMIFS('financial data unpivot'!$I:$I,'financial data unpivot'!$C:$C,'Менеджеры по месяцам'!$A10,'financial data unpivot'!$G:$G,'Менеджеры по месяцам'!G$3),0)</f>
        <v>0.94814566202382955</v>
      </c>
      <c r="I10">
        <f>IFERROR(SUMIFS('financial data unpivot'!$J:$J,'financial data unpivot'!$C:$C,'Менеджеры по месяцам'!$A10,'financial data unpivot'!$G:$G,'Менеджеры по месяцам'!H$3)/SUMIFS('financial data unpivot'!$I:$I,'financial data unpivot'!$C:$C,'Менеджеры по месяцам'!$A10,'financial data unpivot'!$G:$G,'Менеджеры по месяцам'!H$3),0)</f>
        <v>0</v>
      </c>
      <c r="J10">
        <f>IFERROR(SUMIFS('financial data unpivot'!$J:$J,'financial data unpivot'!$C:$C,'Менеджеры по месяцам'!$A10,'financial data unpivot'!$G:$G,'Менеджеры по месяцам'!I$3)/SUMIFS('financial data unpivot'!$I:$I,'financial data unpivot'!$C:$C,'Менеджеры по месяцам'!$A10,'financial data unpivot'!$G:$G,'Менеджеры по месяцам'!I$3),0)</f>
        <v>0.25690255220417635</v>
      </c>
      <c r="K10">
        <f>IFERROR(SUMIFS('financial data unpivot'!$J:$J,'financial data unpivot'!$C:$C,'Менеджеры по месяцам'!$A10,'financial data unpivot'!$G:$G,'Менеджеры по месяцам'!J$3)/SUMIFS('financial data unpivot'!$I:$I,'financial data unpivot'!$C:$C,'Менеджеры по месяцам'!$A10,'financial data unpivot'!$G:$G,'Менеджеры по месяцам'!J$3),0)</f>
        <v>0</v>
      </c>
      <c r="L10">
        <f>IFERROR(SUMIFS('financial data unpivot'!$J:$J,'financial data unpivot'!$C:$C,'Менеджеры по месяцам'!$A10,'financial data unpivot'!$G:$G,'Менеджеры по месяцам'!K$3)/SUMIFS('financial data unpivot'!$I:$I,'financial data unpivot'!$C:$C,'Менеджеры по месяцам'!$A10,'financial data unpivot'!$G:$G,'Менеджеры по месяцам'!K$3),0)</f>
        <v>0</v>
      </c>
      <c r="M10">
        <f>IFERROR(SUMIFS('financial data unpivot'!$J:$J,'financial data unpivot'!$C:$C,'Менеджеры по месяцам'!$A10,'financial data unpivot'!$G:$G,'Менеджеры по месяцам'!L$3)/SUMIFS('financial data unpivot'!$I:$I,'financial data unpivot'!$C:$C,'Менеджеры по месяцам'!$A10,'financial data unpivot'!$G:$G,'Менеджеры по месяцам'!L$3),0)</f>
        <v>0</v>
      </c>
      <c r="N10">
        <f>IFERROR(SUMIFS('financial data unpivot'!$J:$J,'financial data unpivot'!$C:$C,'Менеджеры по месяцам'!$A10,'financial data unpivot'!$G:$G,'Менеджеры по месяцам'!M$3)/SUMIFS('financial data unpivot'!$I:$I,'financial data unpivot'!$C:$C,'Менеджеры по месяцам'!$A10,'financial data unpivot'!$G:$G,'Менеджеры по месяцам'!M$3),0)</f>
        <v>0.95341111034679538</v>
      </c>
      <c r="O10">
        <f>IFERROR(SUMIFS('financial data unpivot'!$J:$J,'financial data unpivot'!$C:$C,'Менеджеры по месяцам'!$A10,'financial data unpivot'!$G:$G,'Менеджеры по месяцам'!N$3)/SUMIFS('financial data unpivot'!$I:$I,'financial data unpivot'!$C:$C,'Менеджеры по месяцам'!$A10,'financial data unpivot'!$G:$G,'Менеджеры по месяцам'!N$3),0)</f>
        <v>0</v>
      </c>
    </row>
    <row r="11" spans="1:15" x14ac:dyDescent="0.2">
      <c r="A11" s="1" t="s">
        <v>24</v>
      </c>
      <c r="B11" s="14"/>
      <c r="C11" s="15"/>
      <c r="D11">
        <f>IFERROR(SUMIFS('financial data unpivot'!$J:$J,'financial data unpivot'!$C:$C,'Менеджеры по месяцам'!$A11,'financial data unpivot'!$G:$G,'Менеджеры по месяцам'!C$3)/SUMIFS('financial data unpivot'!$I:$I,'financial data unpivot'!$C:$C,'Менеджеры по месяцам'!$A11,'financial data unpivot'!$G:$G,'Менеджеры по месяцам'!C$3),0)</f>
        <v>0</v>
      </c>
      <c r="E11">
        <f>IFERROR(SUMIFS('financial data unpivot'!$J:$J,'financial data unpivot'!$C:$C,'Менеджеры по месяцам'!$A11,'financial data unpivot'!$G:$G,'Менеджеры по месяцам'!D$3)/SUMIFS('financial data unpivot'!$I:$I,'financial data unpivot'!$C:$C,'Менеджеры по месяцам'!$A11,'financial data unpivot'!$G:$G,'Менеджеры по месяцам'!D$3),0)</f>
        <v>0</v>
      </c>
      <c r="F11">
        <f>IFERROR(SUMIFS('financial data unpivot'!$J:$J,'financial data unpivot'!$C:$C,'Менеджеры по месяцам'!$A11,'financial data unpivot'!$G:$G,'Менеджеры по месяцам'!E$3)/SUMIFS('financial data unpivot'!$I:$I,'financial data unpivot'!$C:$C,'Менеджеры по месяцам'!$A11,'financial data unpivot'!$G:$G,'Менеджеры по месяцам'!E$3),0)</f>
        <v>0</v>
      </c>
      <c r="G11">
        <f>IFERROR(SUMIFS('financial data unpivot'!$J:$J,'financial data unpivot'!$C:$C,'Менеджеры по месяцам'!$A11,'financial data unpivot'!$G:$G,'Менеджеры по месяцам'!F$3)/SUMIFS('financial data unpivot'!$I:$I,'financial data unpivot'!$C:$C,'Менеджеры по месяцам'!$A11,'financial data unpivot'!$G:$G,'Менеджеры по месяцам'!F$3),0)</f>
        <v>0</v>
      </c>
      <c r="H11">
        <f>IFERROR(SUMIFS('financial data unpivot'!$J:$J,'financial data unpivot'!$C:$C,'Менеджеры по месяцам'!$A11,'financial data unpivot'!$G:$G,'Менеджеры по месяцам'!G$3)/SUMIFS('financial data unpivot'!$I:$I,'financial data unpivot'!$C:$C,'Менеджеры по месяцам'!$A11,'financial data unpivot'!$G:$G,'Менеджеры по месяцам'!G$3),0)</f>
        <v>0</v>
      </c>
      <c r="I11">
        <f>IFERROR(SUMIFS('financial data unpivot'!$J:$J,'financial data unpivot'!$C:$C,'Менеджеры по месяцам'!$A11,'financial data unpivot'!$G:$G,'Менеджеры по месяцам'!H$3)/SUMIFS('financial data unpivot'!$I:$I,'financial data unpivot'!$C:$C,'Менеджеры по месяцам'!$A11,'financial data unpivot'!$G:$G,'Менеджеры по месяцам'!H$3),0)</f>
        <v>0</v>
      </c>
      <c r="J11">
        <f>IFERROR(SUMIFS('financial data unpivot'!$J:$J,'financial data unpivot'!$C:$C,'Менеджеры по месяцам'!$A11,'financial data unpivot'!$G:$G,'Менеджеры по месяцам'!I$3)/SUMIFS('financial data unpivot'!$I:$I,'financial data unpivot'!$C:$C,'Менеджеры по месяцам'!$A11,'financial data unpivot'!$G:$G,'Менеджеры по месяцам'!I$3),0)</f>
        <v>0</v>
      </c>
      <c r="K11">
        <f>IFERROR(SUMIFS('financial data unpivot'!$J:$J,'financial data unpivot'!$C:$C,'Менеджеры по месяцам'!$A11,'financial data unpivot'!$G:$G,'Менеджеры по месяцам'!J$3)/SUMIFS('financial data unpivot'!$I:$I,'financial data unpivot'!$C:$C,'Менеджеры по месяцам'!$A11,'financial data unpivot'!$G:$G,'Менеджеры по месяцам'!J$3),0)</f>
        <v>0</v>
      </c>
      <c r="L11">
        <f>IFERROR(SUMIFS('financial data unpivot'!$J:$J,'financial data unpivot'!$C:$C,'Менеджеры по месяцам'!$A11,'financial data unpivot'!$G:$G,'Менеджеры по месяцам'!K$3)/SUMIFS('financial data unpivot'!$I:$I,'financial data unpivot'!$C:$C,'Менеджеры по месяцам'!$A11,'financial data unpivot'!$G:$G,'Менеджеры по месяцам'!K$3),0)</f>
        <v>0</v>
      </c>
      <c r="M11">
        <f>IFERROR(SUMIFS('financial data unpivot'!$J:$J,'financial data unpivot'!$C:$C,'Менеджеры по месяцам'!$A11,'financial data unpivot'!$G:$G,'Менеджеры по месяцам'!L$3)/SUMIFS('financial data unpivot'!$I:$I,'financial data unpivot'!$C:$C,'Менеджеры по месяцам'!$A11,'financial data unpivot'!$G:$G,'Менеджеры по месяцам'!L$3),0)</f>
        <v>0</v>
      </c>
      <c r="N11">
        <f>IFERROR(SUMIFS('financial data unpivot'!$J:$J,'financial data unpivot'!$C:$C,'Менеджеры по месяцам'!$A11,'financial data unpivot'!$G:$G,'Менеджеры по месяцам'!M$3)/SUMIFS('financial data unpivot'!$I:$I,'financial data unpivot'!$C:$C,'Менеджеры по месяцам'!$A11,'financial data unpivot'!$G:$G,'Менеджеры по месяцам'!M$3),0)</f>
        <v>0</v>
      </c>
      <c r="O11">
        <f>IFERROR(SUMIFS('financial data unpivot'!$J:$J,'financial data unpivot'!$C:$C,'Менеджеры по месяцам'!$A11,'financial data unpivot'!$G:$G,'Менеджеры по месяцам'!N$3)/SUMIFS('financial data unpivot'!$I:$I,'financial data unpivot'!$C:$C,'Менеджеры по месяцам'!$A11,'financial data unpivot'!$G:$G,'Менеджеры по месяцам'!N$3),0)</f>
        <v>1.1111818218738578</v>
      </c>
    </row>
    <row r="12" spans="1:15" x14ac:dyDescent="0.2">
      <c r="A12" s="1" t="s">
        <v>26</v>
      </c>
      <c r="B12" s="14"/>
      <c r="C12" s="15"/>
      <c r="D12">
        <f>IFERROR(SUMIFS('financial data unpivot'!$J:$J,'financial data unpivot'!$C:$C,'Менеджеры по месяцам'!$A12,'financial data unpivot'!$G:$G,'Менеджеры по месяцам'!C$3)/SUMIFS('financial data unpivot'!$I:$I,'financial data unpivot'!$C:$C,'Менеджеры по месяцам'!$A12,'financial data unpivot'!$G:$G,'Менеджеры по месяцам'!C$3),0)</f>
        <v>0</v>
      </c>
      <c r="E12">
        <f>IFERROR(SUMIFS('financial data unpivot'!$J:$J,'financial data unpivot'!$C:$C,'Менеджеры по месяцам'!$A12,'financial data unpivot'!$G:$G,'Менеджеры по месяцам'!D$3)/SUMIFS('financial data unpivot'!$I:$I,'financial data unpivot'!$C:$C,'Менеджеры по месяцам'!$A12,'financial data unpivot'!$G:$G,'Менеджеры по месяцам'!D$3),0)</f>
        <v>0</v>
      </c>
      <c r="F12">
        <f>IFERROR(SUMIFS('financial data unpivot'!$J:$J,'financial data unpivot'!$C:$C,'Менеджеры по месяцам'!$A12,'financial data unpivot'!$G:$G,'Менеджеры по месяцам'!E$3)/SUMIFS('financial data unpivot'!$I:$I,'financial data unpivot'!$C:$C,'Менеджеры по месяцам'!$A12,'financial data unpivot'!$G:$G,'Менеджеры по месяцам'!E$3),0)</f>
        <v>0</v>
      </c>
      <c r="G12">
        <f>IFERROR(SUMIFS('financial data unpivot'!$J:$J,'financial data unpivot'!$C:$C,'Менеджеры по месяцам'!$A12,'financial data unpivot'!$G:$G,'Менеджеры по месяцам'!F$3)/SUMIFS('financial data unpivot'!$I:$I,'financial data unpivot'!$C:$C,'Менеджеры по месяцам'!$A12,'financial data unpivot'!$G:$G,'Менеджеры по месяцам'!F$3),0)</f>
        <v>0</v>
      </c>
      <c r="H12">
        <f>IFERROR(SUMIFS('financial data unpivot'!$J:$J,'financial data unpivot'!$C:$C,'Менеджеры по месяцам'!$A12,'financial data unpivot'!$G:$G,'Менеджеры по месяцам'!G$3)/SUMIFS('financial data unpivot'!$I:$I,'financial data unpivot'!$C:$C,'Менеджеры по месяцам'!$A12,'financial data unpivot'!$G:$G,'Менеджеры по месяцам'!G$3),0)</f>
        <v>0</v>
      </c>
      <c r="I12">
        <f>IFERROR(SUMIFS('financial data unpivot'!$J:$J,'financial data unpivot'!$C:$C,'Менеджеры по месяцам'!$A12,'financial data unpivot'!$G:$G,'Менеджеры по месяцам'!H$3)/SUMIFS('financial data unpivot'!$I:$I,'financial data unpivot'!$C:$C,'Менеджеры по месяцам'!$A12,'financial data unpivot'!$G:$G,'Менеджеры по месяцам'!H$3),0)</f>
        <v>0</v>
      </c>
      <c r="J12">
        <f>IFERROR(SUMIFS('financial data unpivot'!$J:$J,'financial data unpivot'!$C:$C,'Менеджеры по месяцам'!$A12,'financial data unpivot'!$G:$G,'Менеджеры по месяцам'!I$3)/SUMIFS('financial data unpivot'!$I:$I,'financial data unpivot'!$C:$C,'Менеджеры по месяцам'!$A12,'financial data unpivot'!$G:$G,'Менеджеры по месяцам'!I$3),0)</f>
        <v>0</v>
      </c>
      <c r="K12">
        <f>IFERROR(SUMIFS('financial data unpivot'!$J:$J,'financial data unpivot'!$C:$C,'Менеджеры по месяцам'!$A12,'financial data unpivot'!$G:$G,'Менеджеры по месяцам'!J$3)/SUMIFS('financial data unpivot'!$I:$I,'financial data unpivot'!$C:$C,'Менеджеры по месяцам'!$A12,'financial data unpivot'!$G:$G,'Менеджеры по месяцам'!J$3),0)</f>
        <v>0.93653846153846154</v>
      </c>
      <c r="L12">
        <f>IFERROR(SUMIFS('financial data unpivot'!$J:$J,'financial data unpivot'!$C:$C,'Менеджеры по месяцам'!$A12,'financial data unpivot'!$G:$G,'Менеджеры по месяцам'!K$3)/SUMIFS('financial data unpivot'!$I:$I,'financial data unpivot'!$C:$C,'Менеджеры по месяцам'!$A12,'financial data unpivot'!$G:$G,'Менеджеры по месяцам'!K$3),0)</f>
        <v>0</v>
      </c>
      <c r="M12">
        <f>IFERROR(SUMIFS('financial data unpivot'!$J:$J,'financial data unpivot'!$C:$C,'Менеджеры по месяцам'!$A12,'financial data unpivot'!$G:$G,'Менеджеры по месяцам'!L$3)/SUMIFS('financial data unpivot'!$I:$I,'financial data unpivot'!$C:$C,'Менеджеры по месяцам'!$A12,'financial data unpivot'!$G:$G,'Менеджеры по месяцам'!L$3),0)</f>
        <v>0</v>
      </c>
      <c r="N12">
        <f>IFERROR(SUMIFS('financial data unpivot'!$J:$J,'financial data unpivot'!$C:$C,'Менеджеры по месяцам'!$A12,'financial data unpivot'!$G:$G,'Менеджеры по месяцам'!M$3)/SUMIFS('financial data unpivot'!$I:$I,'financial data unpivot'!$C:$C,'Менеджеры по месяцам'!$A12,'financial data unpivot'!$G:$G,'Менеджеры по месяцам'!M$3),0)</f>
        <v>0</v>
      </c>
      <c r="O12">
        <f>IFERROR(SUMIFS('financial data unpivot'!$J:$J,'financial data unpivot'!$C:$C,'Менеджеры по месяцам'!$A12,'financial data unpivot'!$G:$G,'Менеджеры по месяцам'!N$3)/SUMIFS('financial data unpivot'!$I:$I,'financial data unpivot'!$C:$C,'Менеджеры по месяцам'!$A12,'financial data unpivot'!$G:$G,'Менеджеры по месяцам'!N$3),0)</f>
        <v>0</v>
      </c>
    </row>
    <row r="13" spans="1:15" x14ac:dyDescent="0.2">
      <c r="A13" s="1" t="s">
        <v>19</v>
      </c>
      <c r="B13" s="14"/>
      <c r="C13" s="15"/>
      <c r="D13">
        <f>IFERROR(SUMIFS('financial data unpivot'!$J:$J,'financial data unpivot'!$C:$C,'Менеджеры по месяцам'!$A13,'financial data unpivot'!$G:$G,'Менеджеры по месяцам'!C$3)/SUMIFS('financial data unpivot'!$I:$I,'financial data unpivot'!$C:$C,'Менеджеры по месяцам'!$A13,'financial data unpivot'!$G:$G,'Менеджеры по месяцам'!C$3),0)</f>
        <v>0</v>
      </c>
      <c r="E13">
        <f>IFERROR(SUMIFS('financial data unpivot'!$J:$J,'financial data unpivot'!$C:$C,'Менеджеры по месяцам'!$A13,'financial data unpivot'!$G:$G,'Менеджеры по месяцам'!D$3)/SUMIFS('financial data unpivot'!$I:$I,'financial data unpivot'!$C:$C,'Менеджеры по месяцам'!$A13,'financial data unpivot'!$G:$G,'Менеджеры по месяцам'!D$3),0)</f>
        <v>0</v>
      </c>
      <c r="F13">
        <f>IFERROR(SUMIFS('financial data unpivot'!$J:$J,'financial data unpivot'!$C:$C,'Менеджеры по месяцам'!$A13,'financial data unpivot'!$G:$G,'Менеджеры по месяцам'!E$3)/SUMIFS('financial data unpivot'!$I:$I,'financial data unpivot'!$C:$C,'Менеджеры по месяцам'!$A13,'financial data unpivot'!$G:$G,'Менеджеры по месяцам'!E$3),0)</f>
        <v>0</v>
      </c>
      <c r="G13">
        <f>IFERROR(SUMIFS('financial data unpivot'!$J:$J,'financial data unpivot'!$C:$C,'Менеджеры по месяцам'!$A13,'financial data unpivot'!$G:$G,'Менеджеры по месяцам'!F$3)/SUMIFS('financial data unpivot'!$I:$I,'financial data unpivot'!$C:$C,'Менеджеры по месяцам'!$A13,'financial data unpivot'!$G:$G,'Менеджеры по месяцам'!F$3),0)</f>
        <v>0</v>
      </c>
      <c r="H13">
        <f>IFERROR(SUMIFS('financial data unpivot'!$J:$J,'financial data unpivot'!$C:$C,'Менеджеры по месяцам'!$A13,'financial data unpivot'!$G:$G,'Менеджеры по месяцам'!G$3)/SUMIFS('financial data unpivot'!$I:$I,'financial data unpivot'!$C:$C,'Менеджеры по месяцам'!$A13,'financial data unpivot'!$G:$G,'Менеджеры по месяцам'!G$3),0)</f>
        <v>0</v>
      </c>
      <c r="I13">
        <f>IFERROR(SUMIFS('financial data unpivot'!$J:$J,'financial data unpivot'!$C:$C,'Менеджеры по месяцам'!$A13,'financial data unpivot'!$G:$G,'Менеджеры по месяцам'!H$3)/SUMIFS('financial data unpivot'!$I:$I,'financial data unpivot'!$C:$C,'Менеджеры по месяцам'!$A13,'financial data unpivot'!$G:$G,'Менеджеры по месяцам'!H$3),0)</f>
        <v>0</v>
      </c>
      <c r="J13">
        <f>IFERROR(SUMIFS('financial data unpivot'!$J:$J,'financial data unpivot'!$C:$C,'Менеджеры по месяцам'!$A13,'financial data unpivot'!$G:$G,'Менеджеры по месяцам'!I$3)/SUMIFS('financial data unpivot'!$I:$I,'financial data unpivot'!$C:$C,'Менеджеры по месяцам'!$A13,'financial data unpivot'!$G:$G,'Менеджеры по месяцам'!I$3),0)</f>
        <v>0</v>
      </c>
      <c r="K13">
        <f>IFERROR(SUMIFS('financial data unpivot'!$J:$J,'financial data unpivot'!$C:$C,'Менеджеры по месяцам'!$A13,'financial data unpivot'!$G:$G,'Менеджеры по месяцам'!J$3)/SUMIFS('financial data unpivot'!$I:$I,'financial data unpivot'!$C:$C,'Менеджеры по месяцам'!$A13,'financial data unpivot'!$G:$G,'Менеджеры по месяцам'!J$3),0)</f>
        <v>0</v>
      </c>
      <c r="L13">
        <f>IFERROR(SUMIFS('financial data unpivot'!$J:$J,'financial data unpivot'!$C:$C,'Менеджеры по месяцам'!$A13,'financial data unpivot'!$G:$G,'Менеджеры по месяцам'!K$3)/SUMIFS('financial data unpivot'!$I:$I,'financial data unpivot'!$C:$C,'Менеджеры по месяцам'!$A13,'financial data unpivot'!$G:$G,'Менеджеры по месяцам'!K$3),0)</f>
        <v>0</v>
      </c>
      <c r="M13">
        <f>IFERROR(SUMIFS('financial data unpivot'!$J:$J,'financial data unpivot'!$C:$C,'Менеджеры по месяцам'!$A13,'financial data unpivot'!$G:$G,'Менеджеры по месяцам'!L$3)/SUMIFS('financial data unpivot'!$I:$I,'financial data unpivot'!$C:$C,'Менеджеры по месяцам'!$A13,'financial data unpivot'!$G:$G,'Менеджеры по месяцам'!L$3),0)</f>
        <v>0</v>
      </c>
      <c r="N13">
        <f>IFERROR(SUMIFS('financial data unpivot'!$J:$J,'financial data unpivot'!$C:$C,'Менеджеры по месяцам'!$A13,'financial data unpivot'!$G:$G,'Менеджеры по месяцам'!M$3)/SUMIFS('financial data unpivot'!$I:$I,'financial data unpivot'!$C:$C,'Менеджеры по месяцам'!$A13,'financial data unpivot'!$G:$G,'Менеджеры по месяцам'!M$3),0)</f>
        <v>0</v>
      </c>
      <c r="O13">
        <f>IFERROR(SUMIFS('financial data unpivot'!$J:$J,'financial data unpivot'!$C:$C,'Менеджеры по месяцам'!$A13,'financial data unpivot'!$G:$G,'Менеджеры по месяцам'!N$3)/SUMIFS('financial data unpivot'!$I:$I,'financial data unpivot'!$C:$C,'Менеджеры по месяцам'!$A13,'financial data unpivot'!$G:$G,'Менеджеры по месяцам'!N$3),0)</f>
        <v>0</v>
      </c>
    </row>
    <row r="16" spans="1:15" x14ac:dyDescent="0.2">
      <c r="A16" s="18" t="s">
        <v>62</v>
      </c>
      <c r="B16" s="20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5" x14ac:dyDescent="0.2">
      <c r="A17" s="16" t="s">
        <v>60</v>
      </c>
      <c r="B17" s="21" t="s">
        <v>54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</row>
    <row r="18" spans="1:15" x14ac:dyDescent="0.2">
      <c r="A18" s="17"/>
      <c r="B18" s="7">
        <v>44866</v>
      </c>
      <c r="C18" s="7">
        <v>44926</v>
      </c>
      <c r="D18" s="7">
        <v>44927</v>
      </c>
      <c r="E18" s="7">
        <v>44958</v>
      </c>
      <c r="F18" s="7">
        <v>44986</v>
      </c>
      <c r="G18" s="7">
        <v>45017</v>
      </c>
      <c r="H18" s="7">
        <v>45047</v>
      </c>
      <c r="I18" s="7">
        <v>45078</v>
      </c>
      <c r="J18" s="7">
        <v>45108</v>
      </c>
      <c r="K18" s="7">
        <v>45139</v>
      </c>
      <c r="L18" s="7">
        <v>45170</v>
      </c>
      <c r="M18" s="7">
        <v>45200</v>
      </c>
      <c r="N18" s="7">
        <v>45231</v>
      </c>
      <c r="O18" s="7">
        <v>45261</v>
      </c>
    </row>
    <row r="19" spans="1:15" x14ac:dyDescent="0.2">
      <c r="A19" s="1" t="s">
        <v>4</v>
      </c>
      <c r="B19" s="14"/>
      <c r="C19" s="15"/>
      <c r="D19">
        <f>IFERROR(SUMIFS('financial data unpivot'!$K:$K,'financial data unpivot'!$C:$C,'Менеджеры по месяцам'!$A19,'financial data unpivot'!$G:$G,'Менеджеры по месяцам'!B$18)/SUMIFS('financial data unpivot'!$I:$I,'financial data unpivot'!$C:$C,'Менеджеры по месяцам'!$A19,'financial data unpivot'!$G:$G,'Менеджеры по месяцам'!B$18),0)</f>
        <v>0</v>
      </c>
      <c r="E19">
        <f>IFERROR(SUMIFS('financial data unpivot'!$K:$K,'financial data unpivot'!$C:$C,'Менеджеры по месяцам'!$A19,'financial data unpivot'!$G:$G,'Менеджеры по месяцам'!C$18)/SUMIFS('financial data unpivot'!$I:$I,'financial data unpivot'!$C:$C,'Менеджеры по месяцам'!$A19,'financial data unpivot'!$G:$G,'Менеджеры по месяцам'!C$18),0)</f>
        <v>0</v>
      </c>
      <c r="F19">
        <f>IFERROR(SUMIFS('financial data unpivot'!$K:$K,'financial data unpivot'!$C:$C,'Менеджеры по месяцам'!$A19,'financial data unpivot'!$G:$G,'Менеджеры по месяцам'!D$18)/SUMIFS('financial data unpivot'!$I:$I,'financial data unpivot'!$C:$C,'Менеджеры по месяцам'!$A19,'financial data unpivot'!$G:$G,'Менеджеры по месяцам'!D$18),0)</f>
        <v>0</v>
      </c>
      <c r="G19">
        <f>IFERROR(SUMIFS('financial data unpivot'!$K:$K,'financial data unpivot'!$C:$C,'Менеджеры по месяцам'!$A19,'financial data unpivot'!$G:$G,'Менеджеры по месяцам'!E$18)/SUMIFS('financial data unpivot'!$I:$I,'financial data unpivot'!$C:$C,'Менеджеры по месяцам'!$A19,'financial data unpivot'!$G:$G,'Менеджеры по месяцам'!E$18),0)</f>
        <v>0</v>
      </c>
      <c r="H19">
        <f>IFERROR(SUMIFS('financial data unpivot'!$K:$K,'financial data unpivot'!$C:$C,'Менеджеры по месяцам'!$A19,'financial data unpivot'!$G:$G,'Менеджеры по месяцам'!F$18)/SUMIFS('financial data unpivot'!$I:$I,'financial data unpivot'!$C:$C,'Менеджеры по месяцам'!$A19,'financial data unpivot'!$G:$G,'Менеджеры по месяцам'!F$18),0)</f>
        <v>0</v>
      </c>
      <c r="I19">
        <f>IFERROR(SUMIFS('financial data unpivot'!$K:$K,'financial data unpivot'!$C:$C,'Менеджеры по месяцам'!$A19,'financial data unpivot'!$G:$G,'Менеджеры по месяцам'!G$18)/SUMIFS('financial data unpivot'!$I:$I,'financial data unpivot'!$C:$C,'Менеджеры по месяцам'!$A19,'financial data unpivot'!$G:$G,'Менеджеры по месяцам'!G$18),0)</f>
        <v>0</v>
      </c>
      <c r="J19">
        <f>IFERROR(SUMIFS('financial data unpivot'!$K:$K,'financial data unpivot'!$C:$C,'Менеджеры по месяцам'!$A19,'financial data unpivot'!$G:$G,'Менеджеры по месяцам'!H$18)/SUMIFS('financial data unpivot'!$I:$I,'financial data unpivot'!$C:$C,'Менеджеры по месяцам'!$A19,'financial data unpivot'!$G:$G,'Менеджеры по месяцам'!H$18),0)</f>
        <v>0</v>
      </c>
      <c r="K19">
        <f>IFERROR(SUMIFS('financial data unpivot'!$K:$K,'financial data unpivot'!$C:$C,'Менеджеры по месяцам'!$A19,'financial data unpivot'!$G:$G,'Менеджеры по месяцам'!I$18)/SUMIFS('financial data unpivot'!$I:$I,'financial data unpivot'!$C:$C,'Менеджеры по месяцам'!$A19,'financial data unpivot'!$G:$G,'Менеджеры по месяцам'!I$18),0)</f>
        <v>0</v>
      </c>
      <c r="L19">
        <f>IFERROR(SUMIFS('financial data unpivot'!$K:$K,'financial data unpivot'!$C:$C,'Менеджеры по месяцам'!$A19,'financial data unpivot'!$G:$G,'Менеджеры по месяцам'!J$18)/SUMIFS('financial data unpivot'!$I:$I,'financial data unpivot'!$C:$C,'Менеджеры по месяцам'!$A19,'financial data unpivot'!$G:$G,'Менеджеры по месяцам'!J$18),0)</f>
        <v>0</v>
      </c>
      <c r="M19">
        <f>IFERROR(SUMIFS('financial data unpivot'!$K:$K,'financial data unpivot'!$C:$C,'Менеджеры по месяцам'!$A19,'financial data unpivot'!$G:$G,'Менеджеры по месяцам'!K$18)/SUMIFS('financial data unpivot'!$I:$I,'financial data unpivot'!$C:$C,'Менеджеры по месяцам'!$A19,'financial data unpivot'!$G:$G,'Менеджеры по месяцам'!K$18),0)</f>
        <v>7.5610149570187371E-2</v>
      </c>
      <c r="N19">
        <f>IFERROR(SUMIFS('financial data unpivot'!$K:$K,'financial data unpivot'!$C:$C,'Менеджеры по месяцам'!$A19,'financial data unpivot'!$G:$G,'Менеджеры по месяцам'!L$18)/SUMIFS('financial data unpivot'!$I:$I,'financial data unpivot'!$C:$C,'Менеджеры по месяцам'!$A19,'financial data unpivot'!$G:$G,'Менеджеры по месяцам'!L$18),0)</f>
        <v>0</v>
      </c>
      <c r="O19">
        <f>IFERROR(SUMIFS('financial data unpivot'!$K:$K,'financial data unpivot'!$C:$C,'Менеджеры по месяцам'!$A19,'financial data unpivot'!$G:$G,'Менеджеры по месяцам'!M$18)/SUMIFS('financial data unpivot'!$I:$I,'financial data unpivot'!$C:$C,'Менеджеры по месяцам'!$A19,'financial data unpivot'!$G:$G,'Менеджеры по месяцам'!M$18),0)</f>
        <v>0.17652449998336386</v>
      </c>
    </row>
    <row r="20" spans="1:15" x14ac:dyDescent="0.2">
      <c r="A20" s="1" t="s">
        <v>5</v>
      </c>
      <c r="B20" s="14"/>
      <c r="C20" s="15"/>
      <c r="D20">
        <f>IFERROR(SUMIFS('financial data unpivot'!$K:$K,'financial data unpivot'!$C:$C,'Менеджеры по месяцам'!$A20,'financial data unpivot'!$G:$G,'Менеджеры по месяцам'!B$18)/SUMIFS('financial data unpivot'!$I:$I,'financial data unpivot'!$C:$C,'Менеджеры по месяцам'!$A20,'financial data unpivot'!$G:$G,'Менеджеры по месяцам'!B$18),0)</f>
        <v>0</v>
      </c>
      <c r="E20">
        <f>IFERROR(SUMIFS('financial data unpivot'!$K:$K,'financial data unpivot'!$C:$C,'Менеджеры по месяцам'!$A20,'financial data unpivot'!$G:$G,'Менеджеры по месяцам'!C$18)/SUMIFS('financial data unpivot'!$I:$I,'financial data unpivot'!$C:$C,'Менеджеры по месяцам'!$A20,'financial data unpivot'!$G:$G,'Менеджеры по месяцам'!C$18),0)</f>
        <v>0</v>
      </c>
      <c r="F20">
        <f>IFERROR(SUMIFS('financial data unpivot'!$K:$K,'financial data unpivot'!$C:$C,'Менеджеры по месяцам'!$A20,'financial data unpivot'!$G:$G,'Менеджеры по месяцам'!D$18)/SUMIFS('financial data unpivot'!$I:$I,'financial data unpivot'!$C:$C,'Менеджеры по месяцам'!$A20,'financial data unpivot'!$G:$G,'Менеджеры по месяцам'!D$18),0)</f>
        <v>0</v>
      </c>
      <c r="G20">
        <f>IFERROR(SUMIFS('financial data unpivot'!$K:$K,'financial data unpivot'!$C:$C,'Менеджеры по месяцам'!$A20,'financial data unpivot'!$G:$G,'Менеджеры по месяцам'!E$18)/SUMIFS('financial data unpivot'!$I:$I,'financial data unpivot'!$C:$C,'Менеджеры по месяцам'!$A20,'financial data unpivot'!$G:$G,'Менеджеры по месяцам'!E$18),0)</f>
        <v>0</v>
      </c>
      <c r="H20">
        <f>IFERROR(SUMIFS('financial data unpivot'!$K:$K,'financial data unpivot'!$C:$C,'Менеджеры по месяцам'!$A20,'financial data unpivot'!$G:$G,'Менеджеры по месяцам'!F$18)/SUMIFS('financial data unpivot'!$I:$I,'financial data unpivot'!$C:$C,'Менеджеры по месяцам'!$A20,'financial data unpivot'!$G:$G,'Менеджеры по месяцам'!F$18),0)</f>
        <v>0</v>
      </c>
      <c r="I20">
        <f>IFERROR(SUMIFS('financial data unpivot'!$K:$K,'financial data unpivot'!$C:$C,'Менеджеры по месяцам'!$A20,'financial data unpivot'!$G:$G,'Менеджеры по месяцам'!G$18)/SUMIFS('financial data unpivot'!$I:$I,'financial data unpivot'!$C:$C,'Менеджеры по месяцам'!$A20,'financial data unpivot'!$G:$G,'Менеджеры по месяцам'!G$18),0)</f>
        <v>0</v>
      </c>
      <c r="J20">
        <f>IFERROR(SUMIFS('financial data unpivot'!$K:$K,'financial data unpivot'!$C:$C,'Менеджеры по месяцам'!$A20,'financial data unpivot'!$G:$G,'Менеджеры по месяцам'!H$18)/SUMIFS('financial data unpivot'!$I:$I,'financial data unpivot'!$C:$C,'Менеджеры по месяцам'!$A20,'financial data unpivot'!$G:$G,'Менеджеры по месяцам'!H$18),0)</f>
        <v>0</v>
      </c>
      <c r="K20">
        <f>IFERROR(SUMIFS('financial data unpivot'!$K:$K,'financial data unpivot'!$C:$C,'Менеджеры по месяцам'!$A20,'financial data unpivot'!$G:$G,'Менеджеры по месяцам'!I$18)/SUMIFS('financial data unpivot'!$I:$I,'financial data unpivot'!$C:$C,'Менеджеры по месяцам'!$A20,'financial data unpivot'!$G:$G,'Менеджеры по месяцам'!I$18),0)</f>
        <v>0</v>
      </c>
      <c r="L20">
        <f>IFERROR(SUMIFS('financial data unpivot'!$K:$K,'financial data unpivot'!$C:$C,'Менеджеры по месяцам'!$A20,'financial data unpivot'!$G:$G,'Менеджеры по месяцам'!J$18)/SUMIFS('financial data unpivot'!$I:$I,'financial data unpivot'!$C:$C,'Менеджеры по месяцам'!$A20,'financial data unpivot'!$G:$G,'Менеджеры по месяцам'!J$18),0)</f>
        <v>0</v>
      </c>
      <c r="M20">
        <f>IFERROR(SUMIFS('financial data unpivot'!$K:$K,'financial data unpivot'!$C:$C,'Менеджеры по месяцам'!$A20,'financial data unpivot'!$G:$G,'Менеджеры по месяцам'!K$18)/SUMIFS('financial data unpivot'!$I:$I,'financial data unpivot'!$C:$C,'Менеджеры по месяцам'!$A20,'financial data unpivot'!$G:$G,'Менеджеры по месяцам'!K$18),0)</f>
        <v>0</v>
      </c>
      <c r="N20">
        <f>IFERROR(SUMIFS('financial data unpivot'!$K:$K,'financial data unpivot'!$C:$C,'Менеджеры по месяцам'!$A20,'financial data unpivot'!$G:$G,'Менеджеры по месяцам'!L$18)/SUMIFS('financial data unpivot'!$I:$I,'financial data unpivot'!$C:$C,'Менеджеры по месяцам'!$A20,'financial data unpivot'!$G:$G,'Менеджеры по месяцам'!L$18),0)</f>
        <v>0</v>
      </c>
      <c r="O20">
        <f>IFERROR(SUMIFS('financial data unpivot'!$K:$K,'financial data unpivot'!$C:$C,'Менеджеры по месяцам'!$A20,'financial data unpivot'!$G:$G,'Менеджеры по месяцам'!M$18)/SUMIFS('financial data unpivot'!$I:$I,'financial data unpivot'!$C:$C,'Менеджеры по месяцам'!$A20,'financial data unpivot'!$G:$G,'Менеджеры по месяцам'!M$18),0)</f>
        <v>0</v>
      </c>
    </row>
    <row r="21" spans="1:15" x14ac:dyDescent="0.2">
      <c r="A21" s="1" t="s">
        <v>6</v>
      </c>
      <c r="B21" s="14"/>
      <c r="C21" s="15"/>
      <c r="D21">
        <f>IFERROR(SUMIFS('financial data unpivot'!$K:$K,'financial data unpivot'!$C:$C,'Менеджеры по месяцам'!$A21,'financial data unpivot'!$G:$G,'Менеджеры по месяцам'!B$18)/SUMIFS('financial data unpivot'!$I:$I,'financial data unpivot'!$C:$C,'Менеджеры по месяцам'!$A21,'financial data unpivot'!$G:$G,'Менеджеры по месяцам'!B$18),0)</f>
        <v>0</v>
      </c>
      <c r="E21">
        <f>IFERROR(SUMIFS('financial data unpivot'!$K:$K,'financial data unpivot'!$C:$C,'Менеджеры по месяцам'!$A21,'financial data unpivot'!$G:$G,'Менеджеры по месяцам'!C$18)/SUMIFS('financial data unpivot'!$I:$I,'financial data unpivot'!$C:$C,'Менеджеры по месяцам'!$A21,'financial data unpivot'!$G:$G,'Менеджеры по месяцам'!C$18),0)</f>
        <v>0</v>
      </c>
      <c r="F21">
        <f>IFERROR(SUMIFS('financial data unpivot'!$K:$K,'financial data unpivot'!$C:$C,'Менеджеры по месяцам'!$A21,'financial data unpivot'!$G:$G,'Менеджеры по месяцам'!D$18)/SUMIFS('financial data unpivot'!$I:$I,'financial data unpivot'!$C:$C,'Менеджеры по месяцам'!$A21,'financial data unpivot'!$G:$G,'Менеджеры по месяцам'!D$18),0)</f>
        <v>0</v>
      </c>
      <c r="G21">
        <f>IFERROR(SUMIFS('financial data unpivot'!$K:$K,'financial data unpivot'!$C:$C,'Менеджеры по месяцам'!$A21,'financial data unpivot'!$G:$G,'Менеджеры по месяцам'!E$18)/SUMIFS('financial data unpivot'!$I:$I,'financial data unpivot'!$C:$C,'Менеджеры по месяцам'!$A21,'financial data unpivot'!$G:$G,'Менеджеры по месяцам'!E$18),0)</f>
        <v>0</v>
      </c>
      <c r="H21">
        <f>IFERROR(SUMIFS('financial data unpivot'!$K:$K,'financial data unpivot'!$C:$C,'Менеджеры по месяцам'!$A21,'financial data unpivot'!$G:$G,'Менеджеры по месяцам'!F$18)/SUMIFS('financial data unpivot'!$I:$I,'financial data unpivot'!$C:$C,'Менеджеры по месяцам'!$A21,'financial data unpivot'!$G:$G,'Менеджеры по месяцам'!F$18),0)</f>
        <v>0</v>
      </c>
      <c r="I21">
        <f>IFERROR(SUMIFS('financial data unpivot'!$K:$K,'financial data unpivot'!$C:$C,'Менеджеры по месяцам'!$A21,'financial data unpivot'!$G:$G,'Менеджеры по месяцам'!G$18)/SUMIFS('financial data unpivot'!$I:$I,'financial data unpivot'!$C:$C,'Менеджеры по месяцам'!$A21,'financial data unpivot'!$G:$G,'Менеджеры по месяцам'!G$18),0)</f>
        <v>0</v>
      </c>
      <c r="J21">
        <f>IFERROR(SUMIFS('financial data unpivot'!$K:$K,'financial data unpivot'!$C:$C,'Менеджеры по месяцам'!$A21,'financial data unpivot'!$G:$G,'Менеджеры по месяцам'!H$18)/SUMIFS('financial data unpivot'!$I:$I,'financial data unpivot'!$C:$C,'Менеджеры по месяцам'!$A21,'financial data unpivot'!$G:$G,'Менеджеры по месяцам'!H$18),0)</f>
        <v>0</v>
      </c>
      <c r="K21">
        <f>IFERROR(SUMIFS('financial data unpivot'!$K:$K,'financial data unpivot'!$C:$C,'Менеджеры по месяцам'!$A21,'financial data unpivot'!$G:$G,'Менеджеры по месяцам'!I$18)/SUMIFS('financial data unpivot'!$I:$I,'financial data unpivot'!$C:$C,'Менеджеры по месяцам'!$A21,'financial data unpivot'!$G:$G,'Менеджеры по месяцам'!I$18),0)</f>
        <v>0</v>
      </c>
      <c r="L21">
        <f>IFERROR(SUMIFS('financial data unpivot'!$K:$K,'financial data unpivot'!$C:$C,'Менеджеры по месяцам'!$A21,'financial data unpivot'!$G:$G,'Менеджеры по месяцам'!J$18)/SUMIFS('financial data unpivot'!$I:$I,'financial data unpivot'!$C:$C,'Менеджеры по месяцам'!$A21,'financial data unpivot'!$G:$G,'Менеджеры по месяцам'!J$18),0)</f>
        <v>0</v>
      </c>
      <c r="M21">
        <f>IFERROR(SUMIFS('financial data unpivot'!$K:$K,'financial data unpivot'!$C:$C,'Менеджеры по месяцам'!$A21,'financial data unpivot'!$G:$G,'Менеджеры по месяцам'!K$18)/SUMIFS('financial data unpivot'!$I:$I,'financial data unpivot'!$C:$C,'Менеджеры по месяцам'!$A21,'financial data unpivot'!$G:$G,'Менеджеры по месяцам'!K$18),0)</f>
        <v>0</v>
      </c>
      <c r="N21">
        <f>IFERROR(SUMIFS('financial data unpivot'!$K:$K,'financial data unpivot'!$C:$C,'Менеджеры по месяцам'!$A21,'financial data unpivot'!$G:$G,'Менеджеры по месяцам'!L$18)/SUMIFS('financial data unpivot'!$I:$I,'financial data unpivot'!$C:$C,'Менеджеры по месяцам'!$A21,'financial data unpivot'!$G:$G,'Менеджеры по месяцам'!L$18),0)</f>
        <v>0</v>
      </c>
      <c r="O21">
        <f>IFERROR(SUMIFS('financial data unpivot'!$K:$K,'financial data unpivot'!$C:$C,'Менеджеры по месяцам'!$A21,'financial data unpivot'!$G:$G,'Менеджеры по месяцам'!M$18)/SUMIFS('financial data unpivot'!$I:$I,'financial data unpivot'!$C:$C,'Менеджеры по месяцам'!$A21,'financial data unpivot'!$G:$G,'Менеджеры по месяцам'!M$18),0)</f>
        <v>0</v>
      </c>
    </row>
    <row r="22" spans="1:15" x14ac:dyDescent="0.2">
      <c r="A22" s="1" t="s">
        <v>7</v>
      </c>
      <c r="B22" s="14"/>
      <c r="C22" s="15"/>
      <c r="D22">
        <f>IFERROR(SUMIFS('financial data unpivot'!$K:$K,'financial data unpivot'!$C:$C,'Менеджеры по месяцам'!$A22,'financial data unpivot'!$G:$G,'Менеджеры по месяцам'!B$18)/SUMIFS('financial data unpivot'!$I:$I,'financial data unpivot'!$C:$C,'Менеджеры по месяцам'!$A22,'financial data unpivot'!$G:$G,'Менеджеры по месяцам'!B$18),0)</f>
        <v>1.0475374732334046</v>
      </c>
      <c r="E22">
        <f>IFERROR(SUMIFS('financial data unpivot'!$K:$K,'financial data unpivot'!$C:$C,'Менеджеры по месяцам'!$A22,'financial data unpivot'!$G:$G,'Менеджеры по месяцам'!C$18)/SUMIFS('financial data unpivot'!$I:$I,'financial data unpivot'!$C:$C,'Менеджеры по месяцам'!$A22,'financial data unpivot'!$G:$G,'Менеджеры по месяцам'!C$18),0)</f>
        <v>0</v>
      </c>
      <c r="F22">
        <f>IFERROR(SUMIFS('financial data unpivot'!$K:$K,'financial data unpivot'!$C:$C,'Менеджеры по месяцам'!$A22,'financial data unpivot'!$G:$G,'Менеджеры по месяцам'!D$18)/SUMIFS('financial data unpivot'!$I:$I,'financial data unpivot'!$C:$C,'Менеджеры по месяцам'!$A22,'financial data unpivot'!$G:$G,'Менеджеры по месяцам'!D$18),0)</f>
        <v>0</v>
      </c>
      <c r="G22">
        <f>IFERROR(SUMIFS('financial data unpivot'!$K:$K,'financial data unpivot'!$C:$C,'Менеджеры по месяцам'!$A22,'financial data unpivot'!$G:$G,'Менеджеры по месяцам'!E$18)/SUMIFS('financial data unpivot'!$I:$I,'financial data unpivot'!$C:$C,'Менеджеры по месяцам'!$A22,'financial data unpivot'!$G:$G,'Менеджеры по месяцам'!E$18),0)</f>
        <v>0</v>
      </c>
      <c r="H22">
        <f>IFERROR(SUMIFS('financial data unpivot'!$K:$K,'financial data unpivot'!$C:$C,'Менеджеры по месяцам'!$A22,'financial data unpivot'!$G:$G,'Менеджеры по месяцам'!F$18)/SUMIFS('financial data unpivot'!$I:$I,'financial data unpivot'!$C:$C,'Менеджеры по месяцам'!$A22,'financial data unpivot'!$G:$G,'Менеджеры по месяцам'!F$18),0)</f>
        <v>0</v>
      </c>
      <c r="I22">
        <f>IFERROR(SUMIFS('financial data unpivot'!$K:$K,'financial data unpivot'!$C:$C,'Менеджеры по месяцам'!$A22,'financial data unpivot'!$G:$G,'Менеджеры по месяцам'!G$18)/SUMIFS('financial data unpivot'!$I:$I,'financial data unpivot'!$C:$C,'Менеджеры по месяцам'!$A22,'financial data unpivot'!$G:$G,'Менеджеры по месяцам'!G$18),0)</f>
        <v>1</v>
      </c>
      <c r="J22">
        <f>IFERROR(SUMIFS('financial data unpivot'!$K:$K,'financial data unpivot'!$C:$C,'Менеджеры по месяцам'!$A22,'financial data unpivot'!$G:$G,'Менеджеры по месяцам'!H$18)/SUMIFS('financial data unpivot'!$I:$I,'financial data unpivot'!$C:$C,'Менеджеры по месяцам'!$A22,'financial data unpivot'!$G:$G,'Менеджеры по месяцам'!H$18),0)</f>
        <v>0</v>
      </c>
      <c r="K22">
        <f>IFERROR(SUMIFS('financial data unpivot'!$K:$K,'financial data unpivot'!$C:$C,'Менеджеры по месяцам'!$A22,'financial data unpivot'!$G:$G,'Менеджеры по месяцам'!I$18)/SUMIFS('financial data unpivot'!$I:$I,'financial data unpivot'!$C:$C,'Менеджеры по месяцам'!$A22,'financial data unpivot'!$G:$G,'Менеджеры по месяцам'!I$18),0)</f>
        <v>0</v>
      </c>
      <c r="L22">
        <f>IFERROR(SUMIFS('financial data unpivot'!$K:$K,'financial data unpivot'!$C:$C,'Менеджеры по месяцам'!$A22,'financial data unpivot'!$G:$G,'Менеджеры по месяцам'!J$18)/SUMIFS('financial data unpivot'!$I:$I,'financial data unpivot'!$C:$C,'Менеджеры по месяцам'!$A22,'financial data unpivot'!$G:$G,'Менеджеры по месяцам'!J$18),0)</f>
        <v>0</v>
      </c>
      <c r="M22">
        <f>IFERROR(SUMIFS('financial data unpivot'!$K:$K,'financial data unpivot'!$C:$C,'Менеджеры по месяцам'!$A22,'financial data unpivot'!$G:$G,'Менеджеры по месяцам'!K$18)/SUMIFS('financial data unpivot'!$I:$I,'financial data unpivot'!$C:$C,'Менеджеры по месяцам'!$A22,'financial data unpivot'!$G:$G,'Менеджеры по месяцам'!K$18),0)</f>
        <v>0</v>
      </c>
      <c r="N22">
        <f>IFERROR(SUMIFS('financial data unpivot'!$K:$K,'financial data unpivot'!$C:$C,'Менеджеры по месяцам'!$A22,'financial data unpivot'!$G:$G,'Менеджеры по месяцам'!L$18)/SUMIFS('financial data unpivot'!$I:$I,'financial data unpivot'!$C:$C,'Менеджеры по месяцам'!$A22,'financial data unpivot'!$G:$G,'Менеджеры по месяцам'!L$18),0)</f>
        <v>0</v>
      </c>
      <c r="O22">
        <f>IFERROR(SUMIFS('financial data unpivot'!$K:$K,'financial data unpivot'!$C:$C,'Менеджеры по месяцам'!$A22,'financial data unpivot'!$G:$G,'Менеджеры по месяцам'!M$18)/SUMIFS('financial data unpivot'!$I:$I,'financial data unpivot'!$C:$C,'Менеджеры по месяцам'!$A22,'financial data unpivot'!$G:$G,'Менеджеры по месяцам'!M$18),0)</f>
        <v>0</v>
      </c>
    </row>
    <row r="23" spans="1:15" x14ac:dyDescent="0.2">
      <c r="A23" s="1" t="s">
        <v>8</v>
      </c>
      <c r="B23" s="14"/>
      <c r="C23" s="15"/>
      <c r="D23">
        <f>IFERROR(SUMIFS('financial data unpivot'!$K:$K,'financial data unpivot'!$C:$C,'Менеджеры по месяцам'!$A23,'financial data unpivot'!$G:$G,'Менеджеры по месяцам'!B$18)/SUMIFS('financial data unpivot'!$I:$I,'financial data unpivot'!$C:$C,'Менеджеры по месяцам'!$A23,'financial data unpivot'!$G:$G,'Менеджеры по месяцам'!B$18),0)</f>
        <v>0</v>
      </c>
      <c r="E23">
        <f>IFERROR(SUMIFS('financial data unpivot'!$K:$K,'financial data unpivot'!$C:$C,'Менеджеры по месяцам'!$A23,'financial data unpivot'!$G:$G,'Менеджеры по месяцам'!C$18)/SUMIFS('financial data unpivot'!$I:$I,'financial data unpivot'!$C:$C,'Менеджеры по месяцам'!$A23,'financial data unpivot'!$G:$G,'Менеджеры по месяцам'!C$18),0)</f>
        <v>0</v>
      </c>
      <c r="F23">
        <f>IFERROR(SUMIFS('financial data unpivot'!$K:$K,'financial data unpivot'!$C:$C,'Менеджеры по месяцам'!$A23,'financial data unpivot'!$G:$G,'Менеджеры по месяцам'!D$18)/SUMIFS('financial data unpivot'!$I:$I,'financial data unpivot'!$C:$C,'Менеджеры по месяцам'!$A23,'financial data unpivot'!$G:$G,'Менеджеры по месяцам'!D$18),0)</f>
        <v>0</v>
      </c>
      <c r="G23">
        <f>IFERROR(SUMIFS('financial data unpivot'!$K:$K,'financial data unpivot'!$C:$C,'Менеджеры по месяцам'!$A23,'financial data unpivot'!$G:$G,'Менеджеры по месяцам'!E$18)/SUMIFS('financial data unpivot'!$I:$I,'financial data unpivot'!$C:$C,'Менеджеры по месяцам'!$A23,'financial data unpivot'!$G:$G,'Менеджеры по месяцам'!E$18),0)</f>
        <v>6.432080636681714E-2</v>
      </c>
      <c r="H23">
        <f>IFERROR(SUMIFS('financial data unpivot'!$K:$K,'financial data unpivot'!$C:$C,'Менеджеры по месяцам'!$A23,'financial data unpivot'!$G:$G,'Менеджеры по месяцам'!F$18)/SUMIFS('financial data unpivot'!$I:$I,'financial data unpivot'!$C:$C,'Менеджеры по месяцам'!$A23,'financial data unpivot'!$G:$G,'Менеджеры по месяцам'!F$18),0)</f>
        <v>0</v>
      </c>
      <c r="I23">
        <f>IFERROR(SUMIFS('financial data unpivot'!$K:$K,'financial data unpivot'!$C:$C,'Менеджеры по месяцам'!$A23,'financial data unpivot'!$G:$G,'Менеджеры по месяцам'!G$18)/SUMIFS('financial data unpivot'!$I:$I,'financial data unpivot'!$C:$C,'Менеджеры по месяцам'!$A23,'financial data unpivot'!$G:$G,'Менеджеры по месяцам'!G$18),0)</f>
        <v>0</v>
      </c>
      <c r="J23">
        <f>IFERROR(SUMIFS('financial data unpivot'!$K:$K,'financial data unpivot'!$C:$C,'Менеджеры по месяцам'!$A23,'financial data unpivot'!$G:$G,'Менеджеры по месяцам'!H$18)/SUMIFS('financial data unpivot'!$I:$I,'financial data unpivot'!$C:$C,'Менеджеры по месяцам'!$A23,'financial data unpivot'!$G:$G,'Менеджеры по месяцам'!H$18),0)</f>
        <v>0.640542577241899</v>
      </c>
      <c r="K23">
        <f>IFERROR(SUMIFS('financial data unpivot'!$K:$K,'financial data unpivot'!$C:$C,'Менеджеры по месяцам'!$A23,'financial data unpivot'!$G:$G,'Менеджеры по месяцам'!I$18)/SUMIFS('financial data unpivot'!$I:$I,'financial data unpivot'!$C:$C,'Менеджеры по месяцам'!$A23,'financial data unpivot'!$G:$G,'Менеджеры по месяцам'!I$18),0)</f>
        <v>0</v>
      </c>
      <c r="L23">
        <f>IFERROR(SUMIFS('financial data unpivot'!$K:$K,'financial data unpivot'!$C:$C,'Менеджеры по месяцам'!$A23,'financial data unpivot'!$G:$G,'Менеджеры по месяцам'!J$18)/SUMIFS('financial data unpivot'!$I:$I,'financial data unpivot'!$C:$C,'Менеджеры по месяцам'!$A23,'financial data unpivot'!$G:$G,'Менеджеры по месяцам'!J$18),0)</f>
        <v>0</v>
      </c>
      <c r="M23">
        <f>IFERROR(SUMIFS('financial data unpivot'!$K:$K,'financial data unpivot'!$C:$C,'Менеджеры по месяцам'!$A23,'financial data unpivot'!$G:$G,'Менеджеры по месяцам'!K$18)/SUMIFS('financial data unpivot'!$I:$I,'financial data unpivot'!$C:$C,'Менеджеры по месяцам'!$A23,'financial data unpivot'!$G:$G,'Менеджеры по месяцам'!K$18),0)</f>
        <v>0</v>
      </c>
      <c r="N23">
        <f>IFERROR(SUMIFS('financial data unpivot'!$K:$K,'financial data unpivot'!$C:$C,'Менеджеры по месяцам'!$A23,'financial data unpivot'!$G:$G,'Менеджеры по месяцам'!L$18)/SUMIFS('financial data unpivot'!$I:$I,'financial data unpivot'!$C:$C,'Менеджеры по месяцам'!$A23,'financial data unpivot'!$G:$G,'Менеджеры по месяцам'!L$18),0)</f>
        <v>0</v>
      </c>
      <c r="O23">
        <f>IFERROR(SUMIFS('financial data unpivot'!$K:$K,'financial data unpivot'!$C:$C,'Менеджеры по месяцам'!$A23,'financial data unpivot'!$G:$G,'Менеджеры по месяцам'!M$18)/SUMIFS('financial data unpivot'!$I:$I,'financial data unpivot'!$C:$C,'Менеджеры по месяцам'!$A23,'financial data unpivot'!$G:$G,'Менеджеры по месяцам'!M$18),0)</f>
        <v>0</v>
      </c>
    </row>
    <row r="24" spans="1:15" x14ac:dyDescent="0.2">
      <c r="A24" s="1" t="s">
        <v>10</v>
      </c>
      <c r="B24" s="14"/>
      <c r="C24" s="15"/>
      <c r="D24">
        <f>IFERROR(SUMIFS('financial data unpivot'!$K:$K,'financial data unpivot'!$C:$C,'Менеджеры по месяцам'!$A24,'financial data unpivot'!$G:$G,'Менеджеры по месяцам'!B$18)/SUMIFS('financial data unpivot'!$I:$I,'financial data unpivot'!$C:$C,'Менеджеры по месяцам'!$A24,'financial data unpivot'!$G:$G,'Менеджеры по месяцам'!B$18),0)</f>
        <v>0</v>
      </c>
      <c r="E24">
        <f>IFERROR(SUMIFS('financial data unpivot'!$K:$K,'financial data unpivot'!$C:$C,'Менеджеры по месяцам'!$A24,'financial data unpivot'!$G:$G,'Менеджеры по месяцам'!C$18)/SUMIFS('financial data unpivot'!$I:$I,'financial data unpivot'!$C:$C,'Менеджеры по месяцам'!$A24,'financial data unpivot'!$G:$G,'Менеджеры по месяцам'!C$18),0)</f>
        <v>0</v>
      </c>
      <c r="F24">
        <f>IFERROR(SUMIFS('financial data unpivot'!$K:$K,'financial data unpivot'!$C:$C,'Менеджеры по месяцам'!$A24,'financial data unpivot'!$G:$G,'Менеджеры по месяцам'!D$18)/SUMIFS('financial data unpivot'!$I:$I,'financial data unpivot'!$C:$C,'Менеджеры по месяцам'!$A24,'financial data unpivot'!$G:$G,'Менеджеры по месяцам'!D$18),0)</f>
        <v>1.1505208333333334</v>
      </c>
      <c r="G24">
        <f>IFERROR(SUMIFS('financial data unpivot'!$K:$K,'financial data unpivot'!$C:$C,'Менеджеры по месяцам'!$A24,'financial data unpivot'!$G:$G,'Менеджеры по месяцам'!E$18)/SUMIFS('financial data unpivot'!$I:$I,'financial data unpivot'!$C:$C,'Менеджеры по месяцам'!$A24,'financial data unpivot'!$G:$G,'Менеджеры по месяцам'!E$18),0)</f>
        <v>0</v>
      </c>
      <c r="H24">
        <f>IFERROR(SUMIFS('financial data unpivot'!$K:$K,'financial data unpivot'!$C:$C,'Менеджеры по месяцам'!$A24,'financial data unpivot'!$G:$G,'Менеджеры по месяцам'!F$18)/SUMIFS('financial data unpivot'!$I:$I,'financial data unpivot'!$C:$C,'Менеджеры по месяцам'!$A24,'financial data unpivot'!$G:$G,'Менеджеры по месяцам'!F$18),0)</f>
        <v>0</v>
      </c>
      <c r="I24">
        <f>IFERROR(SUMIFS('financial data unpivot'!$K:$K,'financial data unpivot'!$C:$C,'Менеджеры по месяцам'!$A24,'financial data unpivot'!$G:$G,'Менеджеры по месяцам'!G$18)/SUMIFS('financial data unpivot'!$I:$I,'financial data unpivot'!$C:$C,'Менеджеры по месяцам'!$A24,'financial data unpivot'!$G:$G,'Менеджеры по месяцам'!G$18),0)</f>
        <v>0</v>
      </c>
      <c r="J24">
        <f>IFERROR(SUMIFS('financial data unpivot'!$K:$K,'financial data unpivot'!$C:$C,'Менеджеры по месяцам'!$A24,'financial data unpivot'!$G:$G,'Менеджеры по месяцам'!H$18)/SUMIFS('financial data unpivot'!$I:$I,'financial data unpivot'!$C:$C,'Менеджеры по месяцам'!$A24,'financial data unpivot'!$G:$G,'Менеджеры по месяцам'!H$18),0)</f>
        <v>0.29011673451109676</v>
      </c>
      <c r="K24">
        <f>IFERROR(SUMIFS('financial data unpivot'!$K:$K,'financial data unpivot'!$C:$C,'Менеджеры по месяцам'!$A24,'financial data unpivot'!$G:$G,'Менеджеры по месяцам'!I$18)/SUMIFS('financial data unpivot'!$I:$I,'financial data unpivot'!$C:$C,'Менеджеры по месяцам'!$A24,'financial data unpivot'!$G:$G,'Менеджеры по месяцам'!I$18),0)</f>
        <v>0</v>
      </c>
      <c r="L24">
        <f>IFERROR(SUMIFS('financial data unpivot'!$K:$K,'financial data unpivot'!$C:$C,'Менеджеры по месяцам'!$A24,'financial data unpivot'!$G:$G,'Менеджеры по месяцам'!J$18)/SUMIFS('financial data unpivot'!$I:$I,'financial data unpivot'!$C:$C,'Менеджеры по месяцам'!$A24,'financial data unpivot'!$G:$G,'Менеджеры по месяцам'!J$18),0)</f>
        <v>0</v>
      </c>
      <c r="M24">
        <f>IFERROR(SUMIFS('financial data unpivot'!$K:$K,'financial data unpivot'!$C:$C,'Менеджеры по месяцам'!$A24,'financial data unpivot'!$G:$G,'Менеджеры по месяцам'!K$18)/SUMIFS('financial data unpivot'!$I:$I,'financial data unpivot'!$C:$C,'Менеджеры по месяцам'!$A24,'financial data unpivot'!$G:$G,'Менеджеры по месяцам'!K$18),0)</f>
        <v>0</v>
      </c>
      <c r="N24">
        <f>IFERROR(SUMIFS('financial data unpivot'!$K:$K,'financial data unpivot'!$C:$C,'Менеджеры по месяцам'!$A24,'financial data unpivot'!$G:$G,'Менеджеры по месяцам'!L$18)/SUMIFS('financial data unpivot'!$I:$I,'financial data unpivot'!$C:$C,'Менеджеры по месяцам'!$A24,'financial data unpivot'!$G:$G,'Менеджеры по месяцам'!L$18),0)</f>
        <v>0</v>
      </c>
      <c r="O24">
        <f>IFERROR(SUMIFS('financial data unpivot'!$K:$K,'financial data unpivot'!$C:$C,'Менеджеры по месяцам'!$A24,'financial data unpivot'!$G:$G,'Менеджеры по месяцам'!M$18)/SUMIFS('financial data unpivot'!$I:$I,'financial data unpivot'!$C:$C,'Менеджеры по месяцам'!$A24,'financial data unpivot'!$G:$G,'Менеджеры по месяцам'!M$18),0)</f>
        <v>0.42702617965198308</v>
      </c>
    </row>
    <row r="25" spans="1:15" x14ac:dyDescent="0.2">
      <c r="A25" s="1" t="s">
        <v>11</v>
      </c>
      <c r="B25" s="14"/>
      <c r="C25" s="15"/>
      <c r="D25">
        <f>IFERROR(SUMIFS('financial data unpivot'!$K:$K,'financial data unpivot'!$C:$C,'Менеджеры по месяцам'!$A25,'financial data unpivot'!$G:$G,'Менеджеры по месяцам'!B$18)/SUMIFS('financial data unpivot'!$I:$I,'financial data unpivot'!$C:$C,'Менеджеры по месяцам'!$A25,'financial data unpivot'!$G:$G,'Менеджеры по месяцам'!B$18),0)</f>
        <v>0</v>
      </c>
      <c r="E25">
        <f>IFERROR(SUMIFS('financial data unpivot'!$K:$K,'financial data unpivot'!$C:$C,'Менеджеры по месяцам'!$A25,'financial data unpivot'!$G:$G,'Менеджеры по месяцам'!C$18)/SUMIFS('financial data unpivot'!$I:$I,'financial data unpivot'!$C:$C,'Менеджеры по месяцам'!$A25,'financial data unpivot'!$G:$G,'Менеджеры по месяцам'!C$18),0)</f>
        <v>0</v>
      </c>
      <c r="F25">
        <f>IFERROR(SUMIFS('financial data unpivot'!$K:$K,'financial data unpivot'!$C:$C,'Менеджеры по месяцам'!$A25,'financial data unpivot'!$G:$G,'Менеджеры по месяцам'!D$18)/SUMIFS('financial data unpivot'!$I:$I,'financial data unpivot'!$C:$C,'Менеджеры по месяцам'!$A25,'financial data unpivot'!$G:$G,'Менеджеры по месяцам'!D$18),0)</f>
        <v>0.54733761356753485</v>
      </c>
      <c r="G25">
        <f>IFERROR(SUMIFS('financial data unpivot'!$K:$K,'financial data unpivot'!$C:$C,'Менеджеры по месяцам'!$A25,'financial data unpivot'!$G:$G,'Менеджеры по месяцам'!E$18)/SUMIFS('financial data unpivot'!$I:$I,'financial data unpivot'!$C:$C,'Менеджеры по месяцам'!$A25,'financial data unpivot'!$G:$G,'Менеджеры по месяцам'!E$18),0)</f>
        <v>0</v>
      </c>
      <c r="H25">
        <f>IFERROR(SUMIFS('financial data unpivot'!$K:$K,'financial data unpivot'!$C:$C,'Менеджеры по месяцам'!$A25,'financial data unpivot'!$G:$G,'Менеджеры по месяцам'!F$18)/SUMIFS('financial data unpivot'!$I:$I,'financial data unpivot'!$C:$C,'Менеджеры по месяцам'!$A25,'financial data unpivot'!$G:$G,'Менеджеры по месяцам'!F$18),0)</f>
        <v>0</v>
      </c>
      <c r="I25">
        <f>IFERROR(SUMIFS('financial data unpivot'!$K:$K,'financial data unpivot'!$C:$C,'Менеджеры по месяцам'!$A25,'financial data unpivot'!$G:$G,'Менеджеры по месяцам'!G$18)/SUMIFS('financial data unpivot'!$I:$I,'financial data unpivot'!$C:$C,'Менеджеры по месяцам'!$A25,'financial data unpivot'!$G:$G,'Менеджеры по месяцам'!G$18),0)</f>
        <v>0</v>
      </c>
      <c r="J25">
        <f>IFERROR(SUMIFS('financial data unpivot'!$K:$K,'financial data unpivot'!$C:$C,'Менеджеры по месяцам'!$A25,'financial data unpivot'!$G:$G,'Менеджеры по месяцам'!H$18)/SUMIFS('financial data unpivot'!$I:$I,'financial data unpivot'!$C:$C,'Менеджеры по месяцам'!$A25,'financial data unpivot'!$G:$G,'Менеджеры по месяцам'!H$18),0)</f>
        <v>0</v>
      </c>
      <c r="K25">
        <f>IFERROR(SUMIFS('financial data unpivot'!$K:$K,'financial data unpivot'!$C:$C,'Менеджеры по месяцам'!$A25,'financial data unpivot'!$G:$G,'Менеджеры по месяцам'!I$18)/SUMIFS('financial data unpivot'!$I:$I,'financial data unpivot'!$C:$C,'Менеджеры по месяцам'!$A25,'financial data unpivot'!$G:$G,'Менеджеры по месяцам'!I$18),0)</f>
        <v>0</v>
      </c>
      <c r="L25">
        <f>IFERROR(SUMIFS('financial data unpivot'!$K:$K,'financial data unpivot'!$C:$C,'Менеджеры по месяцам'!$A25,'financial data unpivot'!$G:$G,'Менеджеры по месяцам'!J$18)/SUMIFS('financial data unpivot'!$I:$I,'financial data unpivot'!$C:$C,'Менеджеры по месяцам'!$A25,'financial data unpivot'!$G:$G,'Менеджеры по месяцам'!J$18),0)</f>
        <v>0</v>
      </c>
      <c r="M25">
        <f>IFERROR(SUMIFS('financial data unpivot'!$K:$K,'financial data unpivot'!$C:$C,'Менеджеры по месяцам'!$A25,'financial data unpivot'!$G:$G,'Менеджеры по месяцам'!K$18)/SUMIFS('financial data unpivot'!$I:$I,'financial data unpivot'!$C:$C,'Менеджеры по месяцам'!$A25,'financial data unpivot'!$G:$G,'Менеджеры по месяцам'!K$18),0)</f>
        <v>0</v>
      </c>
      <c r="N25">
        <f>IFERROR(SUMIFS('financial data unpivot'!$K:$K,'financial data unpivot'!$C:$C,'Менеджеры по месяцам'!$A25,'financial data unpivot'!$G:$G,'Менеджеры по месяцам'!L$18)/SUMIFS('financial data unpivot'!$I:$I,'financial data unpivot'!$C:$C,'Менеджеры по месяцам'!$A25,'financial data unpivot'!$G:$G,'Менеджеры по месяцам'!L$18),0)</f>
        <v>0</v>
      </c>
      <c r="O25">
        <f>IFERROR(SUMIFS('financial data unpivot'!$K:$K,'financial data unpivot'!$C:$C,'Менеджеры по месяцам'!$A25,'financial data unpivot'!$G:$G,'Менеджеры по месяцам'!M$18)/SUMIFS('financial data unpivot'!$I:$I,'financial data unpivot'!$C:$C,'Менеджеры по месяцам'!$A25,'financial data unpivot'!$G:$G,'Менеджеры по месяцам'!M$18),0)</f>
        <v>0</v>
      </c>
    </row>
    <row r="26" spans="1:15" x14ac:dyDescent="0.2">
      <c r="A26" s="1" t="s">
        <v>24</v>
      </c>
      <c r="B26" s="14"/>
      <c r="C26" s="15"/>
      <c r="D26">
        <f>IFERROR(SUMIFS('financial data unpivot'!$K:$K,'financial data unpivot'!$C:$C,'Менеджеры по месяцам'!$A26,'financial data unpivot'!$G:$G,'Менеджеры по месяцам'!B$18)/SUMIFS('financial data unpivot'!$I:$I,'financial data unpivot'!$C:$C,'Менеджеры по месяцам'!$A26,'financial data unpivot'!$G:$G,'Менеджеры по месяцам'!B$18),0)</f>
        <v>0</v>
      </c>
      <c r="E26">
        <f>IFERROR(SUMIFS('financial data unpivot'!$K:$K,'financial data unpivot'!$C:$C,'Менеджеры по месяцам'!$A26,'financial data unpivot'!$G:$G,'Менеджеры по месяцам'!C$18)/SUMIFS('financial data unpivot'!$I:$I,'financial data unpivot'!$C:$C,'Менеджеры по месяцам'!$A26,'financial data unpivot'!$G:$G,'Менеджеры по месяцам'!C$18),0)</f>
        <v>0</v>
      </c>
      <c r="F26">
        <f>IFERROR(SUMIFS('financial data unpivot'!$K:$K,'financial data unpivot'!$C:$C,'Менеджеры по месяцам'!$A26,'financial data unpivot'!$G:$G,'Менеджеры по месяцам'!D$18)/SUMIFS('financial data unpivot'!$I:$I,'financial data unpivot'!$C:$C,'Менеджеры по месяцам'!$A26,'financial data unpivot'!$G:$G,'Менеджеры по месяцам'!D$18),0)</f>
        <v>0</v>
      </c>
      <c r="G26">
        <f>IFERROR(SUMIFS('financial data unpivot'!$K:$K,'financial data unpivot'!$C:$C,'Менеджеры по месяцам'!$A26,'financial data unpivot'!$G:$G,'Менеджеры по месяцам'!E$18)/SUMIFS('financial data unpivot'!$I:$I,'financial data unpivot'!$C:$C,'Менеджеры по месяцам'!$A26,'financial data unpivot'!$G:$G,'Менеджеры по месяцам'!E$18),0)</f>
        <v>0</v>
      </c>
      <c r="H26">
        <f>IFERROR(SUMIFS('financial data unpivot'!$K:$K,'financial data unpivot'!$C:$C,'Менеджеры по месяцам'!$A26,'financial data unpivot'!$G:$G,'Менеджеры по месяцам'!F$18)/SUMIFS('financial data unpivot'!$I:$I,'financial data unpivot'!$C:$C,'Менеджеры по месяцам'!$A26,'financial data unpivot'!$G:$G,'Менеджеры по месяцам'!F$18),0)</f>
        <v>0</v>
      </c>
      <c r="I26">
        <f>IFERROR(SUMIFS('financial data unpivot'!$K:$K,'financial data unpivot'!$C:$C,'Менеджеры по месяцам'!$A26,'financial data unpivot'!$G:$G,'Менеджеры по месяцам'!G$18)/SUMIFS('financial data unpivot'!$I:$I,'financial data unpivot'!$C:$C,'Менеджеры по месяцам'!$A26,'financial data unpivot'!$G:$G,'Менеджеры по месяцам'!G$18),0)</f>
        <v>0</v>
      </c>
      <c r="J26">
        <f>IFERROR(SUMIFS('financial data unpivot'!$K:$K,'financial data unpivot'!$C:$C,'Менеджеры по месяцам'!$A26,'financial data unpivot'!$G:$G,'Менеджеры по месяцам'!H$18)/SUMIFS('financial data unpivot'!$I:$I,'financial data unpivot'!$C:$C,'Менеджеры по месяцам'!$A26,'financial data unpivot'!$G:$G,'Менеджеры по месяцам'!H$18),0)</f>
        <v>0</v>
      </c>
      <c r="K26">
        <f>IFERROR(SUMIFS('financial data unpivot'!$K:$K,'financial data unpivot'!$C:$C,'Менеджеры по месяцам'!$A26,'financial data unpivot'!$G:$G,'Менеджеры по месяцам'!I$18)/SUMIFS('financial data unpivot'!$I:$I,'financial data unpivot'!$C:$C,'Менеджеры по месяцам'!$A26,'financial data unpivot'!$G:$G,'Менеджеры по месяцам'!I$18),0)</f>
        <v>0</v>
      </c>
      <c r="L26">
        <f>IFERROR(SUMIFS('financial data unpivot'!$K:$K,'financial data unpivot'!$C:$C,'Менеджеры по месяцам'!$A26,'financial data unpivot'!$G:$G,'Менеджеры по месяцам'!J$18)/SUMIFS('financial data unpivot'!$I:$I,'financial data unpivot'!$C:$C,'Менеджеры по месяцам'!$A26,'financial data unpivot'!$G:$G,'Менеджеры по месяцам'!J$18),0)</f>
        <v>0</v>
      </c>
      <c r="M26">
        <f>IFERROR(SUMIFS('financial data unpivot'!$K:$K,'financial data unpivot'!$C:$C,'Менеджеры по месяцам'!$A26,'financial data unpivot'!$G:$G,'Менеджеры по месяцам'!K$18)/SUMIFS('financial data unpivot'!$I:$I,'financial data unpivot'!$C:$C,'Менеджеры по месяцам'!$A26,'financial data unpivot'!$G:$G,'Менеджеры по месяцам'!K$18),0)</f>
        <v>0</v>
      </c>
      <c r="N26">
        <f>IFERROR(SUMIFS('financial data unpivot'!$K:$K,'financial data unpivot'!$C:$C,'Менеджеры по месяцам'!$A26,'financial data unpivot'!$G:$G,'Менеджеры по месяцам'!L$18)/SUMIFS('financial data unpivot'!$I:$I,'financial data unpivot'!$C:$C,'Менеджеры по месяцам'!$A26,'financial data unpivot'!$G:$G,'Менеджеры по месяцам'!L$18),0)</f>
        <v>0</v>
      </c>
      <c r="O26">
        <f>IFERROR(SUMIFS('financial data unpivot'!$K:$K,'financial data unpivot'!$C:$C,'Менеджеры по месяцам'!$A26,'financial data unpivot'!$G:$G,'Менеджеры по месяцам'!M$18)/SUMIFS('financial data unpivot'!$I:$I,'financial data unpivot'!$C:$C,'Менеджеры по месяцам'!$A26,'financial data unpivot'!$G:$G,'Менеджеры по месяцам'!M$18),0)</f>
        <v>0</v>
      </c>
    </row>
    <row r="27" spans="1:15" x14ac:dyDescent="0.2">
      <c r="A27" s="1" t="s">
        <v>26</v>
      </c>
      <c r="B27" s="14"/>
      <c r="C27" s="15"/>
      <c r="D27">
        <f>IFERROR(SUMIFS('financial data unpivot'!$K:$K,'financial data unpivot'!$C:$C,'Менеджеры по месяцам'!$A27,'financial data unpivot'!$G:$G,'Менеджеры по месяцам'!B$18)/SUMIFS('financial data unpivot'!$I:$I,'financial data unpivot'!$C:$C,'Менеджеры по месяцам'!$A27,'financial data unpivot'!$G:$G,'Менеджеры по месяцам'!B$18),0)</f>
        <v>0</v>
      </c>
      <c r="E27">
        <f>IFERROR(SUMIFS('financial data unpivot'!$K:$K,'financial data unpivot'!$C:$C,'Менеджеры по месяцам'!$A27,'financial data unpivot'!$G:$G,'Менеджеры по месяцам'!C$18)/SUMIFS('financial data unpivot'!$I:$I,'financial data unpivot'!$C:$C,'Менеджеры по месяцам'!$A27,'financial data unpivot'!$G:$G,'Менеджеры по месяцам'!C$18),0)</f>
        <v>0</v>
      </c>
      <c r="F27">
        <f>IFERROR(SUMIFS('financial data unpivot'!$K:$K,'financial data unpivot'!$C:$C,'Менеджеры по месяцам'!$A27,'financial data unpivot'!$G:$G,'Менеджеры по месяцам'!D$18)/SUMIFS('financial data unpivot'!$I:$I,'financial data unpivot'!$C:$C,'Менеджеры по месяцам'!$A27,'financial data unpivot'!$G:$G,'Менеджеры по месяцам'!D$18),0)</f>
        <v>0</v>
      </c>
      <c r="G27">
        <f>IFERROR(SUMIFS('financial data unpivot'!$K:$K,'financial data unpivot'!$C:$C,'Менеджеры по месяцам'!$A27,'financial data unpivot'!$G:$G,'Менеджеры по месяцам'!E$18)/SUMIFS('financial data unpivot'!$I:$I,'financial data unpivot'!$C:$C,'Менеджеры по месяцам'!$A27,'financial data unpivot'!$G:$G,'Менеджеры по месяцам'!E$18),0)</f>
        <v>0</v>
      </c>
      <c r="H27">
        <f>IFERROR(SUMIFS('financial data unpivot'!$K:$K,'financial data unpivot'!$C:$C,'Менеджеры по месяцам'!$A27,'financial data unpivot'!$G:$G,'Менеджеры по месяцам'!F$18)/SUMIFS('financial data unpivot'!$I:$I,'financial data unpivot'!$C:$C,'Менеджеры по месяцам'!$A27,'financial data unpivot'!$G:$G,'Менеджеры по месяцам'!F$18),0)</f>
        <v>0</v>
      </c>
      <c r="I27">
        <f>IFERROR(SUMIFS('financial data unpivot'!$K:$K,'financial data unpivot'!$C:$C,'Менеджеры по месяцам'!$A27,'financial data unpivot'!$G:$G,'Менеджеры по месяцам'!G$18)/SUMIFS('financial data unpivot'!$I:$I,'financial data unpivot'!$C:$C,'Менеджеры по месяцам'!$A27,'financial data unpivot'!$G:$G,'Менеджеры по месяцам'!G$18),0)</f>
        <v>0</v>
      </c>
      <c r="J27">
        <f>IFERROR(SUMIFS('financial data unpivot'!$K:$K,'financial data unpivot'!$C:$C,'Менеджеры по месяцам'!$A27,'financial data unpivot'!$G:$G,'Менеджеры по месяцам'!H$18)/SUMIFS('financial data unpivot'!$I:$I,'financial data unpivot'!$C:$C,'Менеджеры по месяцам'!$A27,'financial data unpivot'!$G:$G,'Менеджеры по месяцам'!H$18),0)</f>
        <v>0</v>
      </c>
      <c r="K27">
        <f>IFERROR(SUMIFS('financial data unpivot'!$K:$K,'financial data unpivot'!$C:$C,'Менеджеры по месяцам'!$A27,'financial data unpivot'!$G:$G,'Менеджеры по месяцам'!I$18)/SUMIFS('financial data unpivot'!$I:$I,'financial data unpivot'!$C:$C,'Менеджеры по месяцам'!$A27,'financial data unpivot'!$G:$G,'Менеджеры по месяцам'!I$18),0)</f>
        <v>0</v>
      </c>
      <c r="L27">
        <f>IFERROR(SUMIFS('financial data unpivot'!$K:$K,'financial data unpivot'!$C:$C,'Менеджеры по месяцам'!$A27,'financial data unpivot'!$G:$G,'Менеджеры по месяцам'!J$18)/SUMIFS('financial data unpivot'!$I:$I,'financial data unpivot'!$C:$C,'Менеджеры по месяцам'!$A27,'financial data unpivot'!$G:$G,'Менеджеры по месяцам'!J$18),0)</f>
        <v>0</v>
      </c>
      <c r="M27">
        <f>IFERROR(SUMIFS('financial data unpivot'!$K:$K,'financial data unpivot'!$C:$C,'Менеджеры по месяцам'!$A27,'financial data unpivot'!$G:$G,'Менеджеры по месяцам'!K$18)/SUMIFS('financial data unpivot'!$I:$I,'financial data unpivot'!$C:$C,'Менеджеры по месяцам'!$A27,'financial data unpivot'!$G:$G,'Менеджеры по месяцам'!K$18),0)</f>
        <v>0</v>
      </c>
      <c r="N27">
        <f>IFERROR(SUMIFS('financial data unpivot'!$K:$K,'financial data unpivot'!$C:$C,'Менеджеры по месяцам'!$A27,'financial data unpivot'!$G:$G,'Менеджеры по месяцам'!L$18)/SUMIFS('financial data unpivot'!$I:$I,'financial data unpivot'!$C:$C,'Менеджеры по месяцам'!$A27,'financial data unpivot'!$G:$G,'Менеджеры по месяцам'!L$18),0)</f>
        <v>0</v>
      </c>
      <c r="O27">
        <f>IFERROR(SUMIFS('financial data unpivot'!$K:$K,'financial data unpivot'!$C:$C,'Менеджеры по месяцам'!$A27,'financial data unpivot'!$G:$G,'Менеджеры по месяцам'!M$18)/SUMIFS('financial data unpivot'!$I:$I,'financial data unpivot'!$C:$C,'Менеджеры по месяцам'!$A27,'financial data unpivot'!$G:$G,'Менеджеры по месяцам'!M$18),0)</f>
        <v>0</v>
      </c>
    </row>
    <row r="28" spans="1:15" x14ac:dyDescent="0.2">
      <c r="A28" s="1" t="s">
        <v>19</v>
      </c>
      <c r="B28" s="15"/>
      <c r="C28" s="15"/>
      <c r="D28">
        <f>IFERROR(SUMIFS('financial data unpivot'!$K:$K,'financial data unpivot'!$C:$C,'Менеджеры по месяцам'!$A28,'financial data unpivot'!$G:$G,'Менеджеры по месяцам'!B$18)/SUMIFS('financial data unpivot'!$I:$I,'financial data unpivot'!$C:$C,'Менеджеры по месяцам'!$A28,'financial data unpivot'!$G:$G,'Менеджеры по месяцам'!B$18),0)</f>
        <v>0</v>
      </c>
      <c r="E28">
        <f>IFERROR(SUMIFS('financial data unpivot'!$K:$K,'financial data unpivot'!$C:$C,'Менеджеры по месяцам'!$A28,'financial data unpivot'!$G:$G,'Менеджеры по месяцам'!C$18)/SUMIFS('financial data unpivot'!$I:$I,'financial data unpivot'!$C:$C,'Менеджеры по месяцам'!$A28,'financial data unpivot'!$G:$G,'Менеджеры по месяцам'!C$18),0)</f>
        <v>0</v>
      </c>
      <c r="F28">
        <f>IFERROR(SUMIFS('financial data unpivot'!$K:$K,'financial data unpivot'!$C:$C,'Менеджеры по месяцам'!$A28,'financial data unpivot'!$G:$G,'Менеджеры по месяцам'!D$18)/SUMIFS('financial data unpivot'!$I:$I,'financial data unpivot'!$C:$C,'Менеджеры по месяцам'!$A28,'financial data unpivot'!$G:$G,'Менеджеры по месяцам'!D$18),0)</f>
        <v>0</v>
      </c>
      <c r="G28">
        <f>IFERROR(SUMIFS('financial data unpivot'!$K:$K,'financial data unpivot'!$C:$C,'Менеджеры по месяцам'!$A28,'financial data unpivot'!$G:$G,'Менеджеры по месяцам'!E$18)/SUMIFS('financial data unpivot'!$I:$I,'financial data unpivot'!$C:$C,'Менеджеры по месяцам'!$A28,'financial data unpivot'!$G:$G,'Менеджеры по месяцам'!E$18),0)</f>
        <v>0</v>
      </c>
      <c r="H28">
        <f>IFERROR(SUMIFS('financial data unpivot'!$K:$K,'financial data unpivot'!$C:$C,'Менеджеры по месяцам'!$A28,'financial data unpivot'!$G:$G,'Менеджеры по месяцам'!F$18)/SUMIFS('financial data unpivot'!$I:$I,'financial data unpivot'!$C:$C,'Менеджеры по месяцам'!$A28,'financial data unpivot'!$G:$G,'Менеджеры по месяцам'!F$18),0)</f>
        <v>0</v>
      </c>
      <c r="I28">
        <f>IFERROR(SUMIFS('financial data unpivot'!$K:$K,'financial data unpivot'!$C:$C,'Менеджеры по месяцам'!$A28,'financial data unpivot'!$G:$G,'Менеджеры по месяцам'!G$18)/SUMIFS('financial data unpivot'!$I:$I,'financial data unpivot'!$C:$C,'Менеджеры по месяцам'!$A28,'financial data unpivot'!$G:$G,'Менеджеры по месяцам'!G$18),0)</f>
        <v>0</v>
      </c>
      <c r="J28">
        <f>IFERROR(SUMIFS('financial data unpivot'!$K:$K,'financial data unpivot'!$C:$C,'Менеджеры по месяцам'!$A28,'financial data unpivot'!$G:$G,'Менеджеры по месяцам'!H$18)/SUMIFS('financial data unpivot'!$I:$I,'financial data unpivot'!$C:$C,'Менеджеры по месяцам'!$A28,'financial data unpivot'!$G:$G,'Менеджеры по месяцам'!H$18),0)</f>
        <v>0</v>
      </c>
      <c r="K28">
        <f>IFERROR(SUMIFS('financial data unpivot'!$K:$K,'financial data unpivot'!$C:$C,'Менеджеры по месяцам'!$A28,'financial data unpivot'!$G:$G,'Менеджеры по месяцам'!I$18)/SUMIFS('financial data unpivot'!$I:$I,'financial data unpivot'!$C:$C,'Менеджеры по месяцам'!$A28,'financial data unpivot'!$G:$G,'Менеджеры по месяцам'!I$18),0)</f>
        <v>0</v>
      </c>
      <c r="L28">
        <f>IFERROR(SUMIFS('financial data unpivot'!$K:$K,'financial data unpivot'!$C:$C,'Менеджеры по месяцам'!$A28,'financial data unpivot'!$G:$G,'Менеджеры по месяцам'!J$18)/SUMIFS('financial data unpivot'!$I:$I,'financial data unpivot'!$C:$C,'Менеджеры по месяцам'!$A28,'financial data unpivot'!$G:$G,'Менеджеры по месяцам'!J$18),0)</f>
        <v>0</v>
      </c>
      <c r="M28">
        <f>IFERROR(SUMIFS('financial data unpivot'!$K:$K,'financial data unpivot'!$C:$C,'Менеджеры по месяцам'!$A28,'financial data unpivot'!$G:$G,'Менеджеры по месяцам'!K$18)/SUMIFS('financial data unpivot'!$I:$I,'financial data unpivot'!$C:$C,'Менеджеры по месяцам'!$A28,'financial data unpivot'!$G:$G,'Менеджеры по месяцам'!K$18),0)</f>
        <v>0</v>
      </c>
      <c r="N28">
        <f>IFERROR(SUMIFS('financial data unpivot'!$K:$K,'financial data unpivot'!$C:$C,'Менеджеры по месяцам'!$A28,'financial data unpivot'!$G:$G,'Менеджеры по месяцам'!L$18)/SUMIFS('financial data unpivot'!$I:$I,'financial data unpivot'!$C:$C,'Менеджеры по месяцам'!$A28,'financial data unpivot'!$G:$G,'Менеджеры по месяцам'!L$18),0)</f>
        <v>0</v>
      </c>
      <c r="O28">
        <f>IFERROR(SUMIFS('financial data unpivot'!$K:$K,'financial data unpivot'!$C:$C,'Менеджеры по месяцам'!$A28,'financial data unpivot'!$G:$G,'Менеджеры по месяцам'!M$18)/SUMIFS('financial data unpivot'!$I:$I,'financial data unpivot'!$C:$C,'Менеджеры по месяцам'!$A28,'financial data unpivot'!$G:$G,'Менеджеры по месяцам'!M$18),0)</f>
        <v>0</v>
      </c>
    </row>
  </sheetData>
  <mergeCells count="6">
    <mergeCell ref="A1:B1"/>
    <mergeCell ref="A2:A3"/>
    <mergeCell ref="A16:B16"/>
    <mergeCell ref="A17:A18"/>
    <mergeCell ref="B17:O17"/>
    <mergeCell ref="B2:O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301031-2D3E-4B78-9B67-BD886860D7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financial data</vt:lpstr>
      <vt:lpstr>prolongations</vt:lpstr>
      <vt:lpstr>financial data unpivot</vt:lpstr>
      <vt:lpstr>Весь отдел</vt:lpstr>
      <vt:lpstr>Менеджер за год</vt:lpstr>
      <vt:lpstr>Менеджеры по месяцам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Марат Саргсян</dc:creator>
  <cp:lastModifiedBy>мадро брадро</cp:lastModifiedBy>
  <dcterms:created xsi:type="dcterms:W3CDTF">2026-05-09T20:42:03Z</dcterms:created>
  <dcterms:modified xsi:type="dcterms:W3CDTF">2026-05-10T07:03:50Z</dcterms:modified>
</cp:coreProperties>
</file>