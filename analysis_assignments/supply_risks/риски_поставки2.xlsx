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Поставка" sheetId="2" r:id="rId1"/>
    <sheet name="Справочник условий" sheetId="1" r:id="rId2"/>
  </sheets>
  <definedNames>
    <definedName name="ExternalData_1" localSheetId="0" hidden="1">Поставка!$A$1:$G$115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E6" i="1" s="1"/>
  <c r="C7" i="1"/>
  <c r="E7" i="1" s="1"/>
  <c r="K2" i="1" l="1"/>
  <c r="C4" i="1"/>
  <c r="E4" i="1" s="1"/>
  <c r="C3" i="1"/>
  <c r="E3" i="1" s="1"/>
  <c r="C2" i="1"/>
  <c r="E2" i="1" s="1"/>
  <c r="C5" i="1" l="1"/>
  <c r="E5" i="1" s="1"/>
  <c r="I26" i="2" s="1"/>
  <c r="J26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2" i="2"/>
  <c r="I104" i="2" l="1"/>
  <c r="J104" i="2" s="1"/>
  <c r="I7" i="2"/>
  <c r="J7" i="2" s="1"/>
  <c r="I60" i="2"/>
  <c r="J60" i="2" s="1"/>
  <c r="I9" i="2"/>
  <c r="J9" i="2" s="1"/>
  <c r="I30" i="2"/>
  <c r="J30" i="2" s="1"/>
  <c r="I39" i="2"/>
  <c r="J39" i="2" s="1"/>
  <c r="I106" i="2"/>
  <c r="J106" i="2" s="1"/>
  <c r="I20" i="2"/>
  <c r="J20" i="2" s="1"/>
  <c r="I18" i="2"/>
  <c r="J18" i="2" s="1"/>
  <c r="I4" i="2"/>
  <c r="J4" i="2" s="1"/>
  <c r="L7" i="2"/>
  <c r="M7" i="2" s="1"/>
  <c r="I108" i="2"/>
  <c r="J108" i="2" s="1"/>
  <c r="I6" i="2"/>
  <c r="J6" i="2" s="1"/>
  <c r="I37" i="2"/>
  <c r="J37" i="2" s="1"/>
  <c r="I35" i="2"/>
  <c r="J35" i="2" s="1"/>
  <c r="I43" i="2"/>
  <c r="J43" i="2" s="1"/>
  <c r="I85" i="2"/>
  <c r="J85" i="2" s="1"/>
  <c r="I3" i="2"/>
  <c r="J3" i="2" s="1"/>
  <c r="I53" i="2"/>
  <c r="J53" i="2" s="1"/>
  <c r="I79" i="2"/>
  <c r="J79" i="2" s="1"/>
  <c r="I16" i="2"/>
  <c r="J16" i="2" s="1"/>
  <c r="I97" i="2"/>
  <c r="J97" i="2" s="1"/>
  <c r="I114" i="2"/>
  <c r="J114" i="2" s="1"/>
  <c r="I2" i="2"/>
  <c r="J2" i="2" s="1"/>
  <c r="I94" i="2"/>
  <c r="J94" i="2" s="1"/>
  <c r="I8" i="2"/>
  <c r="J8" i="2" s="1"/>
  <c r="I90" i="2"/>
  <c r="J90" i="2" s="1"/>
  <c r="I36" i="2"/>
  <c r="J36" i="2" s="1"/>
  <c r="I77" i="2"/>
  <c r="J77" i="2" s="1"/>
  <c r="I70" i="2"/>
  <c r="J70" i="2" s="1"/>
  <c r="I105" i="2"/>
  <c r="J105" i="2" s="1"/>
  <c r="I83" i="2"/>
  <c r="J83" i="2" s="1"/>
  <c r="I96" i="2"/>
  <c r="J96" i="2" s="1"/>
  <c r="I31" i="2"/>
  <c r="J31" i="2" s="1"/>
  <c r="I113" i="2"/>
  <c r="J113" i="2" s="1"/>
  <c r="I112" i="2"/>
  <c r="J112" i="2" s="1"/>
  <c r="I101" i="2"/>
  <c r="J101" i="2" s="1"/>
  <c r="I110" i="2"/>
  <c r="J110" i="2" s="1"/>
  <c r="I81" i="2"/>
  <c r="J81" i="2" s="1"/>
  <c r="I88" i="2"/>
  <c r="J88" i="2" s="1"/>
  <c r="I11" i="2"/>
  <c r="J11" i="2" s="1"/>
  <c r="I32" i="2"/>
  <c r="J32" i="2" s="1"/>
  <c r="I84" i="2"/>
  <c r="J84" i="2" s="1"/>
  <c r="I14" i="2"/>
  <c r="J14" i="2" s="1"/>
  <c r="I12" i="2"/>
  <c r="J12" i="2" s="1"/>
  <c r="I67" i="2"/>
  <c r="J67" i="2" s="1"/>
  <c r="I27" i="2"/>
  <c r="J27" i="2" s="1"/>
  <c r="I95" i="2"/>
  <c r="J95" i="2" s="1"/>
  <c r="I55" i="2"/>
  <c r="J55" i="2" s="1"/>
  <c r="I15" i="2"/>
  <c r="J15" i="2" s="1"/>
  <c r="I82" i="2"/>
  <c r="J82" i="2" s="1"/>
  <c r="I49" i="2"/>
  <c r="J49" i="2" s="1"/>
  <c r="I102" i="2"/>
  <c r="J102" i="2" s="1"/>
  <c r="I58" i="2"/>
  <c r="J58" i="2" s="1"/>
  <c r="I93" i="2"/>
  <c r="J93" i="2" s="1"/>
  <c r="I47" i="2"/>
  <c r="J47" i="2" s="1"/>
  <c r="I72" i="2"/>
  <c r="J72" i="2" s="1"/>
  <c r="I19" i="2"/>
  <c r="J19" i="2" s="1"/>
  <c r="I65" i="2"/>
  <c r="J65" i="2" s="1"/>
  <c r="I100" i="2"/>
  <c r="J100" i="2" s="1"/>
  <c r="I89" i="2"/>
  <c r="J89" i="2" s="1"/>
  <c r="I98" i="2"/>
  <c r="J98" i="2" s="1"/>
  <c r="I46" i="2"/>
  <c r="J46" i="2" s="1"/>
  <c r="I24" i="2"/>
  <c r="J24" i="2" s="1"/>
  <c r="I111" i="2"/>
  <c r="J111" i="2" s="1"/>
  <c r="I86" i="2"/>
  <c r="J86" i="2" s="1"/>
  <c r="L86" i="2"/>
  <c r="M86" i="2" s="1"/>
  <c r="L26" i="2"/>
  <c r="M26" i="2" s="1"/>
  <c r="I34" i="2"/>
  <c r="J34" i="2" s="1"/>
  <c r="I69" i="2"/>
  <c r="J69" i="2" s="1"/>
  <c r="I41" i="2"/>
  <c r="J41" i="2" s="1"/>
  <c r="I74" i="2"/>
  <c r="J74" i="2" s="1"/>
  <c r="L37" i="2"/>
  <c r="M37" i="2" s="1"/>
  <c r="I61" i="2"/>
  <c r="J61" i="2" s="1"/>
  <c r="I22" i="2"/>
  <c r="J22" i="2" s="1"/>
  <c r="I57" i="2"/>
  <c r="J57" i="2" s="1"/>
  <c r="I80" i="2"/>
  <c r="J80" i="2" s="1"/>
  <c r="I23" i="2"/>
  <c r="J23" i="2" s="1"/>
  <c r="I78" i="2"/>
  <c r="J78" i="2" s="1"/>
  <c r="I29" i="2"/>
  <c r="J29" i="2" s="1"/>
  <c r="I64" i="2"/>
  <c r="J64" i="2" s="1"/>
  <c r="I87" i="2"/>
  <c r="J87" i="2" s="1"/>
  <c r="I62" i="2"/>
  <c r="J62" i="2" s="1"/>
  <c r="I48" i="2"/>
  <c r="J48" i="2" s="1"/>
  <c r="I10" i="2"/>
  <c r="J10" i="2" s="1"/>
  <c r="I45" i="2"/>
  <c r="J45" i="2" s="1"/>
  <c r="I68" i="2"/>
  <c r="J68" i="2" s="1"/>
  <c r="I115" i="2"/>
  <c r="J115" i="2" s="1"/>
  <c r="I66" i="2"/>
  <c r="J66" i="2" s="1"/>
  <c r="I17" i="2"/>
  <c r="J17" i="2" s="1"/>
  <c r="I52" i="2"/>
  <c r="J52" i="2" s="1"/>
  <c r="I75" i="2"/>
  <c r="J75" i="2" s="1"/>
  <c r="I50" i="2"/>
  <c r="J50" i="2" s="1"/>
  <c r="I92" i="2"/>
  <c r="J92" i="2" s="1"/>
  <c r="I71" i="2"/>
  <c r="J71" i="2" s="1"/>
  <c r="I25" i="2"/>
  <c r="J25" i="2" s="1"/>
  <c r="I76" i="2"/>
  <c r="J76" i="2" s="1"/>
  <c r="I99" i="2"/>
  <c r="J99" i="2" s="1"/>
  <c r="L35" i="2"/>
  <c r="M35" i="2" s="1"/>
  <c r="I107" i="2"/>
  <c r="J107" i="2" s="1"/>
  <c r="I109" i="2"/>
  <c r="J109" i="2" s="1"/>
  <c r="I33" i="2"/>
  <c r="J33" i="2" s="1"/>
  <c r="I56" i="2"/>
  <c r="J56" i="2" s="1"/>
  <c r="I103" i="2"/>
  <c r="J103" i="2" s="1"/>
  <c r="I54" i="2"/>
  <c r="J54" i="2" s="1"/>
  <c r="I5" i="2"/>
  <c r="J5" i="2" s="1"/>
  <c r="I40" i="2"/>
  <c r="J40" i="2" s="1"/>
  <c r="I63" i="2"/>
  <c r="J63" i="2" s="1"/>
  <c r="I38" i="2"/>
  <c r="J38" i="2" s="1"/>
  <c r="L94" i="2"/>
  <c r="M94" i="2" s="1"/>
  <c r="I59" i="2"/>
  <c r="J59" i="2" s="1"/>
  <c r="I13" i="2"/>
  <c r="J13" i="2" s="1"/>
  <c r="I21" i="2"/>
  <c r="J21" i="2" s="1"/>
  <c r="I44" i="2"/>
  <c r="J44" i="2" s="1"/>
  <c r="I91" i="2"/>
  <c r="J91" i="2" s="1"/>
  <c r="I42" i="2"/>
  <c r="J42" i="2" s="1"/>
  <c r="I73" i="2"/>
  <c r="J73" i="2" s="1"/>
  <c r="I28" i="2"/>
  <c r="J28" i="2" s="1"/>
  <c r="I51" i="2"/>
  <c r="J51" i="2" s="1"/>
  <c r="L2" i="2" l="1"/>
  <c r="M2" i="2" s="1"/>
  <c r="L70" i="2"/>
  <c r="M70" i="2" s="1"/>
  <c r="L58" i="2"/>
  <c r="M58" i="2" s="1"/>
  <c r="L46" i="2"/>
  <c r="M46" i="2" s="1"/>
  <c r="L11" i="2"/>
  <c r="M11" i="2" s="1"/>
  <c r="L104" i="2"/>
  <c r="M104" i="2" s="1"/>
  <c r="L77" i="2"/>
  <c r="M77" i="2" s="1"/>
  <c r="L78" i="2"/>
  <c r="M78" i="2" s="1"/>
  <c r="L24" i="2"/>
  <c r="M24" i="2" s="1"/>
  <c r="L114" i="2"/>
  <c r="M114" i="2" s="1"/>
  <c r="L61" i="2"/>
  <c r="M61" i="2" s="1"/>
  <c r="L22" i="2"/>
  <c r="M22" i="2" s="1"/>
  <c r="L36" i="2"/>
  <c r="M36" i="2" s="1"/>
  <c r="L53" i="2"/>
  <c r="M53" i="2" s="1"/>
  <c r="L39" i="2"/>
  <c r="M39" i="2" s="1"/>
  <c r="L74" i="2"/>
  <c r="M74" i="2" s="1"/>
  <c r="L44" i="2"/>
  <c r="M44" i="2" s="1"/>
  <c r="L106" i="2"/>
  <c r="M106" i="2" s="1"/>
  <c r="L33" i="2"/>
  <c r="M33" i="2" s="1"/>
  <c r="L23" i="2"/>
  <c r="M23" i="2" s="1"/>
  <c r="L62" i="2"/>
  <c r="M62" i="2" s="1"/>
  <c r="L56" i="2"/>
  <c r="M56" i="2" s="1"/>
  <c r="L12" i="2"/>
  <c r="M12" i="2" s="1"/>
  <c r="L50" i="2"/>
  <c r="M50" i="2" s="1"/>
  <c r="L66" i="2"/>
  <c r="M66" i="2" s="1"/>
  <c r="L68" i="2"/>
  <c r="M68" i="2" s="1"/>
  <c r="L49" i="2"/>
  <c r="M49" i="2" s="1"/>
  <c r="L34" i="2"/>
  <c r="M34" i="2" s="1"/>
  <c r="L102" i="2"/>
  <c r="M102" i="2" s="1"/>
  <c r="L93" i="2"/>
  <c r="M93" i="2" s="1"/>
  <c r="L69" i="2"/>
  <c r="M69" i="2" s="1"/>
  <c r="L82" i="2"/>
  <c r="M82" i="2" s="1"/>
  <c r="L73" i="2"/>
  <c r="M73" i="2" s="1"/>
  <c r="L47" i="2"/>
  <c r="M47" i="2" s="1"/>
  <c r="L97" i="2"/>
  <c r="M97" i="2" s="1"/>
  <c r="L40" i="2"/>
  <c r="M40" i="2" s="1"/>
  <c r="L79" i="2"/>
  <c r="M79" i="2" s="1"/>
  <c r="L5" i="2"/>
  <c r="M5" i="2" s="1"/>
  <c r="L43" i="2"/>
  <c r="M43" i="2" s="1"/>
  <c r="L3" i="2"/>
  <c r="M3" i="2" s="1"/>
  <c r="L19" i="2"/>
  <c r="M19" i="2" s="1"/>
  <c r="L105" i="2"/>
  <c r="M105" i="2" s="1"/>
  <c r="L83" i="2"/>
  <c r="M83" i="2" s="1"/>
  <c r="L52" i="2"/>
  <c r="M52" i="2" s="1"/>
  <c r="L115" i="2"/>
  <c r="M115" i="2" s="1"/>
  <c r="L29" i="2"/>
  <c r="M29" i="2" s="1"/>
  <c r="L27" i="2"/>
  <c r="M27" i="2" s="1"/>
  <c r="L103" i="2"/>
  <c r="M103" i="2" s="1"/>
  <c r="L20" i="2"/>
  <c r="M20" i="2" s="1"/>
  <c r="L30" i="2"/>
  <c r="M30" i="2" s="1"/>
  <c r="L85" i="2"/>
  <c r="M85" i="2" s="1"/>
  <c r="L31" i="2"/>
  <c r="M31" i="2" s="1"/>
  <c r="L109" i="2"/>
  <c r="M109" i="2" s="1"/>
  <c r="L51" i="2"/>
  <c r="M51" i="2" s="1"/>
  <c r="L88" i="2"/>
  <c r="M88" i="2" s="1"/>
  <c r="L111" i="2"/>
  <c r="M111" i="2" s="1"/>
  <c r="L41" i="2"/>
  <c r="M41" i="2" s="1"/>
  <c r="L63" i="2"/>
  <c r="M63" i="2" s="1"/>
  <c r="L42" i="2"/>
  <c r="M42" i="2" s="1"/>
  <c r="L64" i="2"/>
  <c r="M64" i="2" s="1"/>
  <c r="L92" i="2"/>
  <c r="M92" i="2" s="1"/>
  <c r="L65" i="2"/>
  <c r="M65" i="2" s="1"/>
  <c r="L87" i="2"/>
  <c r="M87" i="2" s="1"/>
  <c r="L59" i="2"/>
  <c r="M59" i="2" s="1"/>
  <c r="L110" i="2"/>
  <c r="M110" i="2" s="1"/>
  <c r="L100" i="2"/>
  <c r="M100" i="2" s="1"/>
  <c r="L95" i="2"/>
  <c r="M95" i="2" s="1"/>
  <c r="L84" i="2"/>
  <c r="M84" i="2" s="1"/>
  <c r="L91" i="2"/>
  <c r="M91" i="2" s="1"/>
  <c r="L21" i="2"/>
  <c r="M21" i="2" s="1"/>
  <c r="L107" i="2"/>
  <c r="M107" i="2" s="1"/>
  <c r="L96" i="2"/>
  <c r="M96" i="2" s="1"/>
  <c r="L13" i="2"/>
  <c r="M13" i="2" s="1"/>
  <c r="L14" i="2"/>
  <c r="M14" i="2" s="1"/>
  <c r="L4" i="2"/>
  <c r="M4" i="2" s="1"/>
  <c r="O2" i="2"/>
  <c r="L45" i="2"/>
  <c r="M45" i="2" s="1"/>
  <c r="L54" i="2"/>
  <c r="M54" i="2" s="1"/>
  <c r="L80" i="2"/>
  <c r="M80" i="2" s="1"/>
  <c r="L108" i="2"/>
  <c r="M108" i="2" s="1"/>
  <c r="L25" i="2"/>
  <c r="M25" i="2" s="1"/>
  <c r="L16" i="2"/>
  <c r="M16" i="2" s="1"/>
  <c r="L8" i="2"/>
  <c r="M8" i="2" s="1"/>
  <c r="L6" i="2"/>
  <c r="M6" i="2" s="1"/>
  <c r="L90" i="2"/>
  <c r="M90" i="2" s="1"/>
  <c r="L38" i="2"/>
  <c r="M38" i="2" s="1"/>
  <c r="L99" i="2"/>
  <c r="M99" i="2" s="1"/>
  <c r="L28" i="2"/>
  <c r="M28" i="2" s="1"/>
  <c r="L32" i="2"/>
  <c r="M32" i="2" s="1"/>
  <c r="L75" i="2"/>
  <c r="M75" i="2" s="1"/>
  <c r="L17" i="2"/>
  <c r="M17" i="2" s="1"/>
  <c r="L18" i="2"/>
  <c r="M18" i="2" s="1"/>
  <c r="L76" i="2"/>
  <c r="M76" i="2" s="1"/>
  <c r="L98" i="2"/>
  <c r="M98" i="2" s="1"/>
  <c r="L55" i="2"/>
  <c r="M55" i="2" s="1"/>
  <c r="L48" i="2"/>
  <c r="M48" i="2" s="1"/>
  <c r="L89" i="2"/>
  <c r="M89" i="2" s="1"/>
  <c r="L10" i="2"/>
  <c r="M10" i="2" s="1"/>
  <c r="L71" i="2"/>
  <c r="M71" i="2" s="1"/>
  <c r="L60" i="2"/>
  <c r="M60" i="2" s="1"/>
  <c r="L112" i="2"/>
  <c r="M112" i="2" s="1"/>
  <c r="L57" i="2"/>
  <c r="M57" i="2" s="1"/>
  <c r="L101" i="2"/>
  <c r="M101" i="2" s="1"/>
  <c r="L72" i="2"/>
  <c r="M72" i="2" s="1"/>
  <c r="L81" i="2"/>
  <c r="M81" i="2" s="1"/>
  <c r="L113" i="2"/>
  <c r="M113" i="2" s="1"/>
  <c r="L67" i="2"/>
  <c r="M67" i="2" s="1"/>
  <c r="L9" i="2"/>
  <c r="M9" i="2" s="1"/>
  <c r="L15" i="2"/>
  <c r="M15" i="2" s="1"/>
  <c r="P2" i="2" l="1"/>
</calcChain>
</file>

<file path=xl/connections.xml><?xml version="1.0" encoding="utf-8"?>
<connections xmlns="http://schemas.openxmlformats.org/spreadsheetml/2006/main">
  <connection id="1" keepAlive="1" name="Запрос — Преобразовать двоичный файл из спецификация" description="Соединение с запросом &quot;Преобразовать двоичный файл из спецификация&quot; в книге." type="5" refreshedVersion="0" background="1">
    <dbPr connection="Provider=Microsoft.Mashup.OleDb.1;Data Source=$Workbook$;Location=&quot;Преобразовать двоичный файл из спецификация&quot;" command="SELECT * FROM [Преобразовать двоичный файл из спецификация]"/>
  </connection>
  <connection id="2" keepAlive="1" name="Запрос — Преобразовать пример двоичного файла из спецификация" description="Соединение с запросом &quot;Преобразовать пример двоичного файла из спецификация&quot; в книге." type="5" refreshedVersion="0" background="1">
    <dbPr connection="Provider=Microsoft.Mashup.OleDb.1;Data Source=$Workbook$;Location=&quot;Преобразовать пример двоичного файла из спецификация&quot;" command="SELECT * FROM [Преобразовать пример двоичного файла из спецификация]"/>
  </connection>
  <connection id="3" keepAlive="1" name="Запрос — Пример двоичного параметра1" description="Соединение с запросом &quot;Пример двоичного параметра1&quot; в книге." type="5" refreshedVersion="0" background="1">
    <dbPr connection="Provider=Microsoft.Mashup.OleDb.1;Data Source=$Workbook$;Location=&quot;Пример двоичного параметра1&quot;" command="SELECT * FROM [Пример двоичного параметра1]"/>
  </connection>
  <connection id="4" keepAlive="1" name="Запрос — Пример двоичного файла" description="Соединение с запросом &quot;Пример двоичного файла&quot; в книге." type="5" refreshedVersion="0" background="1">
    <dbPr connection="Provider=Microsoft.Mashup.OleDb.1;Data Source=$Workbook$;Location=&quot;Пример двоичного файла&quot;" command="SELECT * FROM [Пример двоичного файла]"/>
  </connection>
  <connection id="5" keepAlive="1" name="Запрос — спецификация" description="Соединение с запросом &quot;спецификация&quot; в книге." type="5" refreshedVersion="6" background="1" saveData="1">
    <dbPr connection="Provider=Microsoft.Mashup.OleDb.1;Data Source=$Workbook$;Location=спецификация;Extended Properties=&quot;&quot;" command="SELECT * FROM [спецификация]"/>
  </connection>
</connections>
</file>

<file path=xl/sharedStrings.xml><?xml version="1.0" encoding="utf-8"?>
<sst xmlns="http://schemas.openxmlformats.org/spreadsheetml/2006/main" count="375" uniqueCount="150">
  <si>
    <t>Приложение №1.1 - Спецификация №1.xlsx</t>
  </si>
  <si>
    <t>№ п/п</t>
  </si>
  <si>
    <t>Идентификатор</t>
  </si>
  <si>
    <t>Наименование</t>
  </si>
  <si>
    <t>Сумма
с НДС</t>
  </si>
  <si>
    <t>Дата поставки</t>
  </si>
  <si>
    <t>2.ИСУП.17300148</t>
  </si>
  <si>
    <t>Клапан запорно-регулирующий</t>
  </si>
  <si>
    <t>2.ИСУП.17300301</t>
  </si>
  <si>
    <t>Клапан регулирующий</t>
  </si>
  <si>
    <t>2.ИСУП.17300448</t>
  </si>
  <si>
    <t>2.ИСУП.17300584</t>
  </si>
  <si>
    <t>2.ИСУП.17300709</t>
  </si>
  <si>
    <t>Клапан регулирующий проходной</t>
  </si>
  <si>
    <t>2.ИСУП.17300900</t>
  </si>
  <si>
    <t>2.ИСУП.17301051</t>
  </si>
  <si>
    <t>2.ИСУП.17301167</t>
  </si>
  <si>
    <t>2.ИСУП.17301295</t>
  </si>
  <si>
    <t>2.ИСУП.17301431</t>
  </si>
  <si>
    <t>2.ИСУП.17301528</t>
  </si>
  <si>
    <t>2.ИСУП.17301733</t>
  </si>
  <si>
    <t>2.ИСУП.17301838</t>
  </si>
  <si>
    <t>2.ИСУП.17301932</t>
  </si>
  <si>
    <t>2.ИСУП.17302149</t>
  </si>
  <si>
    <t>2.ИСУП.17302226</t>
  </si>
  <si>
    <t>2.ИСУП.17302415</t>
  </si>
  <si>
    <t>2.ИСУП.17302493</t>
  </si>
  <si>
    <t>2.ИСУП.17302683</t>
  </si>
  <si>
    <t>2.ИСУП.17302810</t>
  </si>
  <si>
    <t>2.ИСУП.17302935</t>
  </si>
  <si>
    <t>2.ИСУП.17303045</t>
  </si>
  <si>
    <t>2.ИСУП.17303163</t>
  </si>
  <si>
    <t>2.ИСУП.17303339</t>
  </si>
  <si>
    <t>2.ИСУП.17303497</t>
  </si>
  <si>
    <t>2.ИСУП.17303650</t>
  </si>
  <si>
    <t>2.ИСУП.17303768</t>
  </si>
  <si>
    <t>2.ИСУП.17303890</t>
  </si>
  <si>
    <t>2.ИСУП.17304005</t>
  </si>
  <si>
    <t>2.ИСУП.17304134</t>
  </si>
  <si>
    <t>2.ИСУП.17304300</t>
  </si>
  <si>
    <t>2.ИСУП.17304436</t>
  </si>
  <si>
    <t>2.ИСУП.17304532</t>
  </si>
  <si>
    <t>2.ИСУП.17304678</t>
  </si>
  <si>
    <t>2.ИСУП.17304878</t>
  </si>
  <si>
    <t>2.ИСУП.17304946</t>
  </si>
  <si>
    <t>2.ИСУП.17305162</t>
  </si>
  <si>
    <t>2.ИСУП.17305227</t>
  </si>
  <si>
    <t>2.ИСУП.17305370</t>
  </si>
  <si>
    <t>2.ИСУП.17305545</t>
  </si>
  <si>
    <t>2.ИСУП.17305631</t>
  </si>
  <si>
    <t>2.ИСУП.17305842</t>
  </si>
  <si>
    <t>2.ИСУП.17305968</t>
  </si>
  <si>
    <t>2.ИСУП.17306043</t>
  </si>
  <si>
    <t>2.ИСУП.17306209</t>
  </si>
  <si>
    <t>2.ИСУП.17306331</t>
  </si>
  <si>
    <t>2.ИСУП.17306458</t>
  </si>
  <si>
    <t>2.ИСУП.17306650</t>
  </si>
  <si>
    <t>2.ИСУП.17306785</t>
  </si>
  <si>
    <t>2.ИСУП.17306895</t>
  </si>
  <si>
    <t>2.ИСУП.17306998</t>
  </si>
  <si>
    <t>2.ИСУП.17307138</t>
  </si>
  <si>
    <t>2.ИСУП.17307293</t>
  </si>
  <si>
    <t>2.ИСУП.17307491</t>
  </si>
  <si>
    <t>2.ИСУП.17307562</t>
  </si>
  <si>
    <t>2.ИСУП.17307736</t>
  </si>
  <si>
    <t>2.ИСУП.17307837</t>
  </si>
  <si>
    <t>Приложение №1.2 - Спецификация №2.xlsx</t>
  </si>
  <si>
    <t>2.ИСУП.27300208</t>
  </si>
  <si>
    <t>2.ИСУП.27300332</t>
  </si>
  <si>
    <t>2.ИСУП.27300473</t>
  </si>
  <si>
    <t>2.ИСУП.27300622</t>
  </si>
  <si>
    <t>2.ИСУП.27300703</t>
  </si>
  <si>
    <t>2.ИСУП.27300876</t>
  </si>
  <si>
    <t>2.ИСУП.27301035</t>
  </si>
  <si>
    <t>2.ИСУП.27301128</t>
  </si>
  <si>
    <t>2.ИСУП.27301286</t>
  </si>
  <si>
    <t>2.ИСУП.27301448</t>
  </si>
  <si>
    <t>2.ИСУП.27301569</t>
  </si>
  <si>
    <t>2.ИСУП.27301719</t>
  </si>
  <si>
    <t>2.ИСУП.27301858</t>
  </si>
  <si>
    <t>2.ИСУП.27301980</t>
  </si>
  <si>
    <t>2.ИСУП.27302079</t>
  </si>
  <si>
    <t>2.ИСУП.27302291</t>
  </si>
  <si>
    <t>2.ИСУП.27302361</t>
  </si>
  <si>
    <t>2.ИСУП.27302554</t>
  </si>
  <si>
    <t>2.ИСУП.27302655</t>
  </si>
  <si>
    <t>2.ИСУП.27302757</t>
  </si>
  <si>
    <t>2.ИСУП.27302945</t>
  </si>
  <si>
    <t>2.ИСУП.27303056</t>
  </si>
  <si>
    <t>2.ИСУП.27303203</t>
  </si>
  <si>
    <t>2.ИСУП.27303319</t>
  </si>
  <si>
    <t>2.ИСУП.27303465</t>
  </si>
  <si>
    <t>2.ИСУП.27303591</t>
  </si>
  <si>
    <t>2.ИСУП.27303740</t>
  </si>
  <si>
    <t>2.ИСУП.27303856</t>
  </si>
  <si>
    <t>2.ИСУП.27304031</t>
  </si>
  <si>
    <t>2.ИСУП.27304161</t>
  </si>
  <si>
    <t>2.ИСУП.27304346</t>
  </si>
  <si>
    <t>2.ИСУП.27304467</t>
  </si>
  <si>
    <t>2.ИСУП.27304571</t>
  </si>
  <si>
    <t>2.ИСУП.27304711</t>
  </si>
  <si>
    <t>2.ИСУП.27304855</t>
  </si>
  <si>
    <t>2.ИСУП.27305003</t>
  </si>
  <si>
    <t>2.ИСУП.27305123</t>
  </si>
  <si>
    <t>2.ИСУП.27305293</t>
  </si>
  <si>
    <t>2.ИСУП.27305398</t>
  </si>
  <si>
    <t>2.ИСУП.27305543</t>
  </si>
  <si>
    <t>2.ИСУП.27305644</t>
  </si>
  <si>
    <t>2.ИСУП.27305783</t>
  </si>
  <si>
    <t>2.ИСУП.27305945</t>
  </si>
  <si>
    <t>2.ИСУП.27306075</t>
  </si>
  <si>
    <t>2.ИСУП.27306250</t>
  </si>
  <si>
    <t>2.ИСУП.27306319</t>
  </si>
  <si>
    <t>2.ИСУП.27306480</t>
  </si>
  <si>
    <t>2.ИСУП.27306603</t>
  </si>
  <si>
    <t>2.ИСУП.27306792</t>
  </si>
  <si>
    <t>2.ИСУП.27306890</t>
  </si>
  <si>
    <t>2.ИСУП.27307039</t>
  </si>
  <si>
    <t>2.ИСУП.27307172</t>
  </si>
  <si>
    <t>2.ИСУП.27307298</t>
  </si>
  <si>
    <t>2.ИСУП.27307442</t>
  </si>
  <si>
    <t>2.ИСУП.27307632</t>
  </si>
  <si>
    <t>2.ИСУП.27307761</t>
  </si>
  <si>
    <t>2.ИСУП.27307866</t>
  </si>
  <si>
    <t>ТЗ</t>
  </si>
  <si>
    <t>Аванс 2</t>
  </si>
  <si>
    <t>Неустройка (руб.)</t>
  </si>
  <si>
    <t>Сумма к выплате (дата поставки)</t>
  </si>
  <si>
    <t>Риск задержки (дни)</t>
  </si>
  <si>
    <t>Просрочка - сроки (дни)</t>
  </si>
  <si>
    <t>Риск Сумма к выплате (дата поставки)</t>
  </si>
  <si>
    <t>Риск просрочки - сроки (дни)</t>
  </si>
  <si>
    <t>ТЗ/ТУ поставщик неустойка (%)</t>
  </si>
  <si>
    <t>Дата договора</t>
  </si>
  <si>
    <t>Тип неустойки</t>
  </si>
  <si>
    <t>Сумма</t>
  </si>
  <si>
    <t>Тип действия</t>
  </si>
  <si>
    <t>Срок</t>
  </si>
  <si>
    <t>Сумма
без НДС</t>
  </si>
  <si>
    <t>Факт</t>
  </si>
  <si>
    <t>Предоставлен</t>
  </si>
  <si>
    <t>Дата акта ВК</t>
  </si>
  <si>
    <t>Сумма по договору</t>
  </si>
  <si>
    <t>ТУ</t>
  </si>
  <si>
    <t>Аванс 1</t>
  </si>
  <si>
    <t xml:space="preserve">Общий макс </t>
  </si>
  <si>
    <t>Режим проектирования</t>
  </si>
  <si>
    <t>ДС</t>
  </si>
  <si>
    <t>Задержка</t>
  </si>
  <si>
    <t>Риск неустойки поставки (руб.)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</si>
</sst>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,&quot;млн&quot;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/>
    <xf numFmtId="14" fontId="0" fillId="2" borderId="0" xfId="0" applyNumberFormat="1" applyFill="1"/>
    <xf numFmtId="0" fontId="0" fillId="0" borderId="0" xfId="0" applyAlignment="1">
      <alignment horizontal="center"/>
    </xf>
    <xf numFmtId="49" fontId="0" fillId="0" borderId="0" xfId="0" applyNumberFormat="1"/>
    <xf numFmtId="14" fontId="0" fillId="0" borderId="0" xfId="0" applyNumberFormat="1" applyFill="1"/>
    <xf numFmtId="0" fontId="0" fillId="0" borderId="0" xfId="0" applyFill="1"/>
    <xf numFmtId="0" fontId="0" fillId="3" borderId="0" xfId="0" applyNumberFormat="1" applyFill="1" applyAlignment="1">
      <alignment horizontal="left" wrapText="1"/>
    </xf>
    <xf numFmtId="14" fontId="0" fillId="3" borderId="0" xfId="0" applyNumberFormat="1" applyFill="1"/>
    <xf numFmtId="0" fontId="0" fillId="3" borderId="0" xfId="0" applyFill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14">
    <dxf>
      <numFmt numFmtId="19" formatCode="dd/mm/yyyy"/>
      <fill>
        <patternFill patternType="solid">
          <fgColor indexed="64"/>
          <bgColor theme="0" tint="-0.14999847407452621"/>
        </patternFill>
      </fill>
    </dxf>
    <dxf>
      <numFmt numFmtId="1" formatCode="0"/>
    </dxf>
    <dxf>
      <numFmt numFmtId="19" formatCode="dd/mm/yyyy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14" unboundColumnsRight="6">
    <queryTableFields count="13">
      <queryTableField id="1" name="Приложение №1.1 - Спецификация №1.xlsx" tableColumnId="28"/>
      <queryTableField id="2" name="№ п/п" tableColumnId="29"/>
      <queryTableField id="3" name="Идентификатор" tableColumnId="30"/>
      <queryTableField id="4" name="Наименование" tableColumnId="31"/>
      <queryTableField id="5" name="Сумма_x000a_без НДС" tableColumnId="32"/>
      <queryTableField id="6" name="Сумма_x000a_с НДС" tableColumnId="33"/>
      <queryTableField id="7" name="Дата поставки" tableColumnId="34"/>
      <queryTableField id="12" dataBound="0" tableColumnId="35"/>
      <queryTableField id="11" dataBound="0" tableColumnId="36"/>
      <queryTableField id="10" dataBound="0" tableColumnId="37"/>
      <queryTableField id="9" dataBound="0" tableColumnId="38"/>
      <queryTableField id="8" dataBound="0" tableColumnId="39"/>
      <queryTableField id="13" dataBound="0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спецификация" displayName="спецификация" ref="A1:M115" tableType="queryTable" totalsRowShown="0" headerRowDxfId="13">
  <autoFilter ref="A1:M115"/>
  <tableColumns count="13">
    <tableColumn id="28" uniqueName="28" name="Приложение №1.1 - Спецификация №1.xlsx" queryTableFieldId="1" dataDxfId="12"/>
    <tableColumn id="29" uniqueName="29" name="№ п/п" queryTableFieldId="2" dataDxfId="11"/>
    <tableColumn id="30" uniqueName="30" name="Идентификатор" queryTableFieldId="3" dataDxfId="10"/>
    <tableColumn id="31" uniqueName="31" name="Наименование" queryTableFieldId="4" dataDxfId="9"/>
    <tableColumn id="32" uniqueName="32" name="Сумма_x000a_без НДС" queryTableFieldId="5" dataDxfId="8"/>
    <tableColumn id="33" uniqueName="33" name="Сумма_x000a_с НДС" queryTableFieldId="6" dataDxfId="7"/>
    <tableColumn id="34" uniqueName="34" name="Дата поставки" queryTableFieldId="7" dataDxfId="2"/>
    <tableColumn id="35" uniqueName="35" name="Дата акта ВК" queryTableFieldId="12" dataDxfId="0"/>
    <tableColumn id="36" uniqueName="36" name="Просрочка - сроки (дни)" queryTableFieldId="11" dataDxfId="1">
      <calculatedColumnFormula>TODAY()-спецификация[[#This Row],[Дата поставки]]-SUM('Справочник условий'!E:E)</calculatedColumnFormula>
    </tableColumn>
    <tableColumn id="37" uniqueName="37" name="Неустройка (руб.)" queryTableFieldId="10" dataDxfId="3">
      <calculatedColumnFormula>IFERROR(IF(спецификация[[#This Row],[Просрочка - сроки (дни)]]&gt;0, (E2*'Справочник условий'!$H$2)*'Справочник условий'!H2,0),"")</calculatedColumnFormula>
    </tableColumn>
    <tableColumn id="38" uniqueName="38" name="Риск задержки (дни)" queryTableFieldId="9" dataDxfId="6"/>
    <tableColumn id="39" uniqueName="39" name="Риск просрочки - сроки (дни)" queryTableFieldId="8" dataDxfId="5">
      <calculatedColumnFormula>спецификация[[#This Row],[Просрочка - сроки (дни)]]+K2</calculatedColumnFormula>
    </tableColumn>
    <tableColumn id="1" uniqueName="1" name="Риск неустойки поставки (руб.)" queryTableFieldId="13" dataDxfId="4">
      <calculatedColumnFormula>IFERROR(IF(спецификация[[#This Row],[Риск просрочки - сроки (дни)]]&gt;0, (E2*'Справочник условий'!$H$2)*K2,0),"")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"/>
  <sheetViews>
    <sheetView workbookViewId="0">
      <selection activeCell="P6" sqref="P6"/>
    </sheetView>
  </sheetViews>
  <sheetFormatPr defaultRowHeight="15" x14ac:dyDescent="0.25"/>
  <cols>
    <col min="1" max="1" width="17.85546875" customWidth="1"/>
    <col min="2" max="2" width="7.140625" customWidth="1"/>
    <col min="3" max="3" width="17.42578125" customWidth="1"/>
    <col min="4" max="4" width="32.7109375" customWidth="1"/>
    <col min="5" max="6" width="11" bestFit="1" customWidth="1"/>
    <col min="7" max="7" width="11.42578125" customWidth="1"/>
    <col min="8" max="8" width="11.85546875" style="18" bestFit="1" customWidth="1"/>
    <col min="9" max="9" width="14.140625" style="7" bestFit="1" customWidth="1"/>
    <col min="10" max="10" width="13.85546875" bestFit="1" customWidth="1"/>
    <col min="11" max="11" width="12.42578125" bestFit="1" customWidth="1"/>
    <col min="12" max="12" width="14.140625" bestFit="1" customWidth="1"/>
    <col min="13" max="13" width="11.5703125" bestFit="1" customWidth="1"/>
    <col min="15" max="15" width="17.5703125" customWidth="1"/>
    <col min="16" max="16" width="22.140625" customWidth="1"/>
    <col min="17" max="17" width="14.28515625" customWidth="1"/>
  </cols>
  <sheetData>
    <row r="1" spans="1:17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138</v>
      </c>
      <c r="F1" s="4" t="s">
        <v>4</v>
      </c>
      <c r="G1" s="4" t="s">
        <v>5</v>
      </c>
      <c r="H1" s="16" t="s">
        <v>141</v>
      </c>
      <c r="I1" s="6" t="s">
        <v>129</v>
      </c>
      <c r="J1" s="5" t="s">
        <v>126</v>
      </c>
      <c r="K1" s="5" t="s">
        <v>128</v>
      </c>
      <c r="L1" s="5" t="s">
        <v>131</v>
      </c>
      <c r="M1" s="5" t="s">
        <v>149</v>
      </c>
      <c r="O1" s="9" t="s">
        <v>127</v>
      </c>
      <c r="P1" s="9" t="s">
        <v>130</v>
      </c>
      <c r="Q1" s="9" t="s">
        <v>128</v>
      </c>
    </row>
    <row r="2" spans="1:17" x14ac:dyDescent="0.25">
      <c r="A2" s="1" t="s">
        <v>0</v>
      </c>
      <c r="B2" s="1">
        <v>1</v>
      </c>
      <c r="C2" s="1" t="s">
        <v>6</v>
      </c>
      <c r="D2" s="1" t="s">
        <v>7</v>
      </c>
      <c r="E2" s="1">
        <v>2763834.16</v>
      </c>
      <c r="F2" s="1">
        <v>3316600.99</v>
      </c>
      <c r="G2" s="2">
        <v>45607</v>
      </c>
      <c r="H2" s="17">
        <v>45760</v>
      </c>
      <c r="I2" s="7">
        <f ca="1">TODAY()-спецификация[[#This Row],[Дата поставки]]-SUM('Справочник условий'!E:E)</f>
        <v>-1351</v>
      </c>
      <c r="J2" s="8">
        <f ca="1">IFERROR(IF(спецификация[[#This Row],[Просрочка - сроки (дни)]]&gt;0, (E2*'Справочник условий'!$H$2)*'Справочник условий'!H2,0),"")</f>
        <v>0</v>
      </c>
      <c r="K2" s="8">
        <f>$Q$2</f>
        <v>1260</v>
      </c>
      <c r="L2" s="8">
        <f ca="1">спецификация[[#This Row],[Просрочка - сроки (дни)]]+K2</f>
        <v>-91</v>
      </c>
      <c r="M2" s="8">
        <f ca="1">IFERROR(IF(спецификация[[#This Row],[Риск просрочки - сроки (дни)]]&gt;0, (E2*'Справочник условий'!$H$2)*K2,0),"")</f>
        <v>0</v>
      </c>
      <c r="O2" s="10">
        <f ca="1">IF(SUM(J:J)&gt;'Справочник условий'!K2*'Справочник условий'!H3,'Справочник условий'!K2*'Справочник условий'!H3,(J:J))</f>
        <v>0</v>
      </c>
      <c r="P2" s="10">
        <f ca="1">IF(SUM(M:M)&gt;'Справочник условий'!K2*'Справочник условий'!H3,'Справочник условий'!K2*'Справочник условий'!H3,(M:M))</f>
        <v>4762800</v>
      </c>
      <c r="Q2">
        <v>1260</v>
      </c>
    </row>
    <row r="3" spans="1:17" x14ac:dyDescent="0.25">
      <c r="A3" s="1" t="s">
        <v>0</v>
      </c>
      <c r="B3" s="1">
        <v>2</v>
      </c>
      <c r="C3" s="1" t="s">
        <v>8</v>
      </c>
      <c r="D3" s="1" t="s">
        <v>9</v>
      </c>
      <c r="E3" s="1">
        <v>4482244.8099999996</v>
      </c>
      <c r="F3" s="1">
        <v>5378693.7699999996</v>
      </c>
      <c r="G3" s="2">
        <v>45487</v>
      </c>
      <c r="H3" s="17">
        <v>45640</v>
      </c>
      <c r="I3" s="7">
        <f ca="1">TODAY()-спецификация[[#This Row],[Дата поставки]]-SUM('Справочник условий'!E:E)</f>
        <v>-1231</v>
      </c>
      <c r="J3" s="8">
        <f ca="1">IFERROR(IF(спецификация[[#This Row],[Просрочка - сроки (дни)]]&gt;0, (E3*'Справочник условий'!$H$2)*'Справочник условий'!#REF!,0),"")</f>
        <v>0</v>
      </c>
      <c r="K3" s="8">
        <f t="shared" ref="K3:K66" si="0">$Q$2</f>
        <v>1260</v>
      </c>
      <c r="L3" s="8">
        <f ca="1">спецификация[[#This Row],[Просрочка - сроки (дни)]]+K3</f>
        <v>29</v>
      </c>
      <c r="M3" s="8">
        <f ca="1">IFERROR(IF(спецификация[[#This Row],[Риск просрочки - сроки (дни)]]&gt;0, (E3*'Справочник условий'!$H$2)*K3,0),"")</f>
        <v>3388577.0763599994</v>
      </c>
    </row>
    <row r="4" spans="1:17" x14ac:dyDescent="0.25">
      <c r="A4" s="1" t="s">
        <v>0</v>
      </c>
      <c r="B4" s="1">
        <v>3</v>
      </c>
      <c r="C4" s="1" t="s">
        <v>10</v>
      </c>
      <c r="D4" s="1" t="s">
        <v>7</v>
      </c>
      <c r="E4" s="1">
        <v>3004219.84</v>
      </c>
      <c r="F4" s="1">
        <v>3605063.81</v>
      </c>
      <c r="G4" s="2">
        <v>45577</v>
      </c>
      <c r="H4" s="17">
        <v>45730</v>
      </c>
      <c r="I4" s="7">
        <f ca="1">TODAY()-спецификация[[#This Row],[Дата поставки]]-SUM('Справочник условий'!E:E)</f>
        <v>-1321</v>
      </c>
      <c r="J4" s="8">
        <f ca="1">IFERROR(IF(спецификация[[#This Row],[Просрочка - сроки (дни)]]&gt;0, (E4*'Справочник условий'!$H$2)*'Справочник условий'!H3,0),"")</f>
        <v>0</v>
      </c>
      <c r="K4" s="8">
        <f t="shared" si="0"/>
        <v>1260</v>
      </c>
      <c r="L4" s="8">
        <f ca="1">спецификация[[#This Row],[Просрочка - сроки (дни)]]+K4</f>
        <v>-61</v>
      </c>
      <c r="M4" s="8">
        <f ca="1">IFERROR(IF(спецификация[[#This Row],[Риск просрочки - сроки (дни)]]&gt;0, (E4*'Справочник условий'!$H$2)*K4,0),"")</f>
        <v>0</v>
      </c>
    </row>
    <row r="5" spans="1:17" x14ac:dyDescent="0.25">
      <c r="A5" s="1" t="s">
        <v>0</v>
      </c>
      <c r="B5" s="1">
        <v>4</v>
      </c>
      <c r="C5" s="1" t="s">
        <v>11</v>
      </c>
      <c r="D5" s="1" t="s">
        <v>7</v>
      </c>
      <c r="E5" s="1">
        <v>4662639.37</v>
      </c>
      <c r="F5" s="1">
        <v>5595167.2400000002</v>
      </c>
      <c r="G5" s="2">
        <v>45517</v>
      </c>
      <c r="H5" s="17">
        <v>45670</v>
      </c>
      <c r="I5" s="7">
        <f ca="1">TODAY()-спецификация[[#This Row],[Дата поставки]]-SUM('Справочник условий'!E:E)</f>
        <v>-1261</v>
      </c>
      <c r="J5" s="8">
        <f ca="1">IFERROR(IF(спецификация[[#This Row],[Просрочка - сроки (дни)]]&gt;0, (E5*'Справочник условий'!$H$2)*'Справочник условий'!H4,0),"")</f>
        <v>0</v>
      </c>
      <c r="K5" s="8">
        <f t="shared" si="0"/>
        <v>1260</v>
      </c>
      <c r="L5" s="8">
        <f ca="1">спецификация[[#This Row],[Просрочка - сроки (дни)]]+K5</f>
        <v>-1</v>
      </c>
      <c r="M5" s="8">
        <f ca="1">IFERROR(IF(спецификация[[#This Row],[Риск просрочки - сроки (дни)]]&gt;0, (E5*'Справочник условий'!$H$2)*K5,0),"")</f>
        <v>0</v>
      </c>
    </row>
    <row r="6" spans="1:17" x14ac:dyDescent="0.25">
      <c r="A6" s="1" t="s">
        <v>0</v>
      </c>
      <c r="B6" s="1">
        <v>5</v>
      </c>
      <c r="C6" s="1" t="s">
        <v>12</v>
      </c>
      <c r="D6" s="1" t="s">
        <v>13</v>
      </c>
      <c r="E6" s="1">
        <v>2272685.83</v>
      </c>
      <c r="F6" s="1">
        <v>2727223</v>
      </c>
      <c r="G6" s="2">
        <v>45457</v>
      </c>
      <c r="H6" s="17">
        <v>45610</v>
      </c>
      <c r="I6" s="7">
        <f ca="1">TODAY()-спецификация[[#This Row],[Дата поставки]]-SUM('Справочник условий'!E:E)</f>
        <v>-1201</v>
      </c>
      <c r="J6" s="8">
        <f ca="1">IFERROR(IF(спецификация[[#This Row],[Просрочка - сроки (дни)]]&gt;0, (E6*'Справочник условий'!$H$2)*'Справочник условий'!H5,0),"")</f>
        <v>0</v>
      </c>
      <c r="K6" s="8">
        <f t="shared" si="0"/>
        <v>1260</v>
      </c>
      <c r="L6" s="8">
        <f ca="1">спецификация[[#This Row],[Просрочка - сроки (дни)]]+K6</f>
        <v>59</v>
      </c>
      <c r="M6" s="8">
        <f ca="1">IFERROR(IF(спецификация[[#This Row],[Риск просрочки - сроки (дни)]]&gt;0, (E6*'Справочник условий'!$H$2)*K6,0),"")</f>
        <v>1718150.4874799999</v>
      </c>
    </row>
    <row r="7" spans="1:17" x14ac:dyDescent="0.25">
      <c r="A7" s="1" t="s">
        <v>0</v>
      </c>
      <c r="B7" s="1">
        <v>6</v>
      </c>
      <c r="C7" s="1" t="s">
        <v>14</v>
      </c>
      <c r="D7" s="1" t="s">
        <v>9</v>
      </c>
      <c r="E7" s="1">
        <v>2913691</v>
      </c>
      <c r="F7" s="1">
        <v>3496429.2</v>
      </c>
      <c r="G7" s="2">
        <v>45517</v>
      </c>
      <c r="H7" s="17">
        <v>45670</v>
      </c>
      <c r="I7" s="7">
        <f ca="1">TODAY()-спецификация[[#This Row],[Дата поставки]]-SUM('Справочник условий'!E:E)</f>
        <v>-1261</v>
      </c>
      <c r="J7" s="8">
        <f ca="1">IFERROR(IF(спецификация[[#This Row],[Просрочка - сроки (дни)]]&gt;0, (E7*'Справочник условий'!$H$2)*'Справочник условий'!H6,0),"")</f>
        <v>0</v>
      </c>
      <c r="K7" s="8">
        <f t="shared" si="0"/>
        <v>1260</v>
      </c>
      <c r="L7" s="8">
        <f ca="1">спецификация[[#This Row],[Просрочка - сроки (дни)]]+K7</f>
        <v>-1</v>
      </c>
      <c r="M7" s="8">
        <f ca="1">IFERROR(IF(спецификация[[#This Row],[Риск просрочки - сроки (дни)]]&gt;0, (E7*'Справочник условий'!$H$2)*K7,0),"")</f>
        <v>0</v>
      </c>
    </row>
    <row r="8" spans="1:17" x14ac:dyDescent="0.25">
      <c r="A8" s="1" t="s">
        <v>0</v>
      </c>
      <c r="B8" s="1">
        <v>7</v>
      </c>
      <c r="C8" s="1" t="s">
        <v>15</v>
      </c>
      <c r="D8" s="1" t="s">
        <v>7</v>
      </c>
      <c r="E8" s="1">
        <v>1915763.46</v>
      </c>
      <c r="F8" s="1">
        <v>2298916.15</v>
      </c>
      <c r="G8" s="2">
        <v>45607</v>
      </c>
      <c r="H8" s="17">
        <v>45760</v>
      </c>
      <c r="I8" s="7">
        <f ca="1">TODAY()-спецификация[[#This Row],[Дата поставки]]-SUM('Справочник условий'!E:E)</f>
        <v>-1351</v>
      </c>
      <c r="J8" s="8">
        <f ca="1">IFERROR(IF(спецификация[[#This Row],[Просрочка - сроки (дни)]]&gt;0, (E8*'Справочник условий'!$H$2)*'Справочник условий'!H7,0),"")</f>
        <v>0</v>
      </c>
      <c r="K8" s="8">
        <f t="shared" si="0"/>
        <v>1260</v>
      </c>
      <c r="L8" s="8">
        <f ca="1">спецификация[[#This Row],[Просрочка - сроки (дни)]]+K8</f>
        <v>-91</v>
      </c>
      <c r="M8" s="8">
        <f ca="1">IFERROR(IF(спецификация[[#This Row],[Риск просрочки - сроки (дни)]]&gt;0, (E8*'Справочник условий'!$H$2)*K8,0),"")</f>
        <v>0</v>
      </c>
    </row>
    <row r="9" spans="1:17" x14ac:dyDescent="0.25">
      <c r="A9" s="1" t="s">
        <v>0</v>
      </c>
      <c r="B9" s="1">
        <v>8</v>
      </c>
      <c r="C9" s="1" t="s">
        <v>16</v>
      </c>
      <c r="D9" s="1" t="s">
        <v>9</v>
      </c>
      <c r="E9" s="1">
        <v>1981129.46</v>
      </c>
      <c r="F9" s="1">
        <v>2377355.35</v>
      </c>
      <c r="G9" s="2">
        <v>45517</v>
      </c>
      <c r="H9" s="17">
        <v>45670</v>
      </c>
      <c r="I9" s="7">
        <f ca="1">TODAY()-спецификация[[#This Row],[Дата поставки]]-SUM('Справочник условий'!E:E)</f>
        <v>-1261</v>
      </c>
      <c r="J9" s="8">
        <f ca="1">IFERROR(IF(спецификация[[#This Row],[Просрочка - сроки (дни)]]&gt;0, (E9*'Справочник условий'!$H$2)*'Справочник условий'!H8,0),"")</f>
        <v>0</v>
      </c>
      <c r="K9" s="8">
        <f t="shared" si="0"/>
        <v>1260</v>
      </c>
      <c r="L9" s="8">
        <f ca="1">спецификация[[#This Row],[Просрочка - сроки (дни)]]+K9</f>
        <v>-1</v>
      </c>
      <c r="M9" s="8">
        <f ca="1">IFERROR(IF(спецификация[[#This Row],[Риск просрочки - сроки (дни)]]&gt;0, (E9*'Справочник условий'!$H$2)*K9,0),"")</f>
        <v>0</v>
      </c>
    </row>
    <row r="10" spans="1:17" x14ac:dyDescent="0.25">
      <c r="A10" s="1" t="s">
        <v>0</v>
      </c>
      <c r="B10" s="1">
        <v>9</v>
      </c>
      <c r="C10" s="1" t="s">
        <v>17</v>
      </c>
      <c r="D10" s="1" t="s">
        <v>7</v>
      </c>
      <c r="E10" s="1">
        <v>1169697.45</v>
      </c>
      <c r="F10" s="1">
        <v>1403636.94</v>
      </c>
      <c r="G10" s="2">
        <v>45607</v>
      </c>
      <c r="H10" s="17">
        <v>45760</v>
      </c>
      <c r="I10" s="7">
        <f ca="1">TODAY()-спецификация[[#This Row],[Дата поставки]]-SUM('Справочник условий'!E:E)</f>
        <v>-1351</v>
      </c>
      <c r="J10" s="8">
        <f ca="1">IFERROR(IF(спецификация[[#This Row],[Просрочка - сроки (дни)]]&gt;0, (E10*'Справочник условий'!$H$2)*'Справочник условий'!H9,0),"")</f>
        <v>0</v>
      </c>
      <c r="K10" s="8">
        <f t="shared" si="0"/>
        <v>1260</v>
      </c>
      <c r="L10" s="8">
        <f ca="1">спецификация[[#This Row],[Просрочка - сроки (дни)]]+K10</f>
        <v>-91</v>
      </c>
      <c r="M10" s="8">
        <f ca="1">IFERROR(IF(спецификация[[#This Row],[Риск просрочки - сроки (дни)]]&gt;0, (E10*'Справочник условий'!$H$2)*K10,0),"")</f>
        <v>0</v>
      </c>
    </row>
    <row r="11" spans="1:17" x14ac:dyDescent="0.25">
      <c r="A11" s="1" t="s">
        <v>0</v>
      </c>
      <c r="B11" s="1">
        <v>10</v>
      </c>
      <c r="C11" s="1" t="s">
        <v>18</v>
      </c>
      <c r="D11" s="1" t="s">
        <v>9</v>
      </c>
      <c r="E11" s="1">
        <v>2566346.59</v>
      </c>
      <c r="F11" s="1">
        <v>3079615.91</v>
      </c>
      <c r="G11" s="2">
        <v>45577</v>
      </c>
      <c r="H11" s="17">
        <v>45730</v>
      </c>
      <c r="I11" s="7">
        <f ca="1">TODAY()-спецификация[[#This Row],[Дата поставки]]-SUM('Справочник условий'!E:E)</f>
        <v>-1321</v>
      </c>
      <c r="J11" s="8">
        <f ca="1">IFERROR(IF(спецификация[[#This Row],[Просрочка - сроки (дни)]]&gt;0, (E11*'Справочник условий'!$H$2)*'Справочник условий'!H10,0),"")</f>
        <v>0</v>
      </c>
      <c r="K11" s="8">
        <f t="shared" si="0"/>
        <v>1260</v>
      </c>
      <c r="L11" s="8">
        <f ca="1">спецификация[[#This Row],[Просрочка - сроки (дни)]]+K11</f>
        <v>-61</v>
      </c>
      <c r="M11" s="8">
        <f ca="1">IFERROR(IF(спецификация[[#This Row],[Риск просрочки - сроки (дни)]]&gt;0, (E11*'Справочник условий'!$H$2)*K11,0),"")</f>
        <v>0</v>
      </c>
    </row>
    <row r="12" spans="1:17" x14ac:dyDescent="0.25">
      <c r="A12" s="1" t="s">
        <v>0</v>
      </c>
      <c r="B12" s="1">
        <v>11</v>
      </c>
      <c r="C12" s="1" t="s">
        <v>19</v>
      </c>
      <c r="D12" s="1" t="s">
        <v>13</v>
      </c>
      <c r="E12" s="1">
        <v>1435290.41</v>
      </c>
      <c r="F12" s="1">
        <v>1722348.49</v>
      </c>
      <c r="G12" s="2">
        <v>45457</v>
      </c>
      <c r="H12" s="17">
        <v>45610</v>
      </c>
      <c r="I12" s="7">
        <f ca="1">TODAY()-спецификация[[#This Row],[Дата поставки]]-SUM('Справочник условий'!E:E)</f>
        <v>-1201</v>
      </c>
      <c r="J12" s="8">
        <f ca="1">IFERROR(IF(спецификация[[#This Row],[Просрочка - сроки (дни)]]&gt;0, (E12*'Справочник условий'!$H$2)*'Справочник условий'!H11,0),"")</f>
        <v>0</v>
      </c>
      <c r="K12" s="8">
        <f t="shared" si="0"/>
        <v>1260</v>
      </c>
      <c r="L12" s="8">
        <f ca="1">спецификация[[#This Row],[Просрочка - сроки (дни)]]+K12</f>
        <v>59</v>
      </c>
      <c r="M12" s="8">
        <f ca="1">IFERROR(IF(спецификация[[#This Row],[Риск просрочки - сроки (дни)]]&gt;0, (E12*'Справочник условий'!$H$2)*K12,0),"")</f>
        <v>1085079.54996</v>
      </c>
    </row>
    <row r="13" spans="1:17" x14ac:dyDescent="0.25">
      <c r="A13" s="1" t="s">
        <v>0</v>
      </c>
      <c r="B13" s="1">
        <v>12</v>
      </c>
      <c r="C13" s="1" t="s">
        <v>20</v>
      </c>
      <c r="D13" s="1" t="s">
        <v>9</v>
      </c>
      <c r="E13" s="1">
        <v>2782482.66</v>
      </c>
      <c r="F13" s="1">
        <v>3338979.19</v>
      </c>
      <c r="G13" s="2">
        <v>45547</v>
      </c>
      <c r="H13" s="17">
        <v>45700</v>
      </c>
      <c r="I13" s="7">
        <f ca="1">TODAY()-спецификация[[#This Row],[Дата поставки]]-SUM('Справочник условий'!E:E)</f>
        <v>-1291</v>
      </c>
      <c r="J13" s="8">
        <f ca="1">IFERROR(IF(спецификация[[#This Row],[Просрочка - сроки (дни)]]&gt;0, (E13*'Справочник условий'!$H$2)*'Справочник условий'!H12,0),"")</f>
        <v>0</v>
      </c>
      <c r="K13" s="8">
        <f t="shared" si="0"/>
        <v>1260</v>
      </c>
      <c r="L13" s="8">
        <f ca="1">спецификация[[#This Row],[Просрочка - сроки (дни)]]+K13</f>
        <v>-31</v>
      </c>
      <c r="M13" s="8">
        <f ca="1">IFERROR(IF(спецификация[[#This Row],[Риск просрочки - сроки (дни)]]&gt;0, (E13*'Справочник условий'!$H$2)*K13,0),"")</f>
        <v>0</v>
      </c>
    </row>
    <row r="14" spans="1:17" x14ac:dyDescent="0.25">
      <c r="A14" s="1" t="s">
        <v>0</v>
      </c>
      <c r="B14" s="1">
        <v>13</v>
      </c>
      <c r="C14" s="1" t="s">
        <v>21</v>
      </c>
      <c r="D14" s="1" t="s">
        <v>13</v>
      </c>
      <c r="E14" s="1">
        <v>1871013.03</v>
      </c>
      <c r="F14" s="1">
        <v>2245215.64</v>
      </c>
      <c r="G14" s="2">
        <v>45517</v>
      </c>
      <c r="H14" s="17">
        <v>45670</v>
      </c>
      <c r="I14" s="7">
        <f ca="1">TODAY()-спецификация[[#This Row],[Дата поставки]]-SUM('Справочник условий'!E:E)</f>
        <v>-1261</v>
      </c>
      <c r="J14" s="8">
        <f ca="1">IFERROR(IF(спецификация[[#This Row],[Просрочка - сроки (дни)]]&gt;0, (E14*'Справочник условий'!$H$2)*'Справочник условий'!H13,0),"")</f>
        <v>0</v>
      </c>
      <c r="K14" s="8">
        <f t="shared" si="0"/>
        <v>1260</v>
      </c>
      <c r="L14" s="8">
        <f ca="1">спецификация[[#This Row],[Просрочка - сроки (дни)]]+K14</f>
        <v>-1</v>
      </c>
      <c r="M14" s="8">
        <f ca="1">IFERROR(IF(спецификация[[#This Row],[Риск просрочки - сроки (дни)]]&gt;0, (E14*'Справочник условий'!$H$2)*K14,0),"")</f>
        <v>0</v>
      </c>
    </row>
    <row r="15" spans="1:17" x14ac:dyDescent="0.25">
      <c r="A15" s="1" t="s">
        <v>0</v>
      </c>
      <c r="B15" s="1">
        <v>14</v>
      </c>
      <c r="C15" s="1" t="s">
        <v>22</v>
      </c>
      <c r="D15" s="1" t="s">
        <v>7</v>
      </c>
      <c r="E15" s="1">
        <v>1488753.58</v>
      </c>
      <c r="F15" s="1">
        <v>1786504.3</v>
      </c>
      <c r="G15" s="2">
        <v>45577</v>
      </c>
      <c r="H15" s="17">
        <v>45730</v>
      </c>
      <c r="I15" s="7">
        <f ca="1">TODAY()-спецификация[[#This Row],[Дата поставки]]-SUM('Справочник условий'!E:E)</f>
        <v>-1321</v>
      </c>
      <c r="J15" s="8">
        <f ca="1">IFERROR(IF(спецификация[[#This Row],[Просрочка - сроки (дни)]]&gt;0, (E15*'Справочник условий'!$H$2)*'Справочник условий'!H14,0),"")</f>
        <v>0</v>
      </c>
      <c r="K15" s="8">
        <f t="shared" si="0"/>
        <v>1260</v>
      </c>
      <c r="L15" s="8">
        <f ca="1">спецификация[[#This Row],[Просрочка - сроки (дни)]]+K15</f>
        <v>-61</v>
      </c>
      <c r="M15" s="8">
        <f ca="1">IFERROR(IF(спецификация[[#This Row],[Риск просрочки - сроки (дни)]]&gt;0, (E15*'Справочник условий'!$H$2)*K15,0),"")</f>
        <v>0</v>
      </c>
    </row>
    <row r="16" spans="1:17" x14ac:dyDescent="0.25">
      <c r="A16" s="1" t="s">
        <v>0</v>
      </c>
      <c r="B16" s="1">
        <v>15</v>
      </c>
      <c r="C16" s="1" t="s">
        <v>23</v>
      </c>
      <c r="D16" s="1" t="s">
        <v>9</v>
      </c>
      <c r="E16" s="1">
        <v>1709983.38</v>
      </c>
      <c r="F16" s="1">
        <v>2051980.06</v>
      </c>
      <c r="G16" s="2">
        <v>45487</v>
      </c>
      <c r="H16" s="17">
        <v>45640</v>
      </c>
      <c r="I16" s="7">
        <f ca="1">TODAY()-спецификация[[#This Row],[Дата поставки]]-SUM('Справочник условий'!E:E)</f>
        <v>-1231</v>
      </c>
      <c r="J16" s="8">
        <f ca="1">IFERROR(IF(спецификация[[#This Row],[Просрочка - сроки (дни)]]&gt;0, (E16*'Справочник условий'!$H$2)*'Справочник условий'!H15,0),"")</f>
        <v>0</v>
      </c>
      <c r="K16" s="8">
        <f t="shared" si="0"/>
        <v>1260</v>
      </c>
      <c r="L16" s="8">
        <f ca="1">спецификация[[#This Row],[Просрочка - сроки (дни)]]+K16</f>
        <v>29</v>
      </c>
      <c r="M16" s="8">
        <f ca="1">IFERROR(IF(спецификация[[#This Row],[Риск просрочки - сроки (дни)]]&gt;0, (E16*'Справочник условий'!$H$2)*K16,0),"")</f>
        <v>1292747.4352799999</v>
      </c>
    </row>
    <row r="17" spans="1:13" x14ac:dyDescent="0.25">
      <c r="A17" s="1" t="s">
        <v>0</v>
      </c>
      <c r="B17" s="1">
        <v>16</v>
      </c>
      <c r="C17" s="1" t="s">
        <v>24</v>
      </c>
      <c r="D17" s="1" t="s">
        <v>7</v>
      </c>
      <c r="E17" s="1">
        <v>980525.96</v>
      </c>
      <c r="F17" s="1">
        <v>1176631.1499999999</v>
      </c>
      <c r="G17" s="2">
        <v>45517</v>
      </c>
      <c r="H17" s="17">
        <v>45670</v>
      </c>
      <c r="I17" s="7">
        <f ca="1">TODAY()-спецификация[[#This Row],[Дата поставки]]-SUM('Справочник условий'!E:E)</f>
        <v>-1261</v>
      </c>
      <c r="J17" s="8">
        <f ca="1">IFERROR(IF(спецификация[[#This Row],[Просрочка - сроки (дни)]]&gt;0, (E17*'Справочник условий'!$H$2)*'Справочник условий'!H16,0),"")</f>
        <v>0</v>
      </c>
      <c r="K17" s="8">
        <f t="shared" si="0"/>
        <v>1260</v>
      </c>
      <c r="L17" s="8">
        <f ca="1">спецификация[[#This Row],[Просрочка - сроки (дни)]]+K17</f>
        <v>-1</v>
      </c>
      <c r="M17" s="8">
        <f ca="1">IFERROR(IF(спецификация[[#This Row],[Риск просрочки - сроки (дни)]]&gt;0, (E17*'Справочник условий'!$H$2)*K17,0),"")</f>
        <v>0</v>
      </c>
    </row>
    <row r="18" spans="1:13" x14ac:dyDescent="0.25">
      <c r="A18" s="1" t="s">
        <v>0</v>
      </c>
      <c r="B18" s="1">
        <v>17</v>
      </c>
      <c r="C18" s="1" t="s">
        <v>25</v>
      </c>
      <c r="D18" s="1" t="s">
        <v>7</v>
      </c>
      <c r="E18" s="1">
        <v>2085965.72</v>
      </c>
      <c r="F18" s="1">
        <v>2503158.86</v>
      </c>
      <c r="G18" s="2">
        <v>45457</v>
      </c>
      <c r="H18" s="17">
        <v>45610</v>
      </c>
      <c r="I18" s="7">
        <f ca="1">TODAY()-спецификация[[#This Row],[Дата поставки]]-SUM('Справочник условий'!E:E)</f>
        <v>-1201</v>
      </c>
      <c r="J18" s="8">
        <f ca="1">IFERROR(IF(спецификация[[#This Row],[Просрочка - сроки (дни)]]&gt;0, (E18*'Справочник условий'!$H$2)*'Справочник условий'!H17,0),"")</f>
        <v>0</v>
      </c>
      <c r="K18" s="8">
        <f t="shared" si="0"/>
        <v>1260</v>
      </c>
      <c r="L18" s="8">
        <f ca="1">спецификация[[#This Row],[Просрочка - сроки (дни)]]+K18</f>
        <v>59</v>
      </c>
      <c r="M18" s="8">
        <f ca="1">IFERROR(IF(спецификация[[#This Row],[Риск просрочки - сроки (дни)]]&gt;0, (E18*'Справочник условий'!$H$2)*K18,0),"")</f>
        <v>1576990.0843199997</v>
      </c>
    </row>
    <row r="19" spans="1:13" x14ac:dyDescent="0.25">
      <c r="A19" s="1" t="s">
        <v>0</v>
      </c>
      <c r="B19" s="1">
        <v>18</v>
      </c>
      <c r="C19" s="1" t="s">
        <v>26</v>
      </c>
      <c r="D19" s="1" t="s">
        <v>9</v>
      </c>
      <c r="E19" s="1">
        <v>1978229.36</v>
      </c>
      <c r="F19" s="1">
        <v>2373875.23</v>
      </c>
      <c r="G19" s="2">
        <v>45517</v>
      </c>
      <c r="H19" s="17">
        <v>45670</v>
      </c>
      <c r="I19" s="7">
        <f ca="1">TODAY()-спецификация[[#This Row],[Дата поставки]]-SUM('Справочник условий'!E:E)</f>
        <v>-1261</v>
      </c>
      <c r="J19" s="8">
        <f ca="1">IFERROR(IF(спецификация[[#This Row],[Просрочка - сроки (дни)]]&gt;0, (E19*'Справочник условий'!$H$2)*'Справочник условий'!H18,0),"")</f>
        <v>0</v>
      </c>
      <c r="K19" s="8">
        <f t="shared" si="0"/>
        <v>1260</v>
      </c>
      <c r="L19" s="8">
        <f ca="1">спецификация[[#This Row],[Просрочка - сроки (дни)]]+K19</f>
        <v>-1</v>
      </c>
      <c r="M19" s="8">
        <f ca="1">IFERROR(IF(спецификация[[#This Row],[Риск просрочки - сроки (дни)]]&gt;0, (E19*'Справочник условий'!$H$2)*K19,0),"")</f>
        <v>0</v>
      </c>
    </row>
    <row r="20" spans="1:13" x14ac:dyDescent="0.25">
      <c r="A20" s="1" t="s">
        <v>0</v>
      </c>
      <c r="B20" s="1">
        <v>19</v>
      </c>
      <c r="C20" s="1" t="s">
        <v>27</v>
      </c>
      <c r="D20" s="1" t="s">
        <v>13</v>
      </c>
      <c r="E20" s="1">
        <v>2266915.4</v>
      </c>
      <c r="F20" s="1">
        <v>2720298.48</v>
      </c>
      <c r="G20" s="2">
        <v>45487</v>
      </c>
      <c r="H20" s="17">
        <v>45640</v>
      </c>
      <c r="I20" s="7">
        <f ca="1">TODAY()-спецификация[[#This Row],[Дата поставки]]-SUM('Справочник условий'!E:E)</f>
        <v>-1231</v>
      </c>
      <c r="J20" s="8">
        <f ca="1">IFERROR(IF(спецификация[[#This Row],[Просрочка - сроки (дни)]]&gt;0, (E20*'Справочник условий'!$H$2)*'Справочник условий'!H19,0),"")</f>
        <v>0</v>
      </c>
      <c r="K20" s="8">
        <f t="shared" si="0"/>
        <v>1260</v>
      </c>
      <c r="L20" s="8">
        <f ca="1">спецификация[[#This Row],[Просрочка - сроки (дни)]]+K20</f>
        <v>29</v>
      </c>
      <c r="M20" s="8">
        <f ca="1">IFERROR(IF(спецификация[[#This Row],[Риск просрочки - сроки (дни)]]&gt;0, (E20*'Справочник условий'!$H$2)*K20,0),"")</f>
        <v>1713788.0423999997</v>
      </c>
    </row>
    <row r="21" spans="1:13" x14ac:dyDescent="0.25">
      <c r="A21" s="1" t="s">
        <v>0</v>
      </c>
      <c r="B21" s="1">
        <v>20</v>
      </c>
      <c r="C21" s="1" t="s">
        <v>28</v>
      </c>
      <c r="D21" s="1" t="s">
        <v>7</v>
      </c>
      <c r="E21" s="1">
        <v>1615861.79</v>
      </c>
      <c r="F21" s="1">
        <v>1939034.15</v>
      </c>
      <c r="G21" s="2">
        <v>45547</v>
      </c>
      <c r="H21" s="17">
        <v>45700</v>
      </c>
      <c r="I21" s="7">
        <f ca="1">TODAY()-спецификация[[#This Row],[Дата поставки]]-SUM('Справочник условий'!E:E)</f>
        <v>-1291</v>
      </c>
      <c r="J21" s="8">
        <f ca="1">IFERROR(IF(спецификация[[#This Row],[Просрочка - сроки (дни)]]&gt;0, (E21*'Справочник условий'!$H$2)*'Справочник условий'!H20,0),"")</f>
        <v>0</v>
      </c>
      <c r="K21" s="8">
        <f t="shared" si="0"/>
        <v>1260</v>
      </c>
      <c r="L21" s="8">
        <f ca="1">спецификация[[#This Row],[Просрочка - сроки (дни)]]+K21</f>
        <v>-31</v>
      </c>
      <c r="M21" s="8">
        <f ca="1">IFERROR(IF(спецификация[[#This Row],[Риск просрочки - сроки (дни)]]&gt;0, (E21*'Справочник условий'!$H$2)*K21,0),"")</f>
        <v>0</v>
      </c>
    </row>
    <row r="22" spans="1:13" x14ac:dyDescent="0.25">
      <c r="A22" s="1" t="s">
        <v>0</v>
      </c>
      <c r="B22" s="1">
        <v>21</v>
      </c>
      <c r="C22" s="1" t="s">
        <v>29</v>
      </c>
      <c r="D22" s="1" t="s">
        <v>7</v>
      </c>
      <c r="E22" s="1">
        <v>1701335.35</v>
      </c>
      <c r="F22" s="1">
        <v>2041602.42</v>
      </c>
      <c r="G22" s="2">
        <v>45487</v>
      </c>
      <c r="H22" s="17">
        <v>45640</v>
      </c>
      <c r="I22" s="7">
        <f ca="1">TODAY()-спецификация[[#This Row],[Дата поставки]]-SUM('Справочник условий'!E:E)</f>
        <v>-1231</v>
      </c>
      <c r="J22" s="8">
        <f ca="1">IFERROR(IF(спецификация[[#This Row],[Просрочка - сроки (дни)]]&gt;0, (E22*'Справочник условий'!$H$2)*'Справочник условий'!H21,0),"")</f>
        <v>0</v>
      </c>
      <c r="K22" s="8">
        <f t="shared" si="0"/>
        <v>1260</v>
      </c>
      <c r="L22" s="8">
        <f ca="1">спецификация[[#This Row],[Просрочка - сроки (дни)]]+K22</f>
        <v>29</v>
      </c>
      <c r="M22" s="8">
        <f ca="1">IFERROR(IF(спецификация[[#This Row],[Риск просрочки - сроки (дни)]]&gt;0, (E22*'Справочник условий'!$H$2)*K22,0),"")</f>
        <v>1286209.5245999999</v>
      </c>
    </row>
    <row r="23" spans="1:13" x14ac:dyDescent="0.25">
      <c r="A23" s="1" t="s">
        <v>0</v>
      </c>
      <c r="B23" s="1">
        <v>22</v>
      </c>
      <c r="C23" s="1" t="s">
        <v>30</v>
      </c>
      <c r="D23" s="1" t="s">
        <v>13</v>
      </c>
      <c r="E23" s="1">
        <v>1194942.03</v>
      </c>
      <c r="F23" s="1">
        <v>1433930.44</v>
      </c>
      <c r="G23" s="2">
        <v>45457</v>
      </c>
      <c r="H23" s="17">
        <v>45610</v>
      </c>
      <c r="I23" s="7">
        <f ca="1">TODAY()-спецификация[[#This Row],[Дата поставки]]-SUM('Справочник условий'!E:E)</f>
        <v>-1201</v>
      </c>
      <c r="J23" s="8">
        <f ca="1">IFERROR(IF(спецификация[[#This Row],[Просрочка - сроки (дни)]]&gt;0, (E23*'Справочник условий'!$H$2)*'Справочник условий'!H22,0),"")</f>
        <v>0</v>
      </c>
      <c r="K23" s="8">
        <f t="shared" si="0"/>
        <v>1260</v>
      </c>
      <c r="L23" s="8">
        <f ca="1">спецификация[[#This Row],[Просрочка - сроки (дни)]]+K23</f>
        <v>59</v>
      </c>
      <c r="M23" s="8">
        <f ca="1">IFERROR(IF(спецификация[[#This Row],[Риск просрочки - сроки (дни)]]&gt;0, (E23*'Справочник условий'!$H$2)*K23,0),"")</f>
        <v>903376.17467999994</v>
      </c>
    </row>
    <row r="24" spans="1:13" x14ac:dyDescent="0.25">
      <c r="A24" s="1" t="s">
        <v>0</v>
      </c>
      <c r="B24" s="1">
        <v>23</v>
      </c>
      <c r="C24" s="1" t="s">
        <v>31</v>
      </c>
      <c r="D24" s="1" t="s">
        <v>13</v>
      </c>
      <c r="E24" s="1">
        <v>2674394.0299999998</v>
      </c>
      <c r="F24" s="1">
        <v>3209272.84</v>
      </c>
      <c r="G24" s="2">
        <v>45517</v>
      </c>
      <c r="H24" s="17">
        <v>45670</v>
      </c>
      <c r="I24" s="7">
        <f ca="1">TODAY()-спецификация[[#This Row],[Дата поставки]]-SUM('Справочник условий'!E:E)</f>
        <v>-1261</v>
      </c>
      <c r="J24" s="8">
        <f ca="1">IFERROR(IF(спецификация[[#This Row],[Просрочка - сроки (дни)]]&gt;0, (E24*'Справочник условий'!$H$2)*'Справочник условий'!H23,0),"")</f>
        <v>0</v>
      </c>
      <c r="K24" s="8">
        <f t="shared" si="0"/>
        <v>1260</v>
      </c>
      <c r="L24" s="8">
        <f ca="1">спецификация[[#This Row],[Просрочка - сроки (дни)]]+K24</f>
        <v>-1</v>
      </c>
      <c r="M24" s="8">
        <f ca="1">IFERROR(IF(спецификация[[#This Row],[Риск просрочки - сроки (дни)]]&gt;0, (E24*'Справочник условий'!$H$2)*K24,0),"")</f>
        <v>0</v>
      </c>
    </row>
    <row r="25" spans="1:13" x14ac:dyDescent="0.25">
      <c r="A25" s="1" t="s">
        <v>0</v>
      </c>
      <c r="B25" s="1">
        <v>24</v>
      </c>
      <c r="C25" s="1" t="s">
        <v>32</v>
      </c>
      <c r="D25" s="1" t="s">
        <v>13</v>
      </c>
      <c r="E25" s="1">
        <v>2364085.73</v>
      </c>
      <c r="F25" s="1">
        <v>2836902.88</v>
      </c>
      <c r="G25" s="2">
        <v>45517</v>
      </c>
      <c r="H25" s="17">
        <v>45670</v>
      </c>
      <c r="I25" s="7">
        <f ca="1">TODAY()-спецификация[[#This Row],[Дата поставки]]-SUM('Справочник условий'!E:E)</f>
        <v>-1261</v>
      </c>
      <c r="J25" s="8">
        <f ca="1">IFERROR(IF(спецификация[[#This Row],[Просрочка - сроки (дни)]]&gt;0, (E25*'Справочник условий'!$H$2)*'Справочник условий'!H24,0),"")</f>
        <v>0</v>
      </c>
      <c r="K25" s="8">
        <f t="shared" si="0"/>
        <v>1260</v>
      </c>
      <c r="L25" s="8">
        <f ca="1">спецификация[[#This Row],[Просрочка - сроки (дни)]]+K25</f>
        <v>-1</v>
      </c>
      <c r="M25" s="8">
        <f ca="1">IFERROR(IF(спецификация[[#This Row],[Риск просрочки - сроки (дни)]]&gt;0, (E25*'Справочник условий'!$H$2)*K25,0),"")</f>
        <v>0</v>
      </c>
    </row>
    <row r="26" spans="1:13" x14ac:dyDescent="0.25">
      <c r="A26" s="1" t="s">
        <v>0</v>
      </c>
      <c r="B26" s="1">
        <v>25</v>
      </c>
      <c r="C26" s="1" t="s">
        <v>33</v>
      </c>
      <c r="D26" s="1" t="s">
        <v>9</v>
      </c>
      <c r="E26" s="1">
        <v>1753611.95</v>
      </c>
      <c r="F26" s="1">
        <v>2104334.34</v>
      </c>
      <c r="G26" s="2">
        <v>45517</v>
      </c>
      <c r="H26" s="17">
        <v>45670</v>
      </c>
      <c r="I26" s="7">
        <f ca="1">TODAY()-спецификация[[#This Row],[Дата поставки]]-SUM('Справочник условий'!E:E)</f>
        <v>-1261</v>
      </c>
      <c r="J26" s="8">
        <f ca="1">IFERROR(IF(спецификация[[#This Row],[Просрочка - сроки (дни)]]&gt;0, (E26*'Справочник условий'!$H$2)*'Справочник условий'!H25,0),"")</f>
        <v>0</v>
      </c>
      <c r="K26" s="8">
        <f t="shared" si="0"/>
        <v>1260</v>
      </c>
      <c r="L26" s="8">
        <f ca="1">спецификация[[#This Row],[Просрочка - сроки (дни)]]+K26</f>
        <v>-1</v>
      </c>
      <c r="M26" s="8">
        <f ca="1">IFERROR(IF(спецификация[[#This Row],[Риск просрочки - сроки (дни)]]&gt;0, (E26*'Справочник условий'!$H$2)*K26,0),"")</f>
        <v>0</v>
      </c>
    </row>
    <row r="27" spans="1:13" x14ac:dyDescent="0.25">
      <c r="A27" s="1" t="s">
        <v>0</v>
      </c>
      <c r="B27" s="1">
        <v>26</v>
      </c>
      <c r="C27" s="1" t="s">
        <v>34</v>
      </c>
      <c r="D27" s="1" t="s">
        <v>13</v>
      </c>
      <c r="E27" s="1">
        <v>1533885.83</v>
      </c>
      <c r="F27" s="1">
        <v>1840663</v>
      </c>
      <c r="G27" s="2">
        <v>45517</v>
      </c>
      <c r="H27" s="17">
        <v>45670</v>
      </c>
      <c r="I27" s="7">
        <f ca="1">TODAY()-спецификация[[#This Row],[Дата поставки]]-SUM('Справочник условий'!E:E)</f>
        <v>-1261</v>
      </c>
      <c r="J27" s="8">
        <f ca="1">IFERROR(IF(спецификация[[#This Row],[Просрочка - сроки (дни)]]&gt;0, (E27*'Справочник условий'!$H$2)*'Справочник условий'!H26,0),"")</f>
        <v>0</v>
      </c>
      <c r="K27" s="8">
        <f t="shared" si="0"/>
        <v>1260</v>
      </c>
      <c r="L27" s="8">
        <f ca="1">спецификация[[#This Row],[Просрочка - сроки (дни)]]+K27</f>
        <v>-1</v>
      </c>
      <c r="M27" s="8">
        <f ca="1">IFERROR(IF(спецификация[[#This Row],[Риск просрочки - сроки (дни)]]&gt;0, (E27*'Справочник условий'!$H$2)*K27,0),"")</f>
        <v>0</v>
      </c>
    </row>
    <row r="28" spans="1:13" x14ac:dyDescent="0.25">
      <c r="A28" s="1" t="s">
        <v>0</v>
      </c>
      <c r="B28" s="1">
        <v>27</v>
      </c>
      <c r="C28" s="1" t="s">
        <v>35</v>
      </c>
      <c r="D28" s="1" t="s">
        <v>13</v>
      </c>
      <c r="E28" s="1">
        <v>1563066.25</v>
      </c>
      <c r="F28" s="1">
        <v>1875679.5</v>
      </c>
      <c r="G28" s="2">
        <v>45517</v>
      </c>
      <c r="H28" s="17">
        <v>45670</v>
      </c>
      <c r="I28" s="7">
        <f ca="1">TODAY()-спецификация[[#This Row],[Дата поставки]]-SUM('Справочник условий'!E:E)</f>
        <v>-1261</v>
      </c>
      <c r="J28" s="8">
        <f ca="1">IFERROR(IF(спецификация[[#This Row],[Просрочка - сроки (дни)]]&gt;0, (E28*'Справочник условий'!$H$2)*'Справочник условий'!H27,0),"")</f>
        <v>0</v>
      </c>
      <c r="K28" s="8">
        <f t="shared" si="0"/>
        <v>1260</v>
      </c>
      <c r="L28" s="8">
        <f ca="1">спецификация[[#This Row],[Просрочка - сроки (дни)]]+K28</f>
        <v>-1</v>
      </c>
      <c r="M28" s="8">
        <f ca="1">IFERROR(IF(спецификация[[#This Row],[Риск просрочки - сроки (дни)]]&gt;0, (E28*'Справочник условий'!$H$2)*K28,0),"")</f>
        <v>0</v>
      </c>
    </row>
    <row r="29" spans="1:13" x14ac:dyDescent="0.25">
      <c r="A29" s="1" t="s">
        <v>0</v>
      </c>
      <c r="B29" s="1">
        <v>28</v>
      </c>
      <c r="C29" s="1" t="s">
        <v>36</v>
      </c>
      <c r="D29" s="1" t="s">
        <v>7</v>
      </c>
      <c r="E29" s="1">
        <v>709931.5</v>
      </c>
      <c r="F29" s="1">
        <v>851917.8</v>
      </c>
      <c r="G29" s="2">
        <v>45517</v>
      </c>
      <c r="H29" s="17">
        <v>45670</v>
      </c>
      <c r="I29" s="7">
        <f ca="1">TODAY()-спецификация[[#This Row],[Дата поставки]]-SUM('Справочник условий'!E:E)</f>
        <v>-1261</v>
      </c>
      <c r="J29" s="8">
        <f ca="1">IFERROR(IF(спецификация[[#This Row],[Просрочка - сроки (дни)]]&gt;0, (E29*'Справочник условий'!$H$2)*'Справочник условий'!H28,0),"")</f>
        <v>0</v>
      </c>
      <c r="K29" s="8">
        <f t="shared" si="0"/>
        <v>1260</v>
      </c>
      <c r="L29" s="8">
        <f ca="1">спецификация[[#This Row],[Просрочка - сроки (дни)]]+K29</f>
        <v>-1</v>
      </c>
      <c r="M29" s="8">
        <f ca="1">IFERROR(IF(спецификация[[#This Row],[Риск просрочки - сроки (дни)]]&gt;0, (E29*'Справочник условий'!$H$2)*K29,0),"")</f>
        <v>0</v>
      </c>
    </row>
    <row r="30" spans="1:13" x14ac:dyDescent="0.25">
      <c r="A30" s="1" t="s">
        <v>0</v>
      </c>
      <c r="B30" s="1">
        <v>29</v>
      </c>
      <c r="C30" s="1" t="s">
        <v>37</v>
      </c>
      <c r="D30" s="1" t="s">
        <v>7</v>
      </c>
      <c r="E30" s="1">
        <v>1265398.48</v>
      </c>
      <c r="F30" s="1">
        <v>1518478.18</v>
      </c>
      <c r="G30" s="2">
        <v>45487</v>
      </c>
      <c r="H30" s="17">
        <v>45640</v>
      </c>
      <c r="I30" s="7">
        <f ca="1">TODAY()-спецификация[[#This Row],[Дата поставки]]-SUM('Справочник условий'!E:E)</f>
        <v>-1231</v>
      </c>
      <c r="J30" s="8">
        <f ca="1">IFERROR(IF(спецификация[[#This Row],[Просрочка - сроки (дни)]]&gt;0, (E30*'Справочник условий'!$H$2)*'Справочник условий'!H29,0),"")</f>
        <v>0</v>
      </c>
      <c r="K30" s="8">
        <f t="shared" si="0"/>
        <v>1260</v>
      </c>
      <c r="L30" s="8">
        <f ca="1">спецификация[[#This Row],[Просрочка - сроки (дни)]]+K30</f>
        <v>29</v>
      </c>
      <c r="M30" s="8">
        <f ca="1">IFERROR(IF(спецификация[[#This Row],[Риск просрочки - сроки (дни)]]&gt;0, (E30*'Справочник условий'!$H$2)*K30,0),"")</f>
        <v>956641.25087999995</v>
      </c>
    </row>
    <row r="31" spans="1:13" x14ac:dyDescent="0.25">
      <c r="A31" s="1" t="s">
        <v>0</v>
      </c>
      <c r="B31" s="1">
        <v>30</v>
      </c>
      <c r="C31" s="1" t="s">
        <v>38</v>
      </c>
      <c r="D31" s="1" t="s">
        <v>7</v>
      </c>
      <c r="E31" s="1">
        <v>1323433.25</v>
      </c>
      <c r="F31" s="1">
        <v>1588119.9</v>
      </c>
      <c r="G31" s="2">
        <v>45547</v>
      </c>
      <c r="H31" s="17">
        <v>45700</v>
      </c>
      <c r="I31" s="7">
        <f ca="1">TODAY()-спецификация[[#This Row],[Дата поставки]]-SUM('Справочник условий'!E:E)</f>
        <v>-1291</v>
      </c>
      <c r="J31" s="8">
        <f ca="1">IFERROR(IF(спецификация[[#This Row],[Просрочка - сроки (дни)]]&gt;0, (E31*'Справочник условий'!$H$2)*'Справочник условий'!H30,0),"")</f>
        <v>0</v>
      </c>
      <c r="K31" s="8">
        <f t="shared" si="0"/>
        <v>1260</v>
      </c>
      <c r="L31" s="8">
        <f ca="1">спецификация[[#This Row],[Просрочка - сроки (дни)]]+K31</f>
        <v>-31</v>
      </c>
      <c r="M31" s="8">
        <f ca="1">IFERROR(IF(спецификация[[#This Row],[Риск просрочки - сроки (дни)]]&gt;0, (E31*'Справочник условий'!$H$2)*K31,0),"")</f>
        <v>0</v>
      </c>
    </row>
    <row r="32" spans="1:13" x14ac:dyDescent="0.25">
      <c r="A32" s="1" t="s">
        <v>0</v>
      </c>
      <c r="B32" s="1">
        <v>31</v>
      </c>
      <c r="C32" s="1" t="s">
        <v>39</v>
      </c>
      <c r="D32" s="1" t="s">
        <v>9</v>
      </c>
      <c r="E32" s="1">
        <v>869192.03</v>
      </c>
      <c r="F32" s="1">
        <v>1043030.44</v>
      </c>
      <c r="G32" s="2">
        <v>45487</v>
      </c>
      <c r="H32" s="17">
        <v>45640</v>
      </c>
      <c r="I32" s="7">
        <f ca="1">TODAY()-спецификация[[#This Row],[Дата поставки]]-SUM('Справочник условий'!E:E)</f>
        <v>-1231</v>
      </c>
      <c r="J32" s="8">
        <f ca="1">IFERROR(IF(спецификация[[#This Row],[Просрочка - сроки (дни)]]&gt;0, (E32*'Справочник условий'!$H$2)*'Справочник условий'!H31,0),"")</f>
        <v>0</v>
      </c>
      <c r="K32" s="8">
        <f t="shared" si="0"/>
        <v>1260</v>
      </c>
      <c r="L32" s="8">
        <f ca="1">спецификация[[#This Row],[Просрочка - сроки (дни)]]+K32</f>
        <v>29</v>
      </c>
      <c r="M32" s="8">
        <f ca="1">IFERROR(IF(спецификация[[#This Row],[Риск просрочки - сроки (дни)]]&gt;0, (E32*'Справочник условий'!$H$2)*K32,0),"")</f>
        <v>657109.17468000005</v>
      </c>
    </row>
    <row r="33" spans="1:13" x14ac:dyDescent="0.25">
      <c r="A33" s="1" t="s">
        <v>0</v>
      </c>
      <c r="B33" s="1">
        <v>32</v>
      </c>
      <c r="C33" s="1" t="s">
        <v>40</v>
      </c>
      <c r="D33" s="1" t="s">
        <v>9</v>
      </c>
      <c r="E33" s="1">
        <v>1717721.02</v>
      </c>
      <c r="F33" s="1">
        <v>2061265.22</v>
      </c>
      <c r="G33" s="2">
        <v>45577</v>
      </c>
      <c r="H33" s="17">
        <v>45730</v>
      </c>
      <c r="I33" s="7">
        <f ca="1">TODAY()-спецификация[[#This Row],[Дата поставки]]-SUM('Справочник условий'!E:E)</f>
        <v>-1321</v>
      </c>
      <c r="J33" s="8">
        <f ca="1">IFERROR(IF(спецификация[[#This Row],[Просрочка - сроки (дни)]]&gt;0, (E33*'Справочник условий'!$H$2)*'Справочник условий'!H32,0),"")</f>
        <v>0</v>
      </c>
      <c r="K33" s="8">
        <f t="shared" si="0"/>
        <v>1260</v>
      </c>
      <c r="L33" s="8">
        <f ca="1">спецификация[[#This Row],[Просрочка - сроки (дни)]]+K33</f>
        <v>-61</v>
      </c>
      <c r="M33" s="8">
        <f ca="1">IFERROR(IF(спецификация[[#This Row],[Риск просрочки - сроки (дни)]]&gt;0, (E33*'Справочник условий'!$H$2)*K33,0),"")</f>
        <v>0</v>
      </c>
    </row>
    <row r="34" spans="1:13" x14ac:dyDescent="0.25">
      <c r="A34" s="1" t="s">
        <v>0</v>
      </c>
      <c r="B34" s="1">
        <v>33</v>
      </c>
      <c r="C34" s="1" t="s">
        <v>41</v>
      </c>
      <c r="D34" s="1" t="s">
        <v>7</v>
      </c>
      <c r="E34" s="1">
        <v>972363.99</v>
      </c>
      <c r="F34" s="1">
        <v>1166836.79</v>
      </c>
      <c r="G34" s="2">
        <v>45577</v>
      </c>
      <c r="H34" s="17">
        <v>45730</v>
      </c>
      <c r="I34" s="7">
        <f ca="1">TODAY()-спецификация[[#This Row],[Дата поставки]]-SUM('Справочник условий'!E:E)</f>
        <v>-1321</v>
      </c>
      <c r="J34" s="8">
        <f ca="1">IFERROR(IF(спецификация[[#This Row],[Просрочка - сроки (дни)]]&gt;0, (E34*'Справочник условий'!$H$2)*'Справочник условий'!H33,0),"")</f>
        <v>0</v>
      </c>
      <c r="K34" s="8">
        <f t="shared" si="0"/>
        <v>1260</v>
      </c>
      <c r="L34" s="8">
        <f ca="1">спецификация[[#This Row],[Просрочка - сроки (дни)]]+K34</f>
        <v>-61</v>
      </c>
      <c r="M34" s="8">
        <f ca="1">IFERROR(IF(спецификация[[#This Row],[Риск просрочки - сроки (дни)]]&gt;0, (E34*'Справочник условий'!$H$2)*K34,0),"")</f>
        <v>0</v>
      </c>
    </row>
    <row r="35" spans="1:13" x14ac:dyDescent="0.25">
      <c r="A35" s="1" t="s">
        <v>0</v>
      </c>
      <c r="B35" s="1">
        <v>34</v>
      </c>
      <c r="C35" s="1" t="s">
        <v>42</v>
      </c>
      <c r="D35" s="1" t="s">
        <v>7</v>
      </c>
      <c r="E35" s="1">
        <v>1087907.68</v>
      </c>
      <c r="F35" s="1">
        <v>1305489.22</v>
      </c>
      <c r="G35" s="2">
        <v>45607</v>
      </c>
      <c r="H35" s="17">
        <v>45760</v>
      </c>
      <c r="I35" s="7">
        <f ca="1">TODAY()-спецификация[[#This Row],[Дата поставки]]-SUM('Справочник условий'!E:E)</f>
        <v>-1351</v>
      </c>
      <c r="J35" s="8">
        <f ca="1">IFERROR(IF(спецификация[[#This Row],[Просрочка - сроки (дни)]]&gt;0, (E35*'Справочник условий'!$H$2)*'Справочник условий'!H34,0),"")</f>
        <v>0</v>
      </c>
      <c r="K35" s="8">
        <f t="shared" si="0"/>
        <v>1260</v>
      </c>
      <c r="L35" s="8">
        <f ca="1">спецификация[[#This Row],[Просрочка - сроки (дни)]]+K35</f>
        <v>-91</v>
      </c>
      <c r="M35" s="8">
        <f ca="1">IFERROR(IF(спецификация[[#This Row],[Риск просрочки - сроки (дни)]]&gt;0, (E35*'Справочник условий'!$H$2)*K35,0),"")</f>
        <v>0</v>
      </c>
    </row>
    <row r="36" spans="1:13" x14ac:dyDescent="0.25">
      <c r="A36" s="1" t="s">
        <v>0</v>
      </c>
      <c r="B36" s="1">
        <v>35</v>
      </c>
      <c r="C36" s="1" t="s">
        <v>43</v>
      </c>
      <c r="D36" s="1" t="s">
        <v>9</v>
      </c>
      <c r="E36" s="1">
        <v>1526479.55</v>
      </c>
      <c r="F36" s="1">
        <v>1831775.46</v>
      </c>
      <c r="G36" s="2">
        <v>45607</v>
      </c>
      <c r="H36" s="17">
        <v>45760</v>
      </c>
      <c r="I36" s="7">
        <f ca="1">TODAY()-спецификация[[#This Row],[Дата поставки]]-SUM('Справочник условий'!E:E)</f>
        <v>-1351</v>
      </c>
      <c r="J36" s="8">
        <f ca="1">IFERROR(IF(спецификация[[#This Row],[Просрочка - сроки (дни)]]&gt;0, (E36*'Справочник условий'!$H$2)*'Справочник условий'!H35,0),"")</f>
        <v>0</v>
      </c>
      <c r="K36" s="8">
        <f t="shared" si="0"/>
        <v>1260</v>
      </c>
      <c r="L36" s="8">
        <f ca="1">спецификация[[#This Row],[Просрочка - сроки (дни)]]+K36</f>
        <v>-91</v>
      </c>
      <c r="M36" s="8">
        <f ca="1">IFERROR(IF(спецификация[[#This Row],[Риск просрочки - сроки (дни)]]&gt;0, (E36*'Справочник условий'!$H$2)*K36,0),"")</f>
        <v>0</v>
      </c>
    </row>
    <row r="37" spans="1:13" x14ac:dyDescent="0.25">
      <c r="A37" s="1" t="s">
        <v>0</v>
      </c>
      <c r="B37" s="1">
        <v>36</v>
      </c>
      <c r="C37" s="1" t="s">
        <v>44</v>
      </c>
      <c r="D37" s="1" t="s">
        <v>9</v>
      </c>
      <c r="E37" s="1">
        <v>1581632.57</v>
      </c>
      <c r="F37" s="1">
        <v>1897959.08</v>
      </c>
      <c r="G37" s="2">
        <v>45487</v>
      </c>
      <c r="H37" s="17">
        <v>45640</v>
      </c>
      <c r="I37" s="7">
        <f ca="1">TODAY()-спецификация[[#This Row],[Дата поставки]]-SUM('Справочник условий'!E:E)</f>
        <v>-1231</v>
      </c>
      <c r="J37" s="8">
        <f ca="1">IFERROR(IF(спецификация[[#This Row],[Просрочка - сроки (дни)]]&gt;0, (E37*'Справочник условий'!$H$2)*'Справочник условий'!H36,0),"")</f>
        <v>0</v>
      </c>
      <c r="K37" s="8">
        <f t="shared" si="0"/>
        <v>1260</v>
      </c>
      <c r="L37" s="8">
        <f ca="1">спецификация[[#This Row],[Просрочка - сроки (дни)]]+K37</f>
        <v>29</v>
      </c>
      <c r="M37" s="8">
        <f ca="1">IFERROR(IF(спецификация[[#This Row],[Риск просрочки - сроки (дни)]]&gt;0, (E37*'Справочник условий'!$H$2)*K37,0),"")</f>
        <v>1195714.2229199999</v>
      </c>
    </row>
    <row r="38" spans="1:13" x14ac:dyDescent="0.25">
      <c r="A38" s="1" t="s">
        <v>0</v>
      </c>
      <c r="B38" s="1">
        <v>37</v>
      </c>
      <c r="C38" s="1" t="s">
        <v>45</v>
      </c>
      <c r="D38" s="1" t="s">
        <v>9</v>
      </c>
      <c r="E38" s="1">
        <v>702369.16</v>
      </c>
      <c r="F38" s="1">
        <v>842842.99</v>
      </c>
      <c r="G38" s="2">
        <v>45457</v>
      </c>
      <c r="H38" s="17">
        <v>45610</v>
      </c>
      <c r="I38" s="7">
        <f ca="1">TODAY()-спецификация[[#This Row],[Дата поставки]]-SUM('Справочник условий'!E:E)</f>
        <v>-1201</v>
      </c>
      <c r="J38" s="8">
        <f ca="1">IFERROR(IF(спецификация[[#This Row],[Просрочка - сроки (дни)]]&gt;0, (E38*'Справочник условий'!$H$2)*'Справочник условий'!H37,0),"")</f>
        <v>0</v>
      </c>
      <c r="K38" s="8">
        <f t="shared" si="0"/>
        <v>1260</v>
      </c>
      <c r="L38" s="8">
        <f ca="1">спецификация[[#This Row],[Просрочка - сроки (дни)]]+K38</f>
        <v>59</v>
      </c>
      <c r="M38" s="8">
        <f ca="1">IFERROR(IF(спецификация[[#This Row],[Риск просрочки - сроки (дни)]]&gt;0, (E38*'Справочник условий'!$H$2)*K38,0),"")</f>
        <v>530991.08496000001</v>
      </c>
    </row>
    <row r="39" spans="1:13" x14ac:dyDescent="0.25">
      <c r="A39" s="1" t="s">
        <v>0</v>
      </c>
      <c r="B39" s="1">
        <v>38</v>
      </c>
      <c r="C39" s="1" t="s">
        <v>46</v>
      </c>
      <c r="D39" s="1" t="s">
        <v>13</v>
      </c>
      <c r="E39" s="1">
        <v>1118948.74</v>
      </c>
      <c r="F39" s="1">
        <v>1342738.49</v>
      </c>
      <c r="G39" s="2">
        <v>45577</v>
      </c>
      <c r="H39" s="17">
        <v>45730</v>
      </c>
      <c r="I39" s="7">
        <f ca="1">TODAY()-спецификация[[#This Row],[Дата поставки]]-SUM('Справочник условий'!E:E)</f>
        <v>-1321</v>
      </c>
      <c r="J39" s="8">
        <f ca="1">IFERROR(IF(спецификация[[#This Row],[Просрочка - сроки (дни)]]&gt;0, (E39*'Справочник условий'!$H$2)*'Справочник условий'!H38,0),"")</f>
        <v>0</v>
      </c>
      <c r="K39" s="8">
        <f t="shared" si="0"/>
        <v>1260</v>
      </c>
      <c r="L39" s="8">
        <f ca="1">спецификация[[#This Row],[Просрочка - сроки (дни)]]+K39</f>
        <v>-61</v>
      </c>
      <c r="M39" s="8">
        <f ca="1">IFERROR(IF(спецификация[[#This Row],[Риск просрочки - сроки (дни)]]&gt;0, (E39*'Справочник условий'!$H$2)*K39,0),"")</f>
        <v>0</v>
      </c>
    </row>
    <row r="40" spans="1:13" x14ac:dyDescent="0.25">
      <c r="A40" s="1" t="s">
        <v>0</v>
      </c>
      <c r="B40" s="1">
        <v>39</v>
      </c>
      <c r="C40" s="1" t="s">
        <v>47</v>
      </c>
      <c r="D40" s="1" t="s">
        <v>9</v>
      </c>
      <c r="E40" s="1">
        <v>1379543.74</v>
      </c>
      <c r="F40" s="1">
        <v>1655452.49</v>
      </c>
      <c r="G40" s="2">
        <v>45457</v>
      </c>
      <c r="H40" s="17">
        <v>45610</v>
      </c>
      <c r="I40" s="7">
        <f ca="1">TODAY()-спецификация[[#This Row],[Дата поставки]]-SUM('Справочник условий'!E:E)</f>
        <v>-1201</v>
      </c>
      <c r="J40" s="8">
        <f ca="1">IFERROR(IF(спецификация[[#This Row],[Просрочка - сроки (дни)]]&gt;0, (E40*'Справочник условий'!$H$2)*'Справочник условий'!H39,0),"")</f>
        <v>0</v>
      </c>
      <c r="K40" s="8">
        <f t="shared" si="0"/>
        <v>1260</v>
      </c>
      <c r="L40" s="8">
        <f ca="1">спецификация[[#This Row],[Просрочка - сроки (дни)]]+K40</f>
        <v>59</v>
      </c>
      <c r="M40" s="8">
        <f ca="1">IFERROR(IF(спецификация[[#This Row],[Риск просрочки - сроки (дни)]]&gt;0, (E40*'Справочник условий'!$H$2)*K40,0),"")</f>
        <v>1042935.0674399999</v>
      </c>
    </row>
    <row r="41" spans="1:13" x14ac:dyDescent="0.25">
      <c r="A41" s="1" t="s">
        <v>0</v>
      </c>
      <c r="B41" s="1">
        <v>40</v>
      </c>
      <c r="C41" s="1" t="s">
        <v>48</v>
      </c>
      <c r="D41" s="1" t="s">
        <v>9</v>
      </c>
      <c r="E41" s="1">
        <v>1502646</v>
      </c>
      <c r="F41" s="1">
        <v>1803175.2</v>
      </c>
      <c r="G41" s="2">
        <v>45487</v>
      </c>
      <c r="H41" s="17">
        <v>45640</v>
      </c>
      <c r="I41" s="7">
        <f ca="1">TODAY()-спецификация[[#This Row],[Дата поставки]]-SUM('Справочник условий'!E:E)</f>
        <v>-1231</v>
      </c>
      <c r="J41" s="8">
        <f ca="1">IFERROR(IF(спецификация[[#This Row],[Просрочка - сроки (дни)]]&gt;0, (E41*'Справочник условий'!$H$2)*'Справочник условий'!H40,0),"")</f>
        <v>0</v>
      </c>
      <c r="K41" s="8">
        <f t="shared" si="0"/>
        <v>1260</v>
      </c>
      <c r="L41" s="8">
        <f ca="1">спецификация[[#This Row],[Просрочка - сроки (дни)]]+K41</f>
        <v>29</v>
      </c>
      <c r="M41" s="8">
        <f ca="1">IFERROR(IF(спецификация[[#This Row],[Риск просрочки - сроки (дни)]]&gt;0, (E41*'Справочник условий'!$H$2)*K41,0),"")</f>
        <v>1136000.3759999999</v>
      </c>
    </row>
    <row r="42" spans="1:13" x14ac:dyDescent="0.25">
      <c r="A42" s="1" t="s">
        <v>0</v>
      </c>
      <c r="B42" s="1">
        <v>41</v>
      </c>
      <c r="C42" s="1" t="s">
        <v>49</v>
      </c>
      <c r="D42" s="1" t="s">
        <v>13</v>
      </c>
      <c r="E42" s="1">
        <v>1176973.8</v>
      </c>
      <c r="F42" s="1">
        <v>1412368.56</v>
      </c>
      <c r="G42" s="2">
        <v>45547</v>
      </c>
      <c r="H42" s="17">
        <v>45700</v>
      </c>
      <c r="I42" s="7">
        <f ca="1">TODAY()-спецификация[[#This Row],[Дата поставки]]-SUM('Справочник условий'!E:E)</f>
        <v>-1291</v>
      </c>
      <c r="J42" s="8">
        <f ca="1">IFERROR(IF(спецификация[[#This Row],[Просрочка - сроки (дни)]]&gt;0, (E42*'Справочник условий'!$H$2)*'Справочник условий'!H41,0),"")</f>
        <v>0</v>
      </c>
      <c r="K42" s="8">
        <f t="shared" si="0"/>
        <v>1260</v>
      </c>
      <c r="L42" s="8">
        <f ca="1">спецификация[[#This Row],[Просрочка - сроки (дни)]]+K42</f>
        <v>-31</v>
      </c>
      <c r="M42" s="8">
        <f ca="1">IFERROR(IF(спецификация[[#This Row],[Риск просрочки - сроки (дни)]]&gt;0, (E42*'Справочник условий'!$H$2)*K42,0),"")</f>
        <v>0</v>
      </c>
    </row>
    <row r="43" spans="1:13" x14ac:dyDescent="0.25">
      <c r="A43" s="1" t="s">
        <v>0</v>
      </c>
      <c r="B43" s="1">
        <v>42</v>
      </c>
      <c r="C43" s="1" t="s">
        <v>50</v>
      </c>
      <c r="D43" s="1" t="s">
        <v>13</v>
      </c>
      <c r="E43" s="1">
        <v>1354909.04</v>
      </c>
      <c r="F43" s="1">
        <v>1625890.85</v>
      </c>
      <c r="G43" s="2">
        <v>45547</v>
      </c>
      <c r="H43" s="17">
        <v>45700</v>
      </c>
      <c r="I43" s="7">
        <f ca="1">TODAY()-спецификация[[#This Row],[Дата поставки]]-SUM('Справочник условий'!E:E)</f>
        <v>-1291</v>
      </c>
      <c r="J43" s="8">
        <f ca="1">IFERROR(IF(спецификация[[#This Row],[Просрочка - сроки (дни)]]&gt;0, (E43*'Справочник условий'!$H$2)*'Справочник условий'!H42,0),"")</f>
        <v>0</v>
      </c>
      <c r="K43" s="8">
        <f t="shared" si="0"/>
        <v>1260</v>
      </c>
      <c r="L43" s="8">
        <f ca="1">спецификация[[#This Row],[Просрочка - сроки (дни)]]+K43</f>
        <v>-31</v>
      </c>
      <c r="M43" s="8">
        <f ca="1">IFERROR(IF(спецификация[[#This Row],[Риск просрочки - сроки (дни)]]&gt;0, (E43*'Справочник условий'!$H$2)*K43,0),"")</f>
        <v>0</v>
      </c>
    </row>
    <row r="44" spans="1:13" x14ac:dyDescent="0.25">
      <c r="A44" s="1" t="s">
        <v>0</v>
      </c>
      <c r="B44" s="1">
        <v>43</v>
      </c>
      <c r="C44" s="1" t="s">
        <v>51</v>
      </c>
      <c r="D44" s="1" t="s">
        <v>13</v>
      </c>
      <c r="E44" s="1">
        <v>1952722.58</v>
      </c>
      <c r="F44" s="1">
        <v>2343267.1</v>
      </c>
      <c r="G44" s="2">
        <v>45517</v>
      </c>
      <c r="H44" s="17">
        <v>45670</v>
      </c>
      <c r="I44" s="7">
        <f ca="1">TODAY()-спецификация[[#This Row],[Дата поставки]]-SUM('Справочник условий'!E:E)</f>
        <v>-1261</v>
      </c>
      <c r="J44" s="8">
        <f ca="1">IFERROR(IF(спецификация[[#This Row],[Просрочка - сроки (дни)]]&gt;0, (E44*'Справочник условий'!$H$2)*'Справочник условий'!H43,0),"")</f>
        <v>0</v>
      </c>
      <c r="K44" s="8">
        <f t="shared" si="0"/>
        <v>1260</v>
      </c>
      <c r="L44" s="8">
        <f ca="1">спецификация[[#This Row],[Просрочка - сроки (дни)]]+K44</f>
        <v>-1</v>
      </c>
      <c r="M44" s="8">
        <f ca="1">IFERROR(IF(спецификация[[#This Row],[Риск просрочки - сроки (дни)]]&gt;0, (E44*'Справочник условий'!$H$2)*K44,0),"")</f>
        <v>0</v>
      </c>
    </row>
    <row r="45" spans="1:13" x14ac:dyDescent="0.25">
      <c r="A45" s="1" t="s">
        <v>0</v>
      </c>
      <c r="B45" s="1">
        <v>44</v>
      </c>
      <c r="C45" s="1" t="s">
        <v>52</v>
      </c>
      <c r="D45" s="1" t="s">
        <v>9</v>
      </c>
      <c r="E45" s="1">
        <v>1044000.09</v>
      </c>
      <c r="F45" s="1">
        <v>1252800.1100000001</v>
      </c>
      <c r="G45" s="2">
        <v>45457</v>
      </c>
      <c r="H45" s="17">
        <v>45610</v>
      </c>
      <c r="I45" s="7">
        <f ca="1">TODAY()-спецификация[[#This Row],[Дата поставки]]-SUM('Справочник условий'!E:E)</f>
        <v>-1201</v>
      </c>
      <c r="J45" s="8">
        <f ca="1">IFERROR(IF(спецификация[[#This Row],[Просрочка - сроки (дни)]]&gt;0, (E45*'Справочник условий'!$H$2)*'Справочник условий'!H44,0),"")</f>
        <v>0</v>
      </c>
      <c r="K45" s="8">
        <f t="shared" si="0"/>
        <v>1260</v>
      </c>
      <c r="L45" s="8">
        <f ca="1">спецификация[[#This Row],[Просрочка - сроки (дни)]]+K45</f>
        <v>59</v>
      </c>
      <c r="M45" s="8">
        <f ca="1">IFERROR(IF(спецификация[[#This Row],[Риск просрочки - сроки (дни)]]&gt;0, (E45*'Справочник условий'!$H$2)*K45,0),"")</f>
        <v>789264.06803999993</v>
      </c>
    </row>
    <row r="46" spans="1:13" x14ac:dyDescent="0.25">
      <c r="A46" s="1" t="s">
        <v>0</v>
      </c>
      <c r="B46" s="1">
        <v>45</v>
      </c>
      <c r="C46" s="1" t="s">
        <v>53</v>
      </c>
      <c r="D46" s="1" t="s">
        <v>9</v>
      </c>
      <c r="E46" s="1">
        <v>1874005.81</v>
      </c>
      <c r="F46" s="1">
        <v>2248806.9700000002</v>
      </c>
      <c r="G46" s="2">
        <v>45457</v>
      </c>
      <c r="H46" s="17">
        <v>45610</v>
      </c>
      <c r="I46" s="7">
        <f ca="1">TODAY()-спецификация[[#This Row],[Дата поставки]]-SUM('Справочник условий'!E:E)</f>
        <v>-1201</v>
      </c>
      <c r="J46" s="8">
        <f ca="1">IFERROR(IF(спецификация[[#This Row],[Просрочка - сроки (дни)]]&gt;0, (E46*'Справочник условий'!$H$2)*'Справочник условий'!H45,0),"")</f>
        <v>0</v>
      </c>
      <c r="K46" s="8">
        <f t="shared" si="0"/>
        <v>1260</v>
      </c>
      <c r="L46" s="8">
        <f ca="1">спецификация[[#This Row],[Просрочка - сроки (дни)]]+K46</f>
        <v>59</v>
      </c>
      <c r="M46" s="8">
        <f ca="1">IFERROR(IF(спецификация[[#This Row],[Риск просрочки - сроки (дни)]]&gt;0, (E46*'Справочник условий'!$H$2)*K46,0),"")</f>
        <v>1416748.3923599999</v>
      </c>
    </row>
    <row r="47" spans="1:13" x14ac:dyDescent="0.25">
      <c r="A47" s="1" t="s">
        <v>0</v>
      </c>
      <c r="B47" s="1">
        <v>46</v>
      </c>
      <c r="C47" s="1" t="s">
        <v>54</v>
      </c>
      <c r="D47" s="1" t="s">
        <v>9</v>
      </c>
      <c r="E47" s="1">
        <v>1994114.96</v>
      </c>
      <c r="F47" s="1">
        <v>2392937.9500000002</v>
      </c>
      <c r="G47" s="2">
        <v>45547</v>
      </c>
      <c r="H47" s="17">
        <v>45700</v>
      </c>
      <c r="I47" s="7">
        <f ca="1">TODAY()-спецификация[[#This Row],[Дата поставки]]-SUM('Справочник условий'!E:E)</f>
        <v>-1291</v>
      </c>
      <c r="J47" s="8">
        <f ca="1">IFERROR(IF(спецификация[[#This Row],[Просрочка - сроки (дни)]]&gt;0, (E47*'Справочник условий'!$H$2)*'Справочник условий'!H46,0),"")</f>
        <v>0</v>
      </c>
      <c r="K47" s="8">
        <f t="shared" si="0"/>
        <v>1260</v>
      </c>
      <c r="L47" s="8">
        <f ca="1">спецификация[[#This Row],[Просрочка - сроки (дни)]]+K47</f>
        <v>-31</v>
      </c>
      <c r="M47" s="8">
        <f ca="1">IFERROR(IF(спецификация[[#This Row],[Риск просрочки - сроки (дни)]]&gt;0, (E47*'Справочник условий'!$H$2)*K47,0),"")</f>
        <v>0</v>
      </c>
    </row>
    <row r="48" spans="1:13" x14ac:dyDescent="0.25">
      <c r="A48" s="1" t="s">
        <v>0</v>
      </c>
      <c r="B48" s="1">
        <v>47</v>
      </c>
      <c r="C48" s="1" t="s">
        <v>55</v>
      </c>
      <c r="D48" s="1" t="s">
        <v>9</v>
      </c>
      <c r="E48" s="1">
        <v>2028586.44</v>
      </c>
      <c r="F48" s="1">
        <v>2434303.73</v>
      </c>
      <c r="G48" s="2">
        <v>45607</v>
      </c>
      <c r="H48" s="17">
        <v>45760</v>
      </c>
      <c r="I48" s="7">
        <f ca="1">TODAY()-спецификация[[#This Row],[Дата поставки]]-SUM('Справочник условий'!E:E)</f>
        <v>-1351</v>
      </c>
      <c r="J48" s="8">
        <f ca="1">IFERROR(IF(спецификация[[#This Row],[Просрочка - сроки (дни)]]&gt;0, (E48*'Справочник условий'!$H$2)*'Справочник условий'!H47,0),"")</f>
        <v>0</v>
      </c>
      <c r="K48" s="8">
        <f t="shared" si="0"/>
        <v>1260</v>
      </c>
      <c r="L48" s="8">
        <f ca="1">спецификация[[#This Row],[Просрочка - сроки (дни)]]+K48</f>
        <v>-91</v>
      </c>
      <c r="M48" s="8">
        <f ca="1">IFERROR(IF(спецификация[[#This Row],[Риск просрочки - сроки (дни)]]&gt;0, (E48*'Справочник условий'!$H$2)*K48,0),"")</f>
        <v>0</v>
      </c>
    </row>
    <row r="49" spans="1:13" x14ac:dyDescent="0.25">
      <c r="A49" s="1" t="s">
        <v>0</v>
      </c>
      <c r="B49" s="1">
        <v>48</v>
      </c>
      <c r="C49" s="1" t="s">
        <v>56</v>
      </c>
      <c r="D49" s="1" t="s">
        <v>13</v>
      </c>
      <c r="E49" s="1">
        <v>1208286.51</v>
      </c>
      <c r="F49" s="1">
        <v>1449943.81</v>
      </c>
      <c r="G49" s="2">
        <v>45487</v>
      </c>
      <c r="H49" s="17">
        <v>45640</v>
      </c>
      <c r="I49" s="7">
        <f ca="1">TODAY()-спецификация[[#This Row],[Дата поставки]]-SUM('Справочник условий'!E:E)</f>
        <v>-1231</v>
      </c>
      <c r="J49" s="8">
        <f ca="1">IFERROR(IF(спецификация[[#This Row],[Просрочка - сроки (дни)]]&gt;0, (E49*'Справочник условий'!$H$2)*'Справочник условий'!H48,0),"")</f>
        <v>0</v>
      </c>
      <c r="K49" s="8">
        <f t="shared" si="0"/>
        <v>1260</v>
      </c>
      <c r="L49" s="8">
        <f ca="1">спецификация[[#This Row],[Просрочка - сроки (дни)]]+K49</f>
        <v>29</v>
      </c>
      <c r="M49" s="8">
        <f ca="1">IFERROR(IF(спецификация[[#This Row],[Риск просрочки - сроки (дни)]]&gt;0, (E49*'Справочник условий'!$H$2)*K49,0),"")</f>
        <v>913464.60155999998</v>
      </c>
    </row>
    <row r="50" spans="1:13" x14ac:dyDescent="0.25">
      <c r="A50" s="1" t="s">
        <v>0</v>
      </c>
      <c r="B50" s="1">
        <v>49</v>
      </c>
      <c r="C50" s="1" t="s">
        <v>57</v>
      </c>
      <c r="D50" s="1" t="s">
        <v>9</v>
      </c>
      <c r="E50" s="1">
        <v>1305260.53</v>
      </c>
      <c r="F50" s="1">
        <v>1566312.64</v>
      </c>
      <c r="G50" s="2">
        <v>45457</v>
      </c>
      <c r="H50" s="17">
        <v>45610</v>
      </c>
      <c r="I50" s="7">
        <f ca="1">TODAY()-спецификация[[#This Row],[Дата поставки]]-SUM('Справочник условий'!E:E)</f>
        <v>-1201</v>
      </c>
      <c r="J50" s="8">
        <f ca="1">IFERROR(IF(спецификация[[#This Row],[Просрочка - сроки (дни)]]&gt;0, (E50*'Справочник условий'!$H$2)*'Справочник условий'!H49,0),"")</f>
        <v>0</v>
      </c>
      <c r="K50" s="8">
        <f t="shared" si="0"/>
        <v>1260</v>
      </c>
      <c r="L50" s="8">
        <f ca="1">спецификация[[#This Row],[Просрочка - сроки (дни)]]+K50</f>
        <v>59</v>
      </c>
      <c r="M50" s="8">
        <f ca="1">IFERROR(IF(спецификация[[#This Row],[Риск просрочки - сроки (дни)]]&gt;0, (E50*'Справочник условий'!$H$2)*K50,0),"")</f>
        <v>986776.9606799999</v>
      </c>
    </row>
    <row r="51" spans="1:13" x14ac:dyDescent="0.25">
      <c r="A51" s="1" t="s">
        <v>0</v>
      </c>
      <c r="B51" s="1">
        <v>50</v>
      </c>
      <c r="C51" s="1" t="s">
        <v>58</v>
      </c>
      <c r="D51" s="1" t="s">
        <v>7</v>
      </c>
      <c r="E51" s="1">
        <v>1057334.5</v>
      </c>
      <c r="F51" s="1">
        <v>1268801.3999999999</v>
      </c>
      <c r="G51" s="2">
        <v>45577</v>
      </c>
      <c r="H51" s="17">
        <v>45730</v>
      </c>
      <c r="I51" s="7">
        <f ca="1">TODAY()-спецификация[[#This Row],[Дата поставки]]-SUM('Справочник условий'!E:E)</f>
        <v>-1321</v>
      </c>
      <c r="J51" s="8">
        <f ca="1">IFERROR(IF(спецификация[[#This Row],[Просрочка - сроки (дни)]]&gt;0, (E51*'Справочник условий'!$H$2)*'Справочник условий'!H50,0),"")</f>
        <v>0</v>
      </c>
      <c r="K51" s="8">
        <f t="shared" si="0"/>
        <v>1260</v>
      </c>
      <c r="L51" s="8">
        <f ca="1">спецификация[[#This Row],[Просрочка - сроки (дни)]]+K51</f>
        <v>-61</v>
      </c>
      <c r="M51" s="8">
        <f ca="1">IFERROR(IF(спецификация[[#This Row],[Риск просрочки - сроки (дни)]]&gt;0, (E51*'Справочник условий'!$H$2)*K51,0),"")</f>
        <v>0</v>
      </c>
    </row>
    <row r="52" spans="1:13" x14ac:dyDescent="0.25">
      <c r="A52" s="1" t="s">
        <v>0</v>
      </c>
      <c r="B52" s="1">
        <v>51</v>
      </c>
      <c r="C52" s="1" t="s">
        <v>59</v>
      </c>
      <c r="D52" s="1" t="s">
        <v>7</v>
      </c>
      <c r="E52" s="1">
        <v>1359959.32</v>
      </c>
      <c r="F52" s="1">
        <v>1631951.18</v>
      </c>
      <c r="G52" s="2">
        <v>45607</v>
      </c>
      <c r="H52" s="17">
        <v>45760</v>
      </c>
      <c r="I52" s="7">
        <f ca="1">TODAY()-спецификация[[#This Row],[Дата поставки]]-SUM('Справочник условий'!E:E)</f>
        <v>-1351</v>
      </c>
      <c r="J52" s="8">
        <f ca="1">IFERROR(IF(спецификация[[#This Row],[Просрочка - сроки (дни)]]&gt;0, (E52*'Справочник условий'!$H$2)*'Справочник условий'!H51,0),"")</f>
        <v>0</v>
      </c>
      <c r="K52" s="8">
        <f t="shared" si="0"/>
        <v>1260</v>
      </c>
      <c r="L52" s="8">
        <f ca="1">спецификация[[#This Row],[Просрочка - сроки (дни)]]+K52</f>
        <v>-91</v>
      </c>
      <c r="M52" s="8">
        <f ca="1">IFERROR(IF(спецификация[[#This Row],[Риск просрочки - сроки (дни)]]&gt;0, (E52*'Справочник условий'!$H$2)*K52,0),"")</f>
        <v>0</v>
      </c>
    </row>
    <row r="53" spans="1:13" x14ac:dyDescent="0.25">
      <c r="A53" s="1" t="s">
        <v>0</v>
      </c>
      <c r="B53" s="1">
        <v>52</v>
      </c>
      <c r="C53" s="1" t="s">
        <v>60</v>
      </c>
      <c r="D53" s="1" t="s">
        <v>9</v>
      </c>
      <c r="E53" s="1">
        <v>1203166.3</v>
      </c>
      <c r="F53" s="1">
        <v>1443799.56</v>
      </c>
      <c r="G53" s="2">
        <v>45607</v>
      </c>
      <c r="H53" s="17">
        <v>45760</v>
      </c>
      <c r="I53" s="7">
        <f ca="1">TODAY()-спецификация[[#This Row],[Дата поставки]]-SUM('Справочник условий'!E:E)</f>
        <v>-1351</v>
      </c>
      <c r="J53" s="8">
        <f ca="1">IFERROR(IF(спецификация[[#This Row],[Просрочка - сроки (дни)]]&gt;0, (E53*'Справочник условий'!$H$2)*'Справочник условий'!H52,0),"")</f>
        <v>0</v>
      </c>
      <c r="K53" s="8">
        <f t="shared" si="0"/>
        <v>1260</v>
      </c>
      <c r="L53" s="8">
        <f ca="1">спецификация[[#This Row],[Просрочка - сроки (дни)]]+K53</f>
        <v>-91</v>
      </c>
      <c r="M53" s="8">
        <f ca="1">IFERROR(IF(спецификация[[#This Row],[Риск просрочки - сроки (дни)]]&gt;0, (E53*'Справочник условий'!$H$2)*K53,0),"")</f>
        <v>0</v>
      </c>
    </row>
    <row r="54" spans="1:13" x14ac:dyDescent="0.25">
      <c r="A54" s="1" t="s">
        <v>0</v>
      </c>
      <c r="B54" s="1">
        <v>53</v>
      </c>
      <c r="C54" s="1" t="s">
        <v>61</v>
      </c>
      <c r="D54" s="1" t="s">
        <v>9</v>
      </c>
      <c r="E54" s="1">
        <v>1150757.46</v>
      </c>
      <c r="F54" s="1">
        <v>1380908.95</v>
      </c>
      <c r="G54" s="2">
        <v>45607</v>
      </c>
      <c r="H54" s="17">
        <v>45760</v>
      </c>
      <c r="I54" s="7">
        <f ca="1">TODAY()-спецификация[[#This Row],[Дата поставки]]-SUM('Справочник условий'!E:E)</f>
        <v>-1351</v>
      </c>
      <c r="J54" s="8">
        <f ca="1">IFERROR(IF(спецификация[[#This Row],[Просрочка - сроки (дни)]]&gt;0, (E54*'Справочник условий'!$H$2)*'Справочник условий'!H53,0),"")</f>
        <v>0</v>
      </c>
      <c r="K54" s="8">
        <f t="shared" si="0"/>
        <v>1260</v>
      </c>
      <c r="L54" s="8">
        <f ca="1">спецификация[[#This Row],[Просрочка - сроки (дни)]]+K54</f>
        <v>-91</v>
      </c>
      <c r="M54" s="8">
        <f ca="1">IFERROR(IF(спецификация[[#This Row],[Риск просрочки - сроки (дни)]]&gt;0, (E54*'Справочник условий'!$H$2)*K54,0),"")</f>
        <v>0</v>
      </c>
    </row>
    <row r="55" spans="1:13" x14ac:dyDescent="0.25">
      <c r="A55" s="1" t="s">
        <v>0</v>
      </c>
      <c r="B55" s="1">
        <v>54</v>
      </c>
      <c r="C55" s="1" t="s">
        <v>62</v>
      </c>
      <c r="D55" s="1" t="s">
        <v>7</v>
      </c>
      <c r="E55" s="1">
        <v>1454440.99</v>
      </c>
      <c r="F55" s="1">
        <v>1745329.19</v>
      </c>
      <c r="G55" s="2">
        <v>45547</v>
      </c>
      <c r="H55" s="17">
        <v>45700</v>
      </c>
      <c r="I55" s="7">
        <f ca="1">TODAY()-спецификация[[#This Row],[Дата поставки]]-SUM('Справочник условий'!E:E)</f>
        <v>-1291</v>
      </c>
      <c r="J55" s="8">
        <f ca="1">IFERROR(IF(спецификация[[#This Row],[Просрочка - сроки (дни)]]&gt;0, (E55*'Справочник условий'!$H$2)*'Справочник условий'!H54,0),"")</f>
        <v>0</v>
      </c>
      <c r="K55" s="8">
        <f t="shared" si="0"/>
        <v>1260</v>
      </c>
      <c r="L55" s="8">
        <f ca="1">спецификация[[#This Row],[Просрочка - сроки (дни)]]+K55</f>
        <v>-31</v>
      </c>
      <c r="M55" s="8">
        <f ca="1">IFERROR(IF(спецификация[[#This Row],[Риск просрочки - сроки (дни)]]&gt;0, (E55*'Справочник условий'!$H$2)*K55,0),"")</f>
        <v>0</v>
      </c>
    </row>
    <row r="56" spans="1:13" x14ac:dyDescent="0.25">
      <c r="A56" s="1" t="s">
        <v>0</v>
      </c>
      <c r="B56" s="1">
        <v>55</v>
      </c>
      <c r="C56" s="1" t="s">
        <v>63</v>
      </c>
      <c r="D56" s="1" t="s">
        <v>9</v>
      </c>
      <c r="E56" s="1">
        <v>1590978.4</v>
      </c>
      <c r="F56" s="1">
        <v>1909174.08</v>
      </c>
      <c r="G56" s="2">
        <v>45577</v>
      </c>
      <c r="H56" s="17">
        <v>45730</v>
      </c>
      <c r="I56" s="7">
        <f ca="1">TODAY()-спецификация[[#This Row],[Дата поставки]]-SUM('Справочник условий'!E:E)</f>
        <v>-1321</v>
      </c>
      <c r="J56" s="8">
        <f ca="1">IFERROR(IF(спецификация[[#This Row],[Просрочка - сроки (дни)]]&gt;0, (E56*'Справочник условий'!$H$2)*'Справочник условий'!H55,0),"")</f>
        <v>0</v>
      </c>
      <c r="K56" s="8">
        <f t="shared" si="0"/>
        <v>1260</v>
      </c>
      <c r="L56" s="8">
        <f ca="1">спецификация[[#This Row],[Просрочка - сроки (дни)]]+K56</f>
        <v>-61</v>
      </c>
      <c r="M56" s="8">
        <f ca="1">IFERROR(IF(спецификация[[#This Row],[Риск просрочки - сроки (дни)]]&gt;0, (E56*'Справочник условий'!$H$2)*K56,0),"")</f>
        <v>0</v>
      </c>
    </row>
    <row r="57" spans="1:13" x14ac:dyDescent="0.25">
      <c r="A57" s="1" t="s">
        <v>0</v>
      </c>
      <c r="B57" s="1">
        <v>56</v>
      </c>
      <c r="C57" s="1" t="s">
        <v>64</v>
      </c>
      <c r="D57" s="1" t="s">
        <v>9</v>
      </c>
      <c r="E57" s="1">
        <v>969706.1</v>
      </c>
      <c r="F57" s="1">
        <v>1163647.32</v>
      </c>
      <c r="G57" s="2">
        <v>45577</v>
      </c>
      <c r="H57" s="17">
        <v>45730</v>
      </c>
      <c r="I57" s="7">
        <f ca="1">TODAY()-спецификация[[#This Row],[Дата поставки]]-SUM('Справочник условий'!E:E)</f>
        <v>-1321</v>
      </c>
      <c r="J57" s="8">
        <f ca="1">IFERROR(IF(спецификация[[#This Row],[Просрочка - сроки (дни)]]&gt;0, (E57*'Справочник условий'!$H$2)*'Справочник условий'!H56,0),"")</f>
        <v>0</v>
      </c>
      <c r="K57" s="8">
        <f t="shared" si="0"/>
        <v>1260</v>
      </c>
      <c r="L57" s="8">
        <f ca="1">спецификация[[#This Row],[Просрочка - сроки (дни)]]+K57</f>
        <v>-61</v>
      </c>
      <c r="M57" s="8">
        <f ca="1">IFERROR(IF(спецификация[[#This Row],[Риск просрочки - сроки (дни)]]&gt;0, (E57*'Справочник условий'!$H$2)*K57,0),"")</f>
        <v>0</v>
      </c>
    </row>
    <row r="58" spans="1:13" x14ac:dyDescent="0.25">
      <c r="A58" s="1" t="s">
        <v>0</v>
      </c>
      <c r="B58" s="1">
        <v>57</v>
      </c>
      <c r="C58" s="1" t="s">
        <v>65</v>
      </c>
      <c r="D58" s="1" t="s">
        <v>9</v>
      </c>
      <c r="E58" s="1">
        <v>2009635.03</v>
      </c>
      <c r="F58" s="1">
        <v>2411562.0099999998</v>
      </c>
      <c r="G58" s="2">
        <v>45487</v>
      </c>
      <c r="H58" s="17">
        <v>45640</v>
      </c>
      <c r="I58" s="7">
        <f ca="1">TODAY()-спецификация[[#This Row],[Дата поставки]]-SUM('Справочник условий'!E:E)</f>
        <v>-1231</v>
      </c>
      <c r="J58" s="8">
        <f ca="1">IFERROR(IF(спецификация[[#This Row],[Просрочка - сроки (дни)]]&gt;0, (E58*'Справочник условий'!$H$2)*'Справочник условий'!H57,0),"")</f>
        <v>0</v>
      </c>
      <c r="K58" s="8">
        <f t="shared" si="0"/>
        <v>1260</v>
      </c>
      <c r="L58" s="8">
        <f ca="1">спецификация[[#This Row],[Просрочка - сроки (дни)]]+K58</f>
        <v>29</v>
      </c>
      <c r="M58" s="8">
        <f ca="1">IFERROR(IF(спецификация[[#This Row],[Риск просрочки - сроки (дни)]]&gt;0, (E58*'Справочник условий'!$H$2)*K58,0),"")</f>
        <v>1519284.08268</v>
      </c>
    </row>
    <row r="59" spans="1:13" x14ac:dyDescent="0.25">
      <c r="A59" s="1" t="s">
        <v>66</v>
      </c>
      <c r="B59" s="1">
        <v>1</v>
      </c>
      <c r="C59" s="1" t="s">
        <v>67</v>
      </c>
      <c r="D59" s="1" t="s">
        <v>13</v>
      </c>
      <c r="E59" s="1">
        <v>1684289.23</v>
      </c>
      <c r="F59" s="1">
        <v>2021147.08</v>
      </c>
      <c r="G59" s="2">
        <v>45607</v>
      </c>
      <c r="H59" s="17">
        <v>45760</v>
      </c>
      <c r="I59" s="7">
        <f ca="1">TODAY()-спецификация[[#This Row],[Дата поставки]]-SUM('Справочник условий'!E:E)</f>
        <v>-1351</v>
      </c>
      <c r="J59" s="8">
        <f ca="1">IFERROR(IF(спецификация[[#This Row],[Просрочка - сроки (дни)]]&gt;0, (E59*'Справочник условий'!$H$2)*'Справочник условий'!H58,0),"")</f>
        <v>0</v>
      </c>
      <c r="K59" s="8">
        <f t="shared" si="0"/>
        <v>1260</v>
      </c>
      <c r="L59" s="8">
        <f ca="1">спецификация[[#This Row],[Просрочка - сроки (дни)]]+K59</f>
        <v>-91</v>
      </c>
      <c r="M59" s="8">
        <f ca="1">IFERROR(IF(спецификация[[#This Row],[Риск просрочки - сроки (дни)]]&gt;0, (E59*'Справочник условий'!$H$2)*K59,0),"")</f>
        <v>0</v>
      </c>
    </row>
    <row r="60" spans="1:13" x14ac:dyDescent="0.25">
      <c r="A60" s="1" t="s">
        <v>66</v>
      </c>
      <c r="B60" s="1">
        <v>2</v>
      </c>
      <c r="C60" s="1" t="s">
        <v>68</v>
      </c>
      <c r="D60" s="1" t="s">
        <v>7</v>
      </c>
      <c r="E60" s="1">
        <v>2380856.7200000002</v>
      </c>
      <c r="F60" s="1">
        <v>2857028.06</v>
      </c>
      <c r="G60" s="2">
        <v>45487</v>
      </c>
      <c r="H60" s="17">
        <v>45640</v>
      </c>
      <c r="I60" s="7">
        <f ca="1">TODAY()-спецификация[[#This Row],[Дата поставки]]-SUM('Справочник условий'!E:E)</f>
        <v>-1231</v>
      </c>
      <c r="J60" s="8">
        <f ca="1">IFERROR(IF(спецификация[[#This Row],[Просрочка - сроки (дни)]]&gt;0, (E60*'Справочник условий'!$H$2)*'Справочник условий'!H59,0),"")</f>
        <v>0</v>
      </c>
      <c r="K60" s="8">
        <f t="shared" si="0"/>
        <v>1260</v>
      </c>
      <c r="L60" s="8">
        <f ca="1">спецификация[[#This Row],[Просрочка - сроки (дни)]]+K60</f>
        <v>29</v>
      </c>
      <c r="M60" s="8">
        <f ca="1">IFERROR(IF(спецификация[[#This Row],[Риск просрочки - сроки (дни)]]&gt;0, (E60*'Справочник условий'!$H$2)*K60,0),"")</f>
        <v>1799927.68032</v>
      </c>
    </row>
    <row r="61" spans="1:13" x14ac:dyDescent="0.25">
      <c r="A61" s="1" t="s">
        <v>66</v>
      </c>
      <c r="B61" s="1">
        <v>3</v>
      </c>
      <c r="C61" s="1" t="s">
        <v>69</v>
      </c>
      <c r="D61" s="1" t="s">
        <v>7</v>
      </c>
      <c r="E61" s="1">
        <v>4659631.97</v>
      </c>
      <c r="F61" s="1">
        <v>5591558.3600000003</v>
      </c>
      <c r="G61" s="2">
        <v>45517</v>
      </c>
      <c r="H61" s="17">
        <v>45670</v>
      </c>
      <c r="I61" s="7">
        <f ca="1">TODAY()-спецификация[[#This Row],[Дата поставки]]-SUM('Справочник условий'!E:E)</f>
        <v>-1261</v>
      </c>
      <c r="J61" s="8">
        <f ca="1">IFERROR(IF(спецификация[[#This Row],[Просрочка - сроки (дни)]]&gt;0, (E61*'Справочник условий'!$H$2)*'Справочник условий'!H60,0),"")</f>
        <v>0</v>
      </c>
      <c r="K61" s="8">
        <f t="shared" si="0"/>
        <v>1260</v>
      </c>
      <c r="L61" s="8">
        <f ca="1">спецификация[[#This Row],[Просрочка - сроки (дни)]]+K61</f>
        <v>-1</v>
      </c>
      <c r="M61" s="8">
        <f ca="1">IFERROR(IF(спецификация[[#This Row],[Риск просрочки - сроки (дни)]]&gt;0, (E61*'Справочник условий'!$H$2)*K61,0),"")</f>
        <v>0</v>
      </c>
    </row>
    <row r="62" spans="1:13" x14ac:dyDescent="0.25">
      <c r="A62" s="1" t="s">
        <v>66</v>
      </c>
      <c r="B62" s="1">
        <v>4</v>
      </c>
      <c r="C62" s="1" t="s">
        <v>70</v>
      </c>
      <c r="D62" s="1" t="s">
        <v>9</v>
      </c>
      <c r="E62" s="1">
        <v>2459362.5</v>
      </c>
      <c r="F62" s="1">
        <v>2951235</v>
      </c>
      <c r="G62" s="2">
        <v>45577</v>
      </c>
      <c r="H62" s="17">
        <v>45730</v>
      </c>
      <c r="I62" s="7">
        <f ca="1">TODAY()-спецификация[[#This Row],[Дата поставки]]-SUM('Справочник условий'!E:E)</f>
        <v>-1321</v>
      </c>
      <c r="J62" s="8">
        <f ca="1">IFERROR(IF(спецификация[[#This Row],[Просрочка - сроки (дни)]]&gt;0, (E62*'Справочник условий'!$H$2)*'Справочник условий'!H61,0),"")</f>
        <v>0</v>
      </c>
      <c r="K62" s="8">
        <f t="shared" si="0"/>
        <v>1260</v>
      </c>
      <c r="L62" s="8">
        <f ca="1">спецификация[[#This Row],[Просрочка - сроки (дни)]]+K62</f>
        <v>-61</v>
      </c>
      <c r="M62" s="8">
        <f ca="1">IFERROR(IF(спецификация[[#This Row],[Риск просрочки - сроки (дни)]]&gt;0, (E62*'Справочник условий'!$H$2)*K62,0),"")</f>
        <v>0</v>
      </c>
    </row>
    <row r="63" spans="1:13" x14ac:dyDescent="0.25">
      <c r="A63" s="1" t="s">
        <v>66</v>
      </c>
      <c r="B63" s="1">
        <v>5</v>
      </c>
      <c r="C63" s="1" t="s">
        <v>71</v>
      </c>
      <c r="D63" s="1" t="s">
        <v>13</v>
      </c>
      <c r="E63" s="1">
        <v>3223543.7</v>
      </c>
      <c r="F63" s="1">
        <v>3868252.44</v>
      </c>
      <c r="G63" s="2">
        <v>45577</v>
      </c>
      <c r="H63" s="17">
        <v>45730</v>
      </c>
      <c r="I63" s="7">
        <f ca="1">TODAY()-спецификация[[#This Row],[Дата поставки]]-SUM('Справочник условий'!E:E)</f>
        <v>-1321</v>
      </c>
      <c r="J63" s="8">
        <f ca="1">IFERROR(IF(спецификация[[#This Row],[Просрочка - сроки (дни)]]&gt;0, (E63*'Справочник условий'!$H$2)*'Справочник условий'!H62,0),"")</f>
        <v>0</v>
      </c>
      <c r="K63" s="8">
        <f t="shared" si="0"/>
        <v>1260</v>
      </c>
      <c r="L63" s="8">
        <f ca="1">спецификация[[#This Row],[Просрочка - сроки (дни)]]+K63</f>
        <v>-61</v>
      </c>
      <c r="M63" s="8">
        <f ca="1">IFERROR(IF(спецификация[[#This Row],[Риск просрочки - сроки (дни)]]&gt;0, (E63*'Справочник условий'!$H$2)*K63,0),"")</f>
        <v>0</v>
      </c>
    </row>
    <row r="64" spans="1:13" x14ac:dyDescent="0.25">
      <c r="A64" s="1" t="s">
        <v>66</v>
      </c>
      <c r="B64" s="1">
        <v>6</v>
      </c>
      <c r="C64" s="1" t="s">
        <v>72</v>
      </c>
      <c r="D64" s="1" t="s">
        <v>7</v>
      </c>
      <c r="E64" s="1">
        <v>2814359.51</v>
      </c>
      <c r="F64" s="1">
        <v>3377231.41</v>
      </c>
      <c r="G64" s="2">
        <v>45487</v>
      </c>
      <c r="H64" s="17">
        <v>45640</v>
      </c>
      <c r="I64" s="7">
        <f ca="1">TODAY()-спецификация[[#This Row],[Дата поставки]]-SUM('Справочник условий'!E:E)</f>
        <v>-1231</v>
      </c>
      <c r="J64" s="8">
        <f ca="1">IFERROR(IF(спецификация[[#This Row],[Просрочка - сроки (дни)]]&gt;0, (E64*'Справочник условий'!$H$2)*'Справочник условий'!H63,0),"")</f>
        <v>0</v>
      </c>
      <c r="K64" s="8">
        <f t="shared" si="0"/>
        <v>1260</v>
      </c>
      <c r="L64" s="8">
        <f ca="1">спецификация[[#This Row],[Просрочка - сроки (дни)]]+K64</f>
        <v>29</v>
      </c>
      <c r="M64" s="8">
        <f ca="1">IFERROR(IF(спецификация[[#This Row],[Риск просрочки - сроки (дни)]]&gt;0, (E64*'Справочник условий'!$H$2)*K64,0),"")</f>
        <v>2127655.7895599999</v>
      </c>
    </row>
    <row r="65" spans="1:13" x14ac:dyDescent="0.25">
      <c r="A65" s="1" t="s">
        <v>66</v>
      </c>
      <c r="B65" s="1">
        <v>7</v>
      </c>
      <c r="C65" s="1" t="s">
        <v>73</v>
      </c>
      <c r="D65" s="1" t="s">
        <v>9</v>
      </c>
      <c r="E65" s="1">
        <v>4634291.21</v>
      </c>
      <c r="F65" s="1">
        <v>5561149.4500000002</v>
      </c>
      <c r="G65" s="2">
        <v>45517</v>
      </c>
      <c r="H65" s="17">
        <v>45670</v>
      </c>
      <c r="I65" s="7">
        <f ca="1">TODAY()-спецификация[[#This Row],[Дата поставки]]-SUM('Справочник условий'!E:E)</f>
        <v>-1261</v>
      </c>
      <c r="J65" s="8">
        <f ca="1">IFERROR(IF(спецификация[[#This Row],[Просрочка - сроки (дни)]]&gt;0, (E65*'Справочник условий'!$H$2)*'Справочник условий'!H64,0),"")</f>
        <v>0</v>
      </c>
      <c r="K65" s="8">
        <f t="shared" si="0"/>
        <v>1260</v>
      </c>
      <c r="L65" s="8">
        <f ca="1">спецификация[[#This Row],[Просрочка - сроки (дни)]]+K65</f>
        <v>-1</v>
      </c>
      <c r="M65" s="8">
        <f ca="1">IFERROR(IF(спецификация[[#This Row],[Риск просрочки - сроки (дни)]]&gt;0, (E65*'Справочник условий'!$H$2)*K65,0),"")</f>
        <v>0</v>
      </c>
    </row>
    <row r="66" spans="1:13" x14ac:dyDescent="0.25">
      <c r="A66" s="1" t="s">
        <v>66</v>
      </c>
      <c r="B66" s="1">
        <v>8</v>
      </c>
      <c r="C66" s="1" t="s">
        <v>74</v>
      </c>
      <c r="D66" s="1" t="s">
        <v>13</v>
      </c>
      <c r="E66" s="1">
        <v>3652956.76</v>
      </c>
      <c r="F66" s="1">
        <v>4383548.1100000003</v>
      </c>
      <c r="G66" s="2">
        <v>45487</v>
      </c>
      <c r="H66" s="17">
        <v>45640</v>
      </c>
      <c r="I66" s="7">
        <f ca="1">TODAY()-спецификация[[#This Row],[Дата поставки]]-SUM('Справочник условий'!E:E)</f>
        <v>-1231</v>
      </c>
      <c r="J66" s="8">
        <f ca="1">IFERROR(IF(спецификация[[#This Row],[Просрочка - сроки (дни)]]&gt;0, (E66*'Справочник условий'!$H$2)*'Справочник условий'!H65,0),"")</f>
        <v>0</v>
      </c>
      <c r="K66" s="8">
        <f t="shared" si="0"/>
        <v>1260</v>
      </c>
      <c r="L66" s="8">
        <f ca="1">спецификация[[#This Row],[Просрочка - сроки (дни)]]+K66</f>
        <v>29</v>
      </c>
      <c r="M66" s="8">
        <f ca="1">IFERROR(IF(спецификация[[#This Row],[Риск просрочки - сроки (дни)]]&gt;0, (E66*'Справочник условий'!$H$2)*K66,0),"")</f>
        <v>2761635.3105599997</v>
      </c>
    </row>
    <row r="67" spans="1:13" x14ac:dyDescent="0.25">
      <c r="A67" s="1" t="s">
        <v>66</v>
      </c>
      <c r="B67" s="1">
        <v>9</v>
      </c>
      <c r="C67" s="1" t="s">
        <v>75</v>
      </c>
      <c r="D67" s="1" t="s">
        <v>9</v>
      </c>
      <c r="E67" s="1">
        <v>2371846.6</v>
      </c>
      <c r="F67" s="1">
        <v>2846215.92</v>
      </c>
      <c r="G67" s="2">
        <v>45607</v>
      </c>
      <c r="H67" s="17">
        <v>45760</v>
      </c>
      <c r="I67" s="7">
        <f ca="1">TODAY()-спецификация[[#This Row],[Дата поставки]]-SUM('Справочник условий'!E:E)</f>
        <v>-1351</v>
      </c>
      <c r="J67" s="8">
        <f ca="1">IFERROR(IF(спецификация[[#This Row],[Просрочка - сроки (дни)]]&gt;0, (E67*'Справочник условий'!$H$2)*'Справочник условий'!H66,0),"")</f>
        <v>0</v>
      </c>
      <c r="K67" s="8">
        <f t="shared" ref="K67:K115" si="1">$Q$2</f>
        <v>1260</v>
      </c>
      <c r="L67" s="8">
        <f ca="1">спецификация[[#This Row],[Просрочка - сроки (дни)]]+K67</f>
        <v>-91</v>
      </c>
      <c r="M67" s="8">
        <f ca="1">IFERROR(IF(спецификация[[#This Row],[Риск просрочки - сроки (дни)]]&gt;0, (E67*'Справочник условий'!$H$2)*K67,0),"")</f>
        <v>0</v>
      </c>
    </row>
    <row r="68" spans="1:13" x14ac:dyDescent="0.25">
      <c r="A68" s="1" t="s">
        <v>66</v>
      </c>
      <c r="B68" s="1">
        <v>10</v>
      </c>
      <c r="C68" s="1" t="s">
        <v>76</v>
      </c>
      <c r="D68" s="1" t="s">
        <v>7</v>
      </c>
      <c r="E68" s="1">
        <v>1260864.2</v>
      </c>
      <c r="F68" s="1">
        <v>1513037.04</v>
      </c>
      <c r="G68" s="2">
        <v>45607</v>
      </c>
      <c r="H68" s="17">
        <v>45760</v>
      </c>
      <c r="I68" s="7">
        <f ca="1">TODAY()-спецификация[[#This Row],[Дата поставки]]-SUM('Справочник условий'!E:E)</f>
        <v>-1351</v>
      </c>
      <c r="J68" s="8">
        <f ca="1">IFERROR(IF(спецификация[[#This Row],[Просрочка - сроки (дни)]]&gt;0, (E68*'Справочник условий'!$H$2)*'Справочник условий'!H67,0),"")</f>
        <v>0</v>
      </c>
      <c r="K68" s="8">
        <f t="shared" si="1"/>
        <v>1260</v>
      </c>
      <c r="L68" s="8">
        <f ca="1">спецификация[[#This Row],[Просрочка - сроки (дни)]]+K68</f>
        <v>-91</v>
      </c>
      <c r="M68" s="8">
        <f ca="1">IFERROR(IF(спецификация[[#This Row],[Риск просрочки - сроки (дни)]]&gt;0, (E68*'Справочник условий'!$H$2)*K68,0),"")</f>
        <v>0</v>
      </c>
    </row>
    <row r="69" spans="1:13" x14ac:dyDescent="0.25">
      <c r="A69" s="1" t="s">
        <v>66</v>
      </c>
      <c r="B69" s="1">
        <v>11</v>
      </c>
      <c r="C69" s="1" t="s">
        <v>77</v>
      </c>
      <c r="D69" s="1" t="s">
        <v>9</v>
      </c>
      <c r="E69" s="1">
        <v>2086003.34</v>
      </c>
      <c r="F69" s="1">
        <v>2503204.0099999998</v>
      </c>
      <c r="G69" s="2">
        <v>45487</v>
      </c>
      <c r="H69" s="17">
        <v>45640</v>
      </c>
      <c r="I69" s="7">
        <f ca="1">TODAY()-спецификация[[#This Row],[Дата поставки]]-SUM('Справочник условий'!E:E)</f>
        <v>-1231</v>
      </c>
      <c r="J69" s="8">
        <f ca="1">IFERROR(IF(спецификация[[#This Row],[Просрочка - сроки (дни)]]&gt;0, (E69*'Справочник условий'!$H$2)*'Справочник условий'!H68,0),"")</f>
        <v>0</v>
      </c>
      <c r="K69" s="8">
        <f t="shared" si="1"/>
        <v>1260</v>
      </c>
      <c r="L69" s="8">
        <f ca="1">спецификация[[#This Row],[Просрочка - сроки (дни)]]+K69</f>
        <v>29</v>
      </c>
      <c r="M69" s="8">
        <f ca="1">IFERROR(IF(спецификация[[#This Row],[Риск просрочки - сроки (дни)]]&gt;0, (E69*'Справочник условий'!$H$2)*K69,0),"")</f>
        <v>1577018.5250399997</v>
      </c>
    </row>
    <row r="70" spans="1:13" x14ac:dyDescent="0.25">
      <c r="A70" s="1" t="s">
        <v>66</v>
      </c>
      <c r="B70" s="1">
        <v>12</v>
      </c>
      <c r="C70" s="1" t="s">
        <v>78</v>
      </c>
      <c r="D70" s="1" t="s">
        <v>9</v>
      </c>
      <c r="E70" s="1">
        <v>2024654.53</v>
      </c>
      <c r="F70" s="1">
        <v>2429585.44</v>
      </c>
      <c r="G70" s="2">
        <v>45547</v>
      </c>
      <c r="H70" s="17">
        <v>45700</v>
      </c>
      <c r="I70" s="7">
        <f ca="1">TODAY()-спецификация[[#This Row],[Дата поставки]]-SUM('Справочник условий'!E:E)</f>
        <v>-1291</v>
      </c>
      <c r="J70" s="8">
        <f ca="1">IFERROR(IF(спецификация[[#This Row],[Просрочка - сроки (дни)]]&gt;0, (E70*'Справочник условий'!$H$2)*'Справочник условий'!H69,0),"")</f>
        <v>0</v>
      </c>
      <c r="K70" s="8">
        <f t="shared" si="1"/>
        <v>1260</v>
      </c>
      <c r="L70" s="8">
        <f ca="1">спецификация[[#This Row],[Просрочка - сроки (дни)]]+K70</f>
        <v>-31</v>
      </c>
      <c r="M70" s="8">
        <f ca="1">IFERROR(IF(спецификация[[#This Row],[Риск просрочки - сроки (дни)]]&gt;0, (E70*'Справочник условий'!$H$2)*K70,0),"")</f>
        <v>0</v>
      </c>
    </row>
    <row r="71" spans="1:13" x14ac:dyDescent="0.25">
      <c r="A71" s="1" t="s">
        <v>66</v>
      </c>
      <c r="B71" s="1">
        <v>13</v>
      </c>
      <c r="C71" s="1" t="s">
        <v>79</v>
      </c>
      <c r="D71" s="1" t="s">
        <v>9</v>
      </c>
      <c r="E71" s="1">
        <v>2472453.7599999998</v>
      </c>
      <c r="F71" s="1">
        <v>2966944.51</v>
      </c>
      <c r="G71" s="2">
        <v>45517</v>
      </c>
      <c r="H71" s="17">
        <v>45670</v>
      </c>
      <c r="I71" s="7">
        <f ca="1">TODAY()-спецификация[[#This Row],[Дата поставки]]-SUM('Справочник условий'!E:E)</f>
        <v>-1261</v>
      </c>
      <c r="J71" s="8">
        <f ca="1">IFERROR(IF(спецификация[[#This Row],[Просрочка - сроки (дни)]]&gt;0, (E71*'Справочник условий'!$H$2)*'Справочник условий'!H70,0),"")</f>
        <v>0</v>
      </c>
      <c r="K71" s="8">
        <f t="shared" si="1"/>
        <v>1260</v>
      </c>
      <c r="L71" s="8">
        <f ca="1">спецификация[[#This Row],[Просрочка - сроки (дни)]]+K71</f>
        <v>-1</v>
      </c>
      <c r="M71" s="8">
        <f ca="1">IFERROR(IF(спецификация[[#This Row],[Риск просрочки - сроки (дни)]]&gt;0, (E71*'Справочник условий'!$H$2)*K71,0),"")</f>
        <v>0</v>
      </c>
    </row>
    <row r="72" spans="1:13" x14ac:dyDescent="0.25">
      <c r="A72" s="1" t="s">
        <v>66</v>
      </c>
      <c r="B72" s="1">
        <v>14</v>
      </c>
      <c r="C72" s="1" t="s">
        <v>80</v>
      </c>
      <c r="D72" s="1" t="s">
        <v>9</v>
      </c>
      <c r="E72" s="1">
        <v>2461931.67</v>
      </c>
      <c r="F72" s="1">
        <v>2954318</v>
      </c>
      <c r="G72" s="2">
        <v>45607</v>
      </c>
      <c r="H72" s="17">
        <v>45760</v>
      </c>
      <c r="I72" s="7">
        <f ca="1">TODAY()-спецификация[[#This Row],[Дата поставки]]-SUM('Справочник условий'!E:E)</f>
        <v>-1351</v>
      </c>
      <c r="J72" s="8">
        <f ca="1">IFERROR(IF(спецификация[[#This Row],[Просрочка - сроки (дни)]]&gt;0, (E72*'Справочник условий'!$H$2)*'Справочник условий'!H71,0),"")</f>
        <v>0</v>
      </c>
      <c r="K72" s="8">
        <f t="shared" si="1"/>
        <v>1260</v>
      </c>
      <c r="L72" s="8">
        <f ca="1">спецификация[[#This Row],[Просрочка - сроки (дни)]]+K72</f>
        <v>-91</v>
      </c>
      <c r="M72" s="8">
        <f ca="1">IFERROR(IF(спецификация[[#This Row],[Риск просрочки - сроки (дни)]]&gt;0, (E72*'Справочник условий'!$H$2)*K72,0),"")</f>
        <v>0</v>
      </c>
    </row>
    <row r="73" spans="1:13" x14ac:dyDescent="0.25">
      <c r="A73" s="1" t="s">
        <v>66</v>
      </c>
      <c r="B73" s="1">
        <v>15</v>
      </c>
      <c r="C73" s="1" t="s">
        <v>81</v>
      </c>
      <c r="D73" s="1" t="s">
        <v>9</v>
      </c>
      <c r="E73" s="1">
        <v>2513589.73</v>
      </c>
      <c r="F73" s="1">
        <v>3016307.68</v>
      </c>
      <c r="G73" s="2">
        <v>45457</v>
      </c>
      <c r="H73" s="17">
        <v>45610</v>
      </c>
      <c r="I73" s="7">
        <f ca="1">TODAY()-спецификация[[#This Row],[Дата поставки]]-SUM('Справочник условий'!E:E)</f>
        <v>-1201</v>
      </c>
      <c r="J73" s="8">
        <f ca="1">IFERROR(IF(спецификация[[#This Row],[Просрочка - сроки (дни)]]&gt;0, (E73*'Справочник условий'!$H$2)*'Справочник условий'!H72,0),"")</f>
        <v>0</v>
      </c>
      <c r="K73" s="8">
        <f t="shared" si="1"/>
        <v>1260</v>
      </c>
      <c r="L73" s="8">
        <f ca="1">спецификация[[#This Row],[Просрочка - сроки (дни)]]+K73</f>
        <v>59</v>
      </c>
      <c r="M73" s="8">
        <f ca="1">IFERROR(IF(спецификация[[#This Row],[Риск просрочки - сроки (дни)]]&gt;0, (E73*'Справочник условий'!$H$2)*K73,0),"")</f>
        <v>1900273.8358799999</v>
      </c>
    </row>
    <row r="74" spans="1:13" x14ac:dyDescent="0.25">
      <c r="A74" s="1" t="s">
        <v>66</v>
      </c>
      <c r="B74" s="1">
        <v>16</v>
      </c>
      <c r="C74" s="1" t="s">
        <v>82</v>
      </c>
      <c r="D74" s="1" t="s">
        <v>7</v>
      </c>
      <c r="E74" s="1">
        <v>1301864.04</v>
      </c>
      <c r="F74" s="1">
        <v>1562236.85</v>
      </c>
      <c r="G74" s="2">
        <v>45457</v>
      </c>
      <c r="H74" s="17">
        <v>45610</v>
      </c>
      <c r="I74" s="7">
        <f ca="1">TODAY()-спецификация[[#This Row],[Дата поставки]]-SUM('Справочник условий'!E:E)</f>
        <v>-1201</v>
      </c>
      <c r="J74" s="8">
        <f ca="1">IFERROR(IF(спецификация[[#This Row],[Просрочка - сроки (дни)]]&gt;0, (E74*'Справочник условий'!$H$2)*'Справочник условий'!H73,0),"")</f>
        <v>0</v>
      </c>
      <c r="K74" s="8">
        <f t="shared" si="1"/>
        <v>1260</v>
      </c>
      <c r="L74" s="8">
        <f ca="1">спецификация[[#This Row],[Просрочка - сроки (дни)]]+K74</f>
        <v>59</v>
      </c>
      <c r="M74" s="8">
        <f ca="1">IFERROR(IF(спецификация[[#This Row],[Риск просрочки - сроки (дни)]]&gt;0, (E74*'Справочник условий'!$H$2)*K74,0),"")</f>
        <v>984209.21424</v>
      </c>
    </row>
    <row r="75" spans="1:13" x14ac:dyDescent="0.25">
      <c r="A75" s="1" t="s">
        <v>66</v>
      </c>
      <c r="B75" s="1">
        <v>17</v>
      </c>
      <c r="C75" s="1" t="s">
        <v>83</v>
      </c>
      <c r="D75" s="1" t="s">
        <v>13</v>
      </c>
      <c r="E75" s="1">
        <v>2626702.31</v>
      </c>
      <c r="F75" s="1">
        <v>3152042.77</v>
      </c>
      <c r="G75" s="2">
        <v>45517</v>
      </c>
      <c r="H75" s="17">
        <v>45670</v>
      </c>
      <c r="I75" s="7">
        <f ca="1">TODAY()-спецификация[[#This Row],[Дата поставки]]-SUM('Справочник условий'!E:E)</f>
        <v>-1261</v>
      </c>
      <c r="J75" s="8">
        <f ca="1">IFERROR(IF(спецификация[[#This Row],[Просрочка - сроки (дни)]]&gt;0, (E75*'Справочник условий'!$H$2)*'Справочник условий'!H74,0),"")</f>
        <v>0</v>
      </c>
      <c r="K75" s="8">
        <f t="shared" si="1"/>
        <v>1260</v>
      </c>
      <c r="L75" s="8">
        <f ca="1">спецификация[[#This Row],[Просрочка - сроки (дни)]]+K75</f>
        <v>-1</v>
      </c>
      <c r="M75" s="8">
        <f ca="1">IFERROR(IF(спецификация[[#This Row],[Риск просрочки - сроки (дни)]]&gt;0, (E75*'Справочник условий'!$H$2)*K75,0),"")</f>
        <v>0</v>
      </c>
    </row>
    <row r="76" spans="1:13" x14ac:dyDescent="0.25">
      <c r="A76" s="1" t="s">
        <v>66</v>
      </c>
      <c r="B76" s="1">
        <v>18</v>
      </c>
      <c r="C76" s="1" t="s">
        <v>84</v>
      </c>
      <c r="D76" s="1" t="s">
        <v>7</v>
      </c>
      <c r="E76" s="1">
        <v>1489346.88</v>
      </c>
      <c r="F76" s="1">
        <v>1787216.26</v>
      </c>
      <c r="G76" s="2">
        <v>45607</v>
      </c>
      <c r="H76" s="17">
        <v>45760</v>
      </c>
      <c r="I76" s="7">
        <f ca="1">TODAY()-спецификация[[#This Row],[Дата поставки]]-SUM('Справочник условий'!E:E)</f>
        <v>-1351</v>
      </c>
      <c r="J76" s="8">
        <f ca="1">IFERROR(IF(спецификация[[#This Row],[Просрочка - сроки (дни)]]&gt;0, (E76*'Справочник условий'!$H$2)*'Справочник условий'!H75,0),"")</f>
        <v>0</v>
      </c>
      <c r="K76" s="8">
        <f t="shared" si="1"/>
        <v>1260</v>
      </c>
      <c r="L76" s="8">
        <f ca="1">спецификация[[#This Row],[Просрочка - сроки (дни)]]+K76</f>
        <v>-91</v>
      </c>
      <c r="M76" s="8">
        <f ca="1">IFERROR(IF(спецификация[[#This Row],[Риск просрочки - сроки (дни)]]&gt;0, (E76*'Справочник условий'!$H$2)*K76,0),"")</f>
        <v>0</v>
      </c>
    </row>
    <row r="77" spans="1:13" x14ac:dyDescent="0.25">
      <c r="A77" s="1" t="s">
        <v>66</v>
      </c>
      <c r="B77" s="1">
        <v>19</v>
      </c>
      <c r="C77" s="1" t="s">
        <v>85</v>
      </c>
      <c r="D77" s="1" t="s">
        <v>9</v>
      </c>
      <c r="E77" s="1">
        <v>947872.19</v>
      </c>
      <c r="F77" s="1">
        <v>1137446.6299999999</v>
      </c>
      <c r="G77" s="2">
        <v>45487</v>
      </c>
      <c r="H77" s="17">
        <v>45640</v>
      </c>
      <c r="I77" s="7">
        <f ca="1">TODAY()-спецификация[[#This Row],[Дата поставки]]-SUM('Справочник условий'!E:E)</f>
        <v>-1231</v>
      </c>
      <c r="J77" s="8">
        <f ca="1">IFERROR(IF(спецификация[[#This Row],[Просрочка - сроки (дни)]]&gt;0, (E77*'Справочник условий'!$H$2)*'Справочник условий'!H76,0),"")</f>
        <v>0</v>
      </c>
      <c r="K77" s="8">
        <f t="shared" si="1"/>
        <v>1260</v>
      </c>
      <c r="L77" s="8">
        <f ca="1">спецификация[[#This Row],[Просрочка - сроки (дни)]]+K77</f>
        <v>29</v>
      </c>
      <c r="M77" s="8">
        <f ca="1">IFERROR(IF(спецификация[[#This Row],[Риск просрочки - сроки (дни)]]&gt;0, (E77*'Справочник условий'!$H$2)*K77,0),"")</f>
        <v>716591.37563999998</v>
      </c>
    </row>
    <row r="78" spans="1:13" x14ac:dyDescent="0.25">
      <c r="A78" s="1" t="s">
        <v>66</v>
      </c>
      <c r="B78" s="1">
        <v>20</v>
      </c>
      <c r="C78" s="1" t="s">
        <v>86</v>
      </c>
      <c r="D78" s="1" t="s">
        <v>13</v>
      </c>
      <c r="E78" s="1">
        <v>2468531.19</v>
      </c>
      <c r="F78" s="1">
        <v>2962237.43</v>
      </c>
      <c r="G78" s="2">
        <v>45457</v>
      </c>
      <c r="H78" s="17">
        <v>45610</v>
      </c>
      <c r="I78" s="7">
        <f ca="1">TODAY()-спецификация[[#This Row],[Дата поставки]]-SUM('Справочник условий'!E:E)</f>
        <v>-1201</v>
      </c>
      <c r="J78" s="8">
        <f ca="1">IFERROR(IF(спецификация[[#This Row],[Просрочка - сроки (дни)]]&gt;0, (E78*'Справочник условий'!$H$2)*'Справочник условий'!H77,0),"")</f>
        <v>0</v>
      </c>
      <c r="K78" s="8">
        <f t="shared" si="1"/>
        <v>1260</v>
      </c>
      <c r="L78" s="8">
        <f ca="1">спецификация[[#This Row],[Просрочка - сроки (дни)]]+K78</f>
        <v>59</v>
      </c>
      <c r="M78" s="8">
        <f ca="1">IFERROR(IF(спецификация[[#This Row],[Риск просрочки - сроки (дни)]]&gt;0, (E78*'Справочник условий'!$H$2)*K78,0),"")</f>
        <v>1866209.5796399997</v>
      </c>
    </row>
    <row r="79" spans="1:13" x14ac:dyDescent="0.25">
      <c r="A79" s="1" t="s">
        <v>66</v>
      </c>
      <c r="B79" s="1">
        <v>21</v>
      </c>
      <c r="C79" s="1" t="s">
        <v>87</v>
      </c>
      <c r="D79" s="1" t="s">
        <v>13</v>
      </c>
      <c r="E79" s="1">
        <v>2394377.54</v>
      </c>
      <c r="F79" s="1">
        <v>2873253.05</v>
      </c>
      <c r="G79" s="2">
        <v>45547</v>
      </c>
      <c r="H79" s="17">
        <v>45700</v>
      </c>
      <c r="I79" s="7">
        <f ca="1">TODAY()-спецификация[[#This Row],[Дата поставки]]-SUM('Справочник условий'!E:E)</f>
        <v>-1291</v>
      </c>
      <c r="J79" s="8">
        <f ca="1">IFERROR(IF(спецификация[[#This Row],[Просрочка - сроки (дни)]]&gt;0, (E79*'Справочник условий'!$H$2)*'Справочник условий'!H78,0),"")</f>
        <v>0</v>
      </c>
      <c r="K79" s="8">
        <f t="shared" si="1"/>
        <v>1260</v>
      </c>
      <c r="L79" s="8">
        <f ca="1">спецификация[[#This Row],[Просрочка - сроки (дни)]]+K79</f>
        <v>-31</v>
      </c>
      <c r="M79" s="8">
        <f ca="1">IFERROR(IF(спецификация[[#This Row],[Риск просрочки - сроки (дни)]]&gt;0, (E79*'Справочник условий'!$H$2)*K79,0),"")</f>
        <v>0</v>
      </c>
    </row>
    <row r="80" spans="1:13" x14ac:dyDescent="0.25">
      <c r="A80" s="1" t="s">
        <v>66</v>
      </c>
      <c r="B80" s="1">
        <v>22</v>
      </c>
      <c r="C80" s="1" t="s">
        <v>88</v>
      </c>
      <c r="D80" s="1" t="s">
        <v>7</v>
      </c>
      <c r="E80" s="1">
        <v>2331986.2000000002</v>
      </c>
      <c r="F80" s="1">
        <v>2798383.44</v>
      </c>
      <c r="G80" s="2">
        <v>45487</v>
      </c>
      <c r="H80" s="17">
        <v>45640</v>
      </c>
      <c r="I80" s="7">
        <f ca="1">TODAY()-спецификация[[#This Row],[Дата поставки]]-SUM('Справочник условий'!E:E)</f>
        <v>-1231</v>
      </c>
      <c r="J80" s="8">
        <f ca="1">IFERROR(IF(спецификация[[#This Row],[Просрочка - сроки (дни)]]&gt;0, (E80*'Справочник условий'!$H$2)*'Справочник условий'!H79,0),"")</f>
        <v>0</v>
      </c>
      <c r="K80" s="8">
        <f t="shared" si="1"/>
        <v>1260</v>
      </c>
      <c r="L80" s="8">
        <f ca="1">спецификация[[#This Row],[Просрочка - сроки (дни)]]+K80</f>
        <v>29</v>
      </c>
      <c r="M80" s="8">
        <f ca="1">IFERROR(IF(спецификация[[#This Row],[Риск просрочки - сроки (дни)]]&gt;0, (E80*'Справочник условий'!$H$2)*K80,0),"")</f>
        <v>1762981.5671999999</v>
      </c>
    </row>
    <row r="81" spans="1:13" x14ac:dyDescent="0.25">
      <c r="A81" s="1" t="s">
        <v>66</v>
      </c>
      <c r="B81" s="1">
        <v>23</v>
      </c>
      <c r="C81" s="1" t="s">
        <v>89</v>
      </c>
      <c r="D81" s="1" t="s">
        <v>7</v>
      </c>
      <c r="E81" s="1">
        <v>2045454.97</v>
      </c>
      <c r="F81" s="1">
        <v>2454545.96</v>
      </c>
      <c r="G81" s="2">
        <v>45607</v>
      </c>
      <c r="H81" s="17">
        <v>45760</v>
      </c>
      <c r="I81" s="7">
        <f ca="1">TODAY()-спецификация[[#This Row],[Дата поставки]]-SUM('Справочник условий'!E:E)</f>
        <v>-1351</v>
      </c>
      <c r="J81" s="8">
        <f ca="1">IFERROR(IF(спецификация[[#This Row],[Просрочка - сроки (дни)]]&gt;0, (E81*'Справочник условий'!$H$2)*'Справочник условий'!H80,0),"")</f>
        <v>0</v>
      </c>
      <c r="K81" s="8">
        <f t="shared" si="1"/>
        <v>1260</v>
      </c>
      <c r="L81" s="8">
        <f ca="1">спецификация[[#This Row],[Просрочка - сроки (дни)]]+K81</f>
        <v>-91</v>
      </c>
      <c r="M81" s="8">
        <f ca="1">IFERROR(IF(спецификация[[#This Row],[Риск просрочки - сроки (дни)]]&gt;0, (E81*'Справочник условий'!$H$2)*K81,0),"")</f>
        <v>0</v>
      </c>
    </row>
    <row r="82" spans="1:13" x14ac:dyDescent="0.25">
      <c r="A82" s="1" t="s">
        <v>66</v>
      </c>
      <c r="B82" s="1">
        <v>24</v>
      </c>
      <c r="C82" s="1" t="s">
        <v>90</v>
      </c>
      <c r="D82" s="1" t="s">
        <v>9</v>
      </c>
      <c r="E82" s="1">
        <v>2067818.53</v>
      </c>
      <c r="F82" s="1">
        <v>2481382.2400000002</v>
      </c>
      <c r="G82" s="2">
        <v>45577</v>
      </c>
      <c r="H82" s="17">
        <v>45730</v>
      </c>
      <c r="I82" s="7">
        <f ca="1">TODAY()-спецификация[[#This Row],[Дата поставки]]-SUM('Справочник условий'!E:E)</f>
        <v>-1321</v>
      </c>
      <c r="J82" s="8">
        <f ca="1">IFERROR(IF(спецификация[[#This Row],[Просрочка - сроки (дни)]]&gt;0, (E82*'Справочник условий'!$H$2)*'Справочник условий'!H81,0),"")</f>
        <v>0</v>
      </c>
      <c r="K82" s="8">
        <f t="shared" si="1"/>
        <v>1260</v>
      </c>
      <c r="L82" s="8">
        <f ca="1">спецификация[[#This Row],[Просрочка - сроки (дни)]]+K82</f>
        <v>-61</v>
      </c>
      <c r="M82" s="8">
        <f ca="1">IFERROR(IF(спецификация[[#This Row],[Риск просрочки - сроки (дни)]]&gt;0, (E82*'Справочник условий'!$H$2)*K82,0),"")</f>
        <v>0</v>
      </c>
    </row>
    <row r="83" spans="1:13" x14ac:dyDescent="0.25">
      <c r="A83" s="1" t="s">
        <v>66</v>
      </c>
      <c r="B83" s="1">
        <v>25</v>
      </c>
      <c r="C83" s="1" t="s">
        <v>91</v>
      </c>
      <c r="D83" s="1" t="s">
        <v>9</v>
      </c>
      <c r="E83" s="1">
        <v>1389805.59</v>
      </c>
      <c r="F83" s="1">
        <v>1667766.71</v>
      </c>
      <c r="G83" s="2">
        <v>45577</v>
      </c>
      <c r="H83" s="17">
        <v>45730</v>
      </c>
      <c r="I83" s="7">
        <f ca="1">TODAY()-спецификация[[#This Row],[Дата поставки]]-SUM('Справочник условий'!E:E)</f>
        <v>-1321</v>
      </c>
      <c r="J83" s="8">
        <f ca="1">IFERROR(IF(спецификация[[#This Row],[Просрочка - сроки (дни)]]&gt;0, (E83*'Справочник условий'!$H$2)*'Справочник условий'!H82,0),"")</f>
        <v>0</v>
      </c>
      <c r="K83" s="8">
        <f t="shared" si="1"/>
        <v>1260</v>
      </c>
      <c r="L83" s="8">
        <f ca="1">спецификация[[#This Row],[Просрочка - сроки (дни)]]+K83</f>
        <v>-61</v>
      </c>
      <c r="M83" s="8">
        <f ca="1">IFERROR(IF(спецификация[[#This Row],[Риск просрочки - сроки (дни)]]&gt;0, (E83*'Справочник условий'!$H$2)*K83,0),"")</f>
        <v>0</v>
      </c>
    </row>
    <row r="84" spans="1:13" x14ac:dyDescent="0.25">
      <c r="A84" s="1" t="s">
        <v>66</v>
      </c>
      <c r="B84" s="1">
        <v>26</v>
      </c>
      <c r="C84" s="1" t="s">
        <v>92</v>
      </c>
      <c r="D84" s="1" t="s">
        <v>9</v>
      </c>
      <c r="E84" s="1">
        <v>641905.91</v>
      </c>
      <c r="F84" s="1">
        <v>770287.09</v>
      </c>
      <c r="G84" s="2">
        <v>45577</v>
      </c>
      <c r="H84" s="17">
        <v>45730</v>
      </c>
      <c r="I84" s="7">
        <f ca="1">TODAY()-спецификация[[#This Row],[Дата поставки]]-SUM('Справочник условий'!E:E)</f>
        <v>-1321</v>
      </c>
      <c r="J84" s="8">
        <f ca="1">IFERROR(IF(спецификация[[#This Row],[Просрочка - сроки (дни)]]&gt;0, (E84*'Справочник условий'!$H$2)*'Справочник условий'!H83,0),"")</f>
        <v>0</v>
      </c>
      <c r="K84" s="8">
        <f t="shared" si="1"/>
        <v>1260</v>
      </c>
      <c r="L84" s="8">
        <f ca="1">спецификация[[#This Row],[Просрочка - сроки (дни)]]+K84</f>
        <v>-61</v>
      </c>
      <c r="M84" s="8">
        <f ca="1">IFERROR(IF(спецификация[[#This Row],[Риск просрочки - сроки (дни)]]&gt;0, (E84*'Справочник условий'!$H$2)*K84,0),"")</f>
        <v>0</v>
      </c>
    </row>
    <row r="85" spans="1:13" x14ac:dyDescent="0.25">
      <c r="A85" s="1" t="s">
        <v>66</v>
      </c>
      <c r="B85" s="1">
        <v>27</v>
      </c>
      <c r="C85" s="1" t="s">
        <v>93</v>
      </c>
      <c r="D85" s="1" t="s">
        <v>7</v>
      </c>
      <c r="E85" s="1">
        <v>723317.71</v>
      </c>
      <c r="F85" s="1">
        <v>867981.25</v>
      </c>
      <c r="G85" s="2">
        <v>45607</v>
      </c>
      <c r="H85" s="17">
        <v>45760</v>
      </c>
      <c r="I85" s="7">
        <f ca="1">TODAY()-спецификация[[#This Row],[Дата поставки]]-SUM('Справочник условий'!E:E)</f>
        <v>-1351</v>
      </c>
      <c r="J85" s="8">
        <f ca="1">IFERROR(IF(спецификация[[#This Row],[Просрочка - сроки (дни)]]&gt;0, (E85*'Справочник условий'!$H$2)*'Справочник условий'!H84,0),"")</f>
        <v>0</v>
      </c>
      <c r="K85" s="8">
        <f t="shared" si="1"/>
        <v>1260</v>
      </c>
      <c r="L85" s="8">
        <f ca="1">спецификация[[#This Row],[Просрочка - сроки (дни)]]+K85</f>
        <v>-91</v>
      </c>
      <c r="M85" s="8">
        <f ca="1">IFERROR(IF(спецификация[[#This Row],[Риск просрочки - сроки (дни)]]&gt;0, (E85*'Справочник условий'!$H$2)*K85,0),"")</f>
        <v>0</v>
      </c>
    </row>
    <row r="86" spans="1:13" x14ac:dyDescent="0.25">
      <c r="A86" s="1" t="s">
        <v>66</v>
      </c>
      <c r="B86" s="1">
        <v>28</v>
      </c>
      <c r="C86" s="1" t="s">
        <v>94</v>
      </c>
      <c r="D86" s="1" t="s">
        <v>7</v>
      </c>
      <c r="E86" s="1">
        <v>1542469.22</v>
      </c>
      <c r="F86" s="1">
        <v>1850963.06</v>
      </c>
      <c r="G86" s="2">
        <v>45547</v>
      </c>
      <c r="H86" s="17">
        <v>45700</v>
      </c>
      <c r="I86" s="7">
        <f ca="1">TODAY()-спецификация[[#This Row],[Дата поставки]]-SUM('Справочник условий'!E:E)</f>
        <v>-1291</v>
      </c>
      <c r="J86" s="8">
        <f ca="1">IFERROR(IF(спецификация[[#This Row],[Просрочка - сроки (дни)]]&gt;0, (E86*'Справочник условий'!$H$2)*'Справочник условий'!H85,0),"")</f>
        <v>0</v>
      </c>
      <c r="K86" s="8">
        <f t="shared" si="1"/>
        <v>1260</v>
      </c>
      <c r="L86" s="8">
        <f ca="1">спецификация[[#This Row],[Просрочка - сроки (дни)]]+K86</f>
        <v>-31</v>
      </c>
      <c r="M86" s="8">
        <f ca="1">IFERROR(IF(спецификация[[#This Row],[Риск просрочки - сроки (дни)]]&gt;0, (E86*'Справочник условий'!$H$2)*K86,0),"")</f>
        <v>0</v>
      </c>
    </row>
    <row r="87" spans="1:13" x14ac:dyDescent="0.25">
      <c r="A87" s="1" t="s">
        <v>66</v>
      </c>
      <c r="B87" s="1">
        <v>29</v>
      </c>
      <c r="C87" s="1" t="s">
        <v>95</v>
      </c>
      <c r="D87" s="1" t="s">
        <v>7</v>
      </c>
      <c r="E87" s="1">
        <v>1740764.94</v>
      </c>
      <c r="F87" s="1">
        <v>2088917.93</v>
      </c>
      <c r="G87" s="2">
        <v>45517</v>
      </c>
      <c r="H87" s="17">
        <v>45670</v>
      </c>
      <c r="I87" s="7">
        <f ca="1">TODAY()-спецификация[[#This Row],[Дата поставки]]-SUM('Справочник условий'!E:E)</f>
        <v>-1261</v>
      </c>
      <c r="J87" s="8">
        <f ca="1">IFERROR(IF(спецификация[[#This Row],[Просрочка - сроки (дни)]]&gt;0, (E87*'Справочник условий'!$H$2)*'Справочник условий'!H86,0),"")</f>
        <v>0</v>
      </c>
      <c r="K87" s="8">
        <f t="shared" si="1"/>
        <v>1260</v>
      </c>
      <c r="L87" s="8">
        <f ca="1">спецификация[[#This Row],[Просрочка - сроки (дни)]]+K87</f>
        <v>-1</v>
      </c>
      <c r="M87" s="8">
        <f ca="1">IFERROR(IF(спецификация[[#This Row],[Риск просрочки - сроки (дни)]]&gt;0, (E87*'Справочник условий'!$H$2)*K87,0),"")</f>
        <v>0</v>
      </c>
    </row>
    <row r="88" spans="1:13" x14ac:dyDescent="0.25">
      <c r="A88" s="1" t="s">
        <v>66</v>
      </c>
      <c r="B88" s="1">
        <v>30</v>
      </c>
      <c r="C88" s="1" t="s">
        <v>96</v>
      </c>
      <c r="D88" s="1" t="s">
        <v>7</v>
      </c>
      <c r="E88" s="1">
        <v>1186076.29</v>
      </c>
      <c r="F88" s="1">
        <v>1423291.55</v>
      </c>
      <c r="G88" s="2">
        <v>45457</v>
      </c>
      <c r="H88" s="17">
        <v>45610</v>
      </c>
      <c r="I88" s="7">
        <f ca="1">TODAY()-спецификация[[#This Row],[Дата поставки]]-SUM('Справочник условий'!E:E)</f>
        <v>-1201</v>
      </c>
      <c r="J88" s="8">
        <f ca="1">IFERROR(IF(спецификация[[#This Row],[Просрочка - сроки (дни)]]&gt;0, (E88*'Справочник условий'!$H$2)*'Справочник условий'!H87,0),"")</f>
        <v>0</v>
      </c>
      <c r="K88" s="8">
        <f t="shared" si="1"/>
        <v>1260</v>
      </c>
      <c r="L88" s="8">
        <f ca="1">спецификация[[#This Row],[Просрочка - сроки (дни)]]+K88</f>
        <v>59</v>
      </c>
      <c r="M88" s="8">
        <f ca="1">IFERROR(IF(спецификация[[#This Row],[Риск просрочки - сроки (дни)]]&gt;0, (E88*'Справочник условий'!$H$2)*K88,0),"")</f>
        <v>896673.67523999989</v>
      </c>
    </row>
    <row r="89" spans="1:13" x14ac:dyDescent="0.25">
      <c r="A89" s="1" t="s">
        <v>66</v>
      </c>
      <c r="B89" s="1">
        <v>31</v>
      </c>
      <c r="C89" s="1" t="s">
        <v>97</v>
      </c>
      <c r="D89" s="1" t="s">
        <v>9</v>
      </c>
      <c r="E89" s="1">
        <v>907563.59</v>
      </c>
      <c r="F89" s="1">
        <v>1089076.31</v>
      </c>
      <c r="G89" s="2">
        <v>45517</v>
      </c>
      <c r="H89" s="17">
        <v>45670</v>
      </c>
      <c r="I89" s="7">
        <f ca="1">TODAY()-спецификация[[#This Row],[Дата поставки]]-SUM('Справочник условий'!E:E)</f>
        <v>-1261</v>
      </c>
      <c r="J89" s="8">
        <f ca="1">IFERROR(IF(спецификация[[#This Row],[Просрочка - сроки (дни)]]&gt;0, (E89*'Справочник условий'!$H$2)*'Справочник условий'!H88,0),"")</f>
        <v>0</v>
      </c>
      <c r="K89" s="8">
        <f t="shared" si="1"/>
        <v>1260</v>
      </c>
      <c r="L89" s="8">
        <f ca="1">спецификация[[#This Row],[Просрочка - сроки (дни)]]+K89</f>
        <v>-1</v>
      </c>
      <c r="M89" s="8">
        <f ca="1">IFERROR(IF(спецификация[[#This Row],[Риск просрочки - сроки (дни)]]&gt;0, (E89*'Справочник условий'!$H$2)*K89,0),"")</f>
        <v>0</v>
      </c>
    </row>
    <row r="90" spans="1:13" x14ac:dyDescent="0.25">
      <c r="A90" s="1" t="s">
        <v>66</v>
      </c>
      <c r="B90" s="1">
        <v>32</v>
      </c>
      <c r="C90" s="1" t="s">
        <v>98</v>
      </c>
      <c r="D90" s="1" t="s">
        <v>7</v>
      </c>
      <c r="E90" s="1">
        <v>1591681.15</v>
      </c>
      <c r="F90" s="1">
        <v>1910017.38</v>
      </c>
      <c r="G90" s="2">
        <v>45547</v>
      </c>
      <c r="H90" s="17">
        <v>45700</v>
      </c>
      <c r="I90" s="7">
        <f ca="1">TODAY()-спецификация[[#This Row],[Дата поставки]]-SUM('Справочник условий'!E:E)</f>
        <v>-1291</v>
      </c>
      <c r="J90" s="8">
        <f ca="1">IFERROR(IF(спецификация[[#This Row],[Просрочка - сроки (дни)]]&gt;0, (E90*'Справочник условий'!$H$2)*'Справочник условий'!H89,0),"")</f>
        <v>0</v>
      </c>
      <c r="K90" s="8">
        <f t="shared" si="1"/>
        <v>1260</v>
      </c>
      <c r="L90" s="8">
        <f ca="1">спецификация[[#This Row],[Просрочка - сроки (дни)]]+K90</f>
        <v>-31</v>
      </c>
      <c r="M90" s="8">
        <f ca="1">IFERROR(IF(спецификация[[#This Row],[Риск просрочки - сроки (дни)]]&gt;0, (E90*'Справочник условий'!$H$2)*K90,0),"")</f>
        <v>0</v>
      </c>
    </row>
    <row r="91" spans="1:13" x14ac:dyDescent="0.25">
      <c r="A91" s="1" t="s">
        <v>66</v>
      </c>
      <c r="B91" s="1">
        <v>33</v>
      </c>
      <c r="C91" s="1" t="s">
        <v>99</v>
      </c>
      <c r="D91" s="1" t="s">
        <v>9</v>
      </c>
      <c r="E91" s="1">
        <v>1613366.07</v>
      </c>
      <c r="F91" s="1">
        <v>1936039.28</v>
      </c>
      <c r="G91" s="2">
        <v>45457</v>
      </c>
      <c r="H91" s="17">
        <v>45610</v>
      </c>
      <c r="I91" s="7">
        <f ca="1">TODAY()-спецификация[[#This Row],[Дата поставки]]-SUM('Справочник условий'!E:E)</f>
        <v>-1201</v>
      </c>
      <c r="J91" s="8">
        <f ca="1">IFERROR(IF(спецификация[[#This Row],[Просрочка - сроки (дни)]]&gt;0, (E91*'Справочник условий'!$H$2)*'Справочник условий'!H90,0),"")</f>
        <v>0</v>
      </c>
      <c r="K91" s="8">
        <f t="shared" si="1"/>
        <v>1260</v>
      </c>
      <c r="L91" s="8">
        <f ca="1">спецификация[[#This Row],[Просрочка - сроки (дни)]]+K91</f>
        <v>59</v>
      </c>
      <c r="M91" s="8">
        <f ca="1">IFERROR(IF(спецификация[[#This Row],[Риск просрочки - сроки (дни)]]&gt;0, (E91*'Справочник условий'!$H$2)*K91,0),"")</f>
        <v>1219704.7489199999</v>
      </c>
    </row>
    <row r="92" spans="1:13" x14ac:dyDescent="0.25">
      <c r="A92" s="1" t="s">
        <v>66</v>
      </c>
      <c r="B92" s="1">
        <v>34</v>
      </c>
      <c r="C92" s="1" t="s">
        <v>100</v>
      </c>
      <c r="D92" s="1" t="s">
        <v>7</v>
      </c>
      <c r="E92" s="1">
        <v>1368313.54</v>
      </c>
      <c r="F92" s="1">
        <v>1641976.25</v>
      </c>
      <c r="G92" s="2">
        <v>45487</v>
      </c>
      <c r="H92" s="17">
        <v>45640</v>
      </c>
      <c r="I92" s="7">
        <f ca="1">TODAY()-спецификация[[#This Row],[Дата поставки]]-SUM('Справочник условий'!E:E)</f>
        <v>-1231</v>
      </c>
      <c r="J92" s="8">
        <f ca="1">IFERROR(IF(спецификация[[#This Row],[Просрочка - сроки (дни)]]&gt;0, (E92*'Справочник условий'!$H$2)*'Справочник условий'!H91,0),"")</f>
        <v>0</v>
      </c>
      <c r="K92" s="8">
        <f t="shared" si="1"/>
        <v>1260</v>
      </c>
      <c r="L92" s="8">
        <f ca="1">спецификация[[#This Row],[Просрочка - сроки (дни)]]+K92</f>
        <v>29</v>
      </c>
      <c r="M92" s="8">
        <f ca="1">IFERROR(IF(спецификация[[#This Row],[Риск просрочки - сроки (дни)]]&gt;0, (E92*'Справочник условий'!$H$2)*K92,0),"")</f>
        <v>1034445.0362399999</v>
      </c>
    </row>
    <row r="93" spans="1:13" x14ac:dyDescent="0.25">
      <c r="A93" s="1" t="s">
        <v>66</v>
      </c>
      <c r="B93" s="1">
        <v>35</v>
      </c>
      <c r="C93" s="1" t="s">
        <v>101</v>
      </c>
      <c r="D93" s="1" t="s">
        <v>9</v>
      </c>
      <c r="E93" s="1">
        <v>1176364.3799999999</v>
      </c>
      <c r="F93" s="1">
        <v>1411637.26</v>
      </c>
      <c r="G93" s="2">
        <v>45607</v>
      </c>
      <c r="H93" s="17">
        <v>45760</v>
      </c>
      <c r="I93" s="7">
        <f ca="1">TODAY()-спецификация[[#This Row],[Дата поставки]]-SUM('Справочник условий'!E:E)</f>
        <v>-1351</v>
      </c>
      <c r="J93" s="8">
        <f ca="1">IFERROR(IF(спецификация[[#This Row],[Просрочка - сроки (дни)]]&gt;0, (E93*'Справочник условий'!$H$2)*'Справочник условий'!H92,0),"")</f>
        <v>0</v>
      </c>
      <c r="K93" s="8">
        <f t="shared" si="1"/>
        <v>1260</v>
      </c>
      <c r="L93" s="8">
        <f ca="1">спецификация[[#This Row],[Просрочка - сроки (дни)]]+K93</f>
        <v>-91</v>
      </c>
      <c r="M93" s="8">
        <f ca="1">IFERROR(IF(спецификация[[#This Row],[Риск просрочки - сроки (дни)]]&gt;0, (E93*'Справочник условий'!$H$2)*K93,0),"")</f>
        <v>0</v>
      </c>
    </row>
    <row r="94" spans="1:13" x14ac:dyDescent="0.25">
      <c r="A94" s="1" t="s">
        <v>66</v>
      </c>
      <c r="B94" s="1">
        <v>36</v>
      </c>
      <c r="C94" s="1" t="s">
        <v>102</v>
      </c>
      <c r="D94" s="1" t="s">
        <v>13</v>
      </c>
      <c r="E94" s="1">
        <v>888854.36</v>
      </c>
      <c r="F94" s="1">
        <v>1066625.23</v>
      </c>
      <c r="G94" s="2">
        <v>45577</v>
      </c>
      <c r="H94" s="17">
        <v>45730</v>
      </c>
      <c r="I94" s="7">
        <f ca="1">TODAY()-спецификация[[#This Row],[Дата поставки]]-SUM('Справочник условий'!E:E)</f>
        <v>-1321</v>
      </c>
      <c r="J94" s="8">
        <f ca="1">IFERROR(IF(спецификация[[#This Row],[Просрочка - сроки (дни)]]&gt;0, (E94*'Справочник условий'!$H$2)*'Справочник условий'!H93,0),"")</f>
        <v>0</v>
      </c>
      <c r="K94" s="8">
        <f t="shared" si="1"/>
        <v>1260</v>
      </c>
      <c r="L94" s="8">
        <f ca="1">спецификация[[#This Row],[Просрочка - сроки (дни)]]+K94</f>
        <v>-61</v>
      </c>
      <c r="M94" s="8">
        <f ca="1">IFERROR(IF(спецификация[[#This Row],[Риск просрочки - сроки (дни)]]&gt;0, (E94*'Справочник условий'!$H$2)*K94,0),"")</f>
        <v>0</v>
      </c>
    </row>
    <row r="95" spans="1:13" x14ac:dyDescent="0.25">
      <c r="A95" s="1" t="s">
        <v>66</v>
      </c>
      <c r="B95" s="1">
        <v>37</v>
      </c>
      <c r="C95" s="1" t="s">
        <v>103</v>
      </c>
      <c r="D95" s="1" t="s">
        <v>7</v>
      </c>
      <c r="E95" s="1">
        <v>657132.86</v>
      </c>
      <c r="F95" s="1">
        <v>788559.43</v>
      </c>
      <c r="G95" s="2">
        <v>45457</v>
      </c>
      <c r="H95" s="17">
        <v>45610</v>
      </c>
      <c r="I95" s="7">
        <f ca="1">TODAY()-спецификация[[#This Row],[Дата поставки]]-SUM('Справочник условий'!E:E)</f>
        <v>-1201</v>
      </c>
      <c r="J95" s="8">
        <f ca="1">IFERROR(IF(спецификация[[#This Row],[Просрочка - сроки (дни)]]&gt;0, (E95*'Справочник условий'!$H$2)*'Справочник условий'!H94,0),"")</f>
        <v>0</v>
      </c>
      <c r="K95" s="8">
        <f t="shared" si="1"/>
        <v>1260</v>
      </c>
      <c r="L95" s="8">
        <f ca="1">спецификация[[#This Row],[Просрочка - сроки (дни)]]+K95</f>
        <v>59</v>
      </c>
      <c r="M95" s="8">
        <f ca="1">IFERROR(IF(спецификация[[#This Row],[Риск просрочки - сроки (дни)]]&gt;0, (E95*'Справочник условий'!$H$2)*K95,0),"")</f>
        <v>496792.44215999992</v>
      </c>
    </row>
    <row r="96" spans="1:13" x14ac:dyDescent="0.25">
      <c r="A96" s="1" t="s">
        <v>66</v>
      </c>
      <c r="B96" s="1">
        <v>38</v>
      </c>
      <c r="C96" s="1" t="s">
        <v>104</v>
      </c>
      <c r="D96" s="1" t="s">
        <v>9</v>
      </c>
      <c r="E96" s="1">
        <v>1108840.28</v>
      </c>
      <c r="F96" s="1">
        <v>1330608.3400000001</v>
      </c>
      <c r="G96" s="2">
        <v>45577</v>
      </c>
      <c r="H96" s="17">
        <v>45730</v>
      </c>
      <c r="I96" s="7">
        <f ca="1">TODAY()-спецификация[[#This Row],[Дата поставки]]-SUM('Справочник условий'!E:E)</f>
        <v>-1321</v>
      </c>
      <c r="J96" s="8">
        <f ca="1">IFERROR(IF(спецификация[[#This Row],[Просрочка - сроки (дни)]]&gt;0, (E96*'Справочник условий'!$H$2)*'Справочник условий'!H95,0),"")</f>
        <v>0</v>
      </c>
      <c r="K96" s="8">
        <f t="shared" si="1"/>
        <v>1260</v>
      </c>
      <c r="L96" s="8">
        <f ca="1">спецификация[[#This Row],[Просрочка - сроки (дни)]]+K96</f>
        <v>-61</v>
      </c>
      <c r="M96" s="8">
        <f ca="1">IFERROR(IF(спецификация[[#This Row],[Риск просрочки - сроки (дни)]]&gt;0, (E96*'Справочник условий'!$H$2)*K96,0),"")</f>
        <v>0</v>
      </c>
    </row>
    <row r="97" spans="1:13" x14ac:dyDescent="0.25">
      <c r="A97" s="1" t="s">
        <v>66</v>
      </c>
      <c r="B97" s="1">
        <v>39</v>
      </c>
      <c r="C97" s="1" t="s">
        <v>105</v>
      </c>
      <c r="D97" s="1" t="s">
        <v>9</v>
      </c>
      <c r="E97" s="1">
        <v>1486914.21</v>
      </c>
      <c r="F97" s="1">
        <v>1784297.05</v>
      </c>
      <c r="G97" s="2">
        <v>45547</v>
      </c>
      <c r="H97" s="17">
        <v>45700</v>
      </c>
      <c r="I97" s="7">
        <f ca="1">TODAY()-спецификация[[#This Row],[Дата поставки]]-SUM('Справочник условий'!E:E)</f>
        <v>-1291</v>
      </c>
      <c r="J97" s="8">
        <f ca="1">IFERROR(IF(спецификация[[#This Row],[Просрочка - сроки (дни)]]&gt;0, (E97*'Справочник условий'!$H$2)*'Справочник условий'!H96,0),"")</f>
        <v>0</v>
      </c>
      <c r="K97" s="8">
        <f t="shared" si="1"/>
        <v>1260</v>
      </c>
      <c r="L97" s="8">
        <f ca="1">спецификация[[#This Row],[Просрочка - сроки (дни)]]+K97</f>
        <v>-31</v>
      </c>
      <c r="M97" s="8">
        <f ca="1">IFERROR(IF(спецификация[[#This Row],[Риск просрочки - сроки (дни)]]&gt;0, (E97*'Справочник условий'!$H$2)*K97,0),"")</f>
        <v>0</v>
      </c>
    </row>
    <row r="98" spans="1:13" x14ac:dyDescent="0.25">
      <c r="A98" s="1" t="s">
        <v>66</v>
      </c>
      <c r="B98" s="1">
        <v>40</v>
      </c>
      <c r="C98" s="1" t="s">
        <v>106</v>
      </c>
      <c r="D98" s="1" t="s">
        <v>7</v>
      </c>
      <c r="E98" s="1">
        <v>1037260.8</v>
      </c>
      <c r="F98" s="1">
        <v>1244712.96</v>
      </c>
      <c r="G98" s="2">
        <v>45607</v>
      </c>
      <c r="H98" s="17">
        <v>45760</v>
      </c>
      <c r="I98" s="7">
        <f ca="1">TODAY()-спецификация[[#This Row],[Дата поставки]]-SUM('Справочник условий'!E:E)</f>
        <v>-1351</v>
      </c>
      <c r="J98" s="8">
        <f ca="1">IFERROR(IF(спецификация[[#This Row],[Просрочка - сроки (дни)]]&gt;0, (E98*'Справочник условий'!$H$2)*'Справочник условий'!H97,0),"")</f>
        <v>0</v>
      </c>
      <c r="K98" s="8">
        <f t="shared" si="1"/>
        <v>1260</v>
      </c>
      <c r="L98" s="8">
        <f ca="1">спецификация[[#This Row],[Просрочка - сроки (дни)]]+K98</f>
        <v>-91</v>
      </c>
      <c r="M98" s="8">
        <f ca="1">IFERROR(IF(спецификация[[#This Row],[Риск просрочки - сроки (дни)]]&gt;0, (E98*'Справочник условий'!$H$2)*K98,0),"")</f>
        <v>0</v>
      </c>
    </row>
    <row r="99" spans="1:13" x14ac:dyDescent="0.25">
      <c r="A99" s="1" t="s">
        <v>66</v>
      </c>
      <c r="B99" s="1">
        <v>41</v>
      </c>
      <c r="C99" s="1" t="s">
        <v>107</v>
      </c>
      <c r="D99" s="1" t="s">
        <v>7</v>
      </c>
      <c r="E99" s="1">
        <v>900535.09</v>
      </c>
      <c r="F99" s="1">
        <v>1080642.1100000001</v>
      </c>
      <c r="G99" s="2">
        <v>45457</v>
      </c>
      <c r="H99" s="17">
        <v>45610</v>
      </c>
      <c r="I99" s="7">
        <f ca="1">TODAY()-спецификация[[#This Row],[Дата поставки]]-SUM('Справочник условий'!E:E)</f>
        <v>-1201</v>
      </c>
      <c r="J99" s="8">
        <f ca="1">IFERROR(IF(спецификация[[#This Row],[Просрочка - сроки (дни)]]&gt;0, (E99*'Справочник условий'!$H$2)*'Справочник условий'!H98,0),"")</f>
        <v>0</v>
      </c>
      <c r="K99" s="8">
        <f t="shared" si="1"/>
        <v>1260</v>
      </c>
      <c r="L99" s="8">
        <f ca="1">спецификация[[#This Row],[Просрочка - сроки (дни)]]+K99</f>
        <v>59</v>
      </c>
      <c r="M99" s="8">
        <f ca="1">IFERROR(IF(спецификация[[#This Row],[Риск просрочки - сроки (дни)]]&gt;0, (E99*'Справочник условий'!$H$2)*K99,0),"")</f>
        <v>680804.52803999989</v>
      </c>
    </row>
    <row r="100" spans="1:13" x14ac:dyDescent="0.25">
      <c r="A100" s="1" t="s">
        <v>66</v>
      </c>
      <c r="B100" s="1">
        <v>42</v>
      </c>
      <c r="C100" s="1" t="s">
        <v>108</v>
      </c>
      <c r="D100" s="1" t="s">
        <v>13</v>
      </c>
      <c r="E100" s="1">
        <v>1411653.89</v>
      </c>
      <c r="F100" s="1">
        <v>1693984.67</v>
      </c>
      <c r="G100" s="2">
        <v>45607</v>
      </c>
      <c r="H100" s="17">
        <v>45760</v>
      </c>
      <c r="I100" s="7">
        <f ca="1">TODAY()-спецификация[[#This Row],[Дата поставки]]-SUM('Справочник условий'!E:E)</f>
        <v>-1351</v>
      </c>
      <c r="J100" s="8">
        <f ca="1">IFERROR(IF(спецификация[[#This Row],[Просрочка - сроки (дни)]]&gt;0, (E100*'Справочник условий'!$H$2)*'Справочник условий'!H99,0),"")</f>
        <v>0</v>
      </c>
      <c r="K100" s="8">
        <f t="shared" si="1"/>
        <v>1260</v>
      </c>
      <c r="L100" s="8">
        <f ca="1">спецификация[[#This Row],[Просрочка - сроки (дни)]]+K100</f>
        <v>-91</v>
      </c>
      <c r="M100" s="8">
        <f ca="1">IFERROR(IF(спецификация[[#This Row],[Риск просрочки - сроки (дни)]]&gt;0, (E100*'Справочник условий'!$H$2)*K100,0),"")</f>
        <v>0</v>
      </c>
    </row>
    <row r="101" spans="1:13" x14ac:dyDescent="0.25">
      <c r="A101" s="1" t="s">
        <v>66</v>
      </c>
      <c r="B101" s="1">
        <v>43</v>
      </c>
      <c r="C101" s="1" t="s">
        <v>109</v>
      </c>
      <c r="D101" s="1" t="s">
        <v>7</v>
      </c>
      <c r="E101" s="1">
        <v>1108967.3999999999</v>
      </c>
      <c r="F101" s="1">
        <v>1330760.8799999999</v>
      </c>
      <c r="G101" s="2">
        <v>45517</v>
      </c>
      <c r="H101" s="17">
        <v>45670</v>
      </c>
      <c r="I101" s="7">
        <f ca="1">TODAY()-спецификация[[#This Row],[Дата поставки]]-SUM('Справочник условий'!E:E)</f>
        <v>-1261</v>
      </c>
      <c r="J101" s="8">
        <f ca="1">IFERROR(IF(спецификация[[#This Row],[Просрочка - сроки (дни)]]&gt;0, (E101*'Справочник условий'!$H$2)*'Справочник условий'!H100,0),"")</f>
        <v>0</v>
      </c>
      <c r="K101" s="8">
        <f t="shared" si="1"/>
        <v>1260</v>
      </c>
      <c r="L101" s="8">
        <f ca="1">спецификация[[#This Row],[Просрочка - сроки (дни)]]+K101</f>
        <v>-1</v>
      </c>
      <c r="M101" s="8">
        <f ca="1">IFERROR(IF(спецификация[[#This Row],[Риск просрочки - сроки (дни)]]&gt;0, (E101*'Справочник условий'!$H$2)*K101,0),"")</f>
        <v>0</v>
      </c>
    </row>
    <row r="102" spans="1:13" x14ac:dyDescent="0.25">
      <c r="A102" s="1" t="s">
        <v>66</v>
      </c>
      <c r="B102" s="1">
        <v>44</v>
      </c>
      <c r="C102" s="1" t="s">
        <v>110</v>
      </c>
      <c r="D102" s="1" t="s">
        <v>13</v>
      </c>
      <c r="E102" s="1">
        <v>1624765.56</v>
      </c>
      <c r="F102" s="1">
        <v>1949718.67</v>
      </c>
      <c r="G102" s="2">
        <v>45517</v>
      </c>
      <c r="H102" s="17">
        <v>45670</v>
      </c>
      <c r="I102" s="7">
        <f ca="1">TODAY()-спецификация[[#This Row],[Дата поставки]]-SUM('Справочник условий'!E:E)</f>
        <v>-1261</v>
      </c>
      <c r="J102" s="8">
        <f ca="1">IFERROR(IF(спецификация[[#This Row],[Просрочка - сроки (дни)]]&gt;0, (E102*'Справочник условий'!$H$2)*'Справочник условий'!H101,0),"")</f>
        <v>0</v>
      </c>
      <c r="K102" s="8">
        <f t="shared" si="1"/>
        <v>1260</v>
      </c>
      <c r="L102" s="8">
        <f ca="1">спецификация[[#This Row],[Просрочка - сроки (дни)]]+K102</f>
        <v>-1</v>
      </c>
      <c r="M102" s="8">
        <f ca="1">IFERROR(IF(спецификация[[#This Row],[Риск просрочки - сроки (дни)]]&gt;0, (E102*'Справочник условий'!$H$2)*K102,0),"")</f>
        <v>0</v>
      </c>
    </row>
    <row r="103" spans="1:13" x14ac:dyDescent="0.25">
      <c r="A103" s="1" t="s">
        <v>66</v>
      </c>
      <c r="B103" s="1">
        <v>45</v>
      </c>
      <c r="C103" s="1" t="s">
        <v>111</v>
      </c>
      <c r="D103" s="1" t="s">
        <v>7</v>
      </c>
      <c r="E103" s="1">
        <v>1230332.22</v>
      </c>
      <c r="F103" s="1">
        <v>1476398.66</v>
      </c>
      <c r="G103" s="2">
        <v>45607</v>
      </c>
      <c r="H103" s="17">
        <v>45760</v>
      </c>
      <c r="I103" s="7">
        <f ca="1">TODAY()-спецификация[[#This Row],[Дата поставки]]-SUM('Справочник условий'!E:E)</f>
        <v>-1351</v>
      </c>
      <c r="J103" s="8">
        <f ca="1">IFERROR(IF(спецификация[[#This Row],[Просрочка - сроки (дни)]]&gt;0, (E103*'Справочник условий'!$H$2)*'Справочник условий'!H102,0),"")</f>
        <v>0</v>
      </c>
      <c r="K103" s="8">
        <f t="shared" si="1"/>
        <v>1260</v>
      </c>
      <c r="L103" s="8">
        <f ca="1">спецификация[[#This Row],[Просрочка - сроки (дни)]]+K103</f>
        <v>-91</v>
      </c>
      <c r="M103" s="8">
        <f ca="1">IFERROR(IF(спецификация[[#This Row],[Риск просрочки - сроки (дни)]]&gt;0, (E103*'Справочник условий'!$H$2)*K103,0),"")</f>
        <v>0</v>
      </c>
    </row>
    <row r="104" spans="1:13" x14ac:dyDescent="0.25">
      <c r="A104" s="1" t="s">
        <v>66</v>
      </c>
      <c r="B104" s="1">
        <v>46</v>
      </c>
      <c r="C104" s="1" t="s">
        <v>112</v>
      </c>
      <c r="D104" s="1" t="s">
        <v>9</v>
      </c>
      <c r="E104" s="1">
        <v>1096875.1399999999</v>
      </c>
      <c r="F104" s="1">
        <v>1316250.17</v>
      </c>
      <c r="G104" s="2">
        <v>45547</v>
      </c>
      <c r="H104" s="17">
        <v>45700</v>
      </c>
      <c r="I104" s="7">
        <f ca="1">TODAY()-спецификация[[#This Row],[Дата поставки]]-SUM('Справочник условий'!E:E)</f>
        <v>-1291</v>
      </c>
      <c r="J104" s="8">
        <f ca="1">IFERROR(IF(спецификация[[#This Row],[Просрочка - сроки (дни)]]&gt;0, (E104*'Справочник условий'!$H$2)*'Справочник условий'!H103,0),"")</f>
        <v>0</v>
      </c>
      <c r="K104" s="8">
        <f t="shared" si="1"/>
        <v>1260</v>
      </c>
      <c r="L104" s="8">
        <f ca="1">спецификация[[#This Row],[Просрочка - сроки (дни)]]+K104</f>
        <v>-31</v>
      </c>
      <c r="M104" s="8">
        <f ca="1">IFERROR(IF(спецификация[[#This Row],[Риск просрочки - сроки (дни)]]&gt;0, (E104*'Справочник условий'!$H$2)*K104,0),"")</f>
        <v>0</v>
      </c>
    </row>
    <row r="105" spans="1:13" x14ac:dyDescent="0.25">
      <c r="A105" s="1" t="s">
        <v>66</v>
      </c>
      <c r="B105" s="1">
        <v>47</v>
      </c>
      <c r="C105" s="1" t="s">
        <v>113</v>
      </c>
      <c r="D105" s="1" t="s">
        <v>7</v>
      </c>
      <c r="E105" s="1">
        <v>1124750.22</v>
      </c>
      <c r="F105" s="1">
        <v>1349700.26</v>
      </c>
      <c r="G105" s="2">
        <v>45577</v>
      </c>
      <c r="H105" s="17">
        <v>45730</v>
      </c>
      <c r="I105" s="7">
        <f ca="1">TODAY()-спецификация[[#This Row],[Дата поставки]]-SUM('Справочник условий'!E:E)</f>
        <v>-1321</v>
      </c>
      <c r="J105" s="8">
        <f ca="1">IFERROR(IF(спецификация[[#This Row],[Просрочка - сроки (дни)]]&gt;0, (E105*'Справочник условий'!$H$2)*'Справочник условий'!H104,0),"")</f>
        <v>0</v>
      </c>
      <c r="K105" s="8">
        <f t="shared" si="1"/>
        <v>1260</v>
      </c>
      <c r="L105" s="8">
        <f ca="1">спецификация[[#This Row],[Просрочка - сроки (дни)]]+K105</f>
        <v>-61</v>
      </c>
      <c r="M105" s="8">
        <f ca="1">IFERROR(IF(спецификация[[#This Row],[Риск просрочки - сроки (дни)]]&gt;0, (E105*'Справочник условий'!$H$2)*K105,0),"")</f>
        <v>0</v>
      </c>
    </row>
    <row r="106" spans="1:13" x14ac:dyDescent="0.25">
      <c r="A106" s="1" t="s">
        <v>66</v>
      </c>
      <c r="B106" s="1">
        <v>48</v>
      </c>
      <c r="C106" s="1" t="s">
        <v>114</v>
      </c>
      <c r="D106" s="1" t="s">
        <v>13</v>
      </c>
      <c r="E106" s="1">
        <v>1551377.18</v>
      </c>
      <c r="F106" s="1">
        <v>1861652.62</v>
      </c>
      <c r="G106" s="2">
        <v>45547</v>
      </c>
      <c r="H106" s="17">
        <v>45700</v>
      </c>
      <c r="I106" s="7">
        <f ca="1">TODAY()-спецификация[[#This Row],[Дата поставки]]-SUM('Справочник условий'!E:E)</f>
        <v>-1291</v>
      </c>
      <c r="J106" s="8">
        <f ca="1">IFERROR(IF(спецификация[[#This Row],[Просрочка - сроки (дни)]]&gt;0, (E106*'Справочник условий'!$H$2)*'Справочник условий'!H105,0),"")</f>
        <v>0</v>
      </c>
      <c r="K106" s="8">
        <f t="shared" si="1"/>
        <v>1260</v>
      </c>
      <c r="L106" s="8">
        <f ca="1">спецификация[[#This Row],[Просрочка - сроки (дни)]]+K106</f>
        <v>-31</v>
      </c>
      <c r="M106" s="8">
        <f ca="1">IFERROR(IF(спецификация[[#This Row],[Риск просрочки - сроки (дни)]]&gt;0, (E106*'Справочник условий'!$H$2)*K106,0),"")</f>
        <v>0</v>
      </c>
    </row>
    <row r="107" spans="1:13" x14ac:dyDescent="0.25">
      <c r="A107" s="1" t="s">
        <v>66</v>
      </c>
      <c r="B107" s="1">
        <v>49</v>
      </c>
      <c r="C107" s="1" t="s">
        <v>115</v>
      </c>
      <c r="D107" s="1" t="s">
        <v>9</v>
      </c>
      <c r="E107" s="1">
        <v>1881796.44</v>
      </c>
      <c r="F107" s="1">
        <v>2258155.73</v>
      </c>
      <c r="G107" s="2">
        <v>45457</v>
      </c>
      <c r="H107" s="17">
        <v>45610</v>
      </c>
      <c r="I107" s="7">
        <f ca="1">TODAY()-спецификация[[#This Row],[Дата поставки]]-SUM('Справочник условий'!E:E)</f>
        <v>-1201</v>
      </c>
      <c r="J107" s="8">
        <f ca="1">IFERROR(IF(спецификация[[#This Row],[Просрочка - сроки (дни)]]&gt;0, (E107*'Справочник условий'!$H$2)*'Справочник условий'!H106,0),"")</f>
        <v>0</v>
      </c>
      <c r="K107" s="8">
        <f t="shared" si="1"/>
        <v>1260</v>
      </c>
      <c r="L107" s="8">
        <f ca="1">спецификация[[#This Row],[Просрочка - сроки (дни)]]+K107</f>
        <v>59</v>
      </c>
      <c r="M107" s="8">
        <f ca="1">IFERROR(IF(спецификация[[#This Row],[Риск просрочки - сроки (дни)]]&gt;0, (E107*'Справочник условий'!$H$2)*K107,0),"")</f>
        <v>1422638.1086399998</v>
      </c>
    </row>
    <row r="108" spans="1:13" x14ac:dyDescent="0.25">
      <c r="A108" s="1" t="s">
        <v>66</v>
      </c>
      <c r="B108" s="1">
        <v>50</v>
      </c>
      <c r="C108" s="1" t="s">
        <v>116</v>
      </c>
      <c r="D108" s="1" t="s">
        <v>7</v>
      </c>
      <c r="E108" s="1">
        <v>1399900.25</v>
      </c>
      <c r="F108" s="1">
        <v>1679880.3</v>
      </c>
      <c r="G108" s="2">
        <v>45607</v>
      </c>
      <c r="H108" s="17">
        <v>45760</v>
      </c>
      <c r="I108" s="7">
        <f ca="1">TODAY()-спецификация[[#This Row],[Дата поставки]]-SUM('Справочник условий'!E:E)</f>
        <v>-1351</v>
      </c>
      <c r="J108" s="8">
        <f ca="1">IFERROR(IF(спецификация[[#This Row],[Просрочка - сроки (дни)]]&gt;0, (E108*'Справочник условий'!$H$2)*'Справочник условий'!H107,0),"")</f>
        <v>0</v>
      </c>
      <c r="K108" s="8">
        <f t="shared" si="1"/>
        <v>1260</v>
      </c>
      <c r="L108" s="8">
        <f ca="1">спецификация[[#This Row],[Просрочка - сроки (дни)]]+K108</f>
        <v>-91</v>
      </c>
      <c r="M108" s="8">
        <f ca="1">IFERROR(IF(спецификация[[#This Row],[Риск просрочки - сроки (дни)]]&gt;0, (E108*'Справочник условий'!$H$2)*K108,0),"")</f>
        <v>0</v>
      </c>
    </row>
    <row r="109" spans="1:13" x14ac:dyDescent="0.25">
      <c r="A109" s="1" t="s">
        <v>66</v>
      </c>
      <c r="B109" s="1">
        <v>51</v>
      </c>
      <c r="C109" s="1" t="s">
        <v>117</v>
      </c>
      <c r="D109" s="1" t="s">
        <v>9</v>
      </c>
      <c r="E109" s="1">
        <v>800382.23</v>
      </c>
      <c r="F109" s="1">
        <v>960458.68</v>
      </c>
      <c r="G109" s="2">
        <v>45577</v>
      </c>
      <c r="H109" s="17">
        <v>45730</v>
      </c>
      <c r="I109" s="7">
        <f ca="1">TODAY()-спецификация[[#This Row],[Дата поставки]]-SUM('Справочник условий'!E:E)</f>
        <v>-1321</v>
      </c>
      <c r="J109" s="8">
        <f ca="1">IFERROR(IF(спецификация[[#This Row],[Просрочка - сроки (дни)]]&gt;0, (E109*'Справочник условий'!$H$2)*'Справочник условий'!H108,0),"")</f>
        <v>0</v>
      </c>
      <c r="K109" s="8">
        <f t="shared" si="1"/>
        <v>1260</v>
      </c>
      <c r="L109" s="8">
        <f ca="1">спецификация[[#This Row],[Просрочка - сроки (дни)]]+K109</f>
        <v>-61</v>
      </c>
      <c r="M109" s="8">
        <f ca="1">IFERROR(IF(спецификация[[#This Row],[Риск просрочки - сроки (дни)]]&gt;0, (E109*'Справочник условий'!$H$2)*K109,0),"")</f>
        <v>0</v>
      </c>
    </row>
    <row r="110" spans="1:13" x14ac:dyDescent="0.25">
      <c r="A110" s="1" t="s">
        <v>66</v>
      </c>
      <c r="B110" s="1">
        <v>52</v>
      </c>
      <c r="C110" s="1" t="s">
        <v>118</v>
      </c>
      <c r="D110" s="1" t="s">
        <v>13</v>
      </c>
      <c r="E110" s="1">
        <v>1861968.77</v>
      </c>
      <c r="F110" s="1">
        <v>2234362.52</v>
      </c>
      <c r="G110" s="2">
        <v>45487</v>
      </c>
      <c r="H110" s="17">
        <v>45640</v>
      </c>
      <c r="I110" s="7">
        <f ca="1">TODAY()-спецификация[[#This Row],[Дата поставки]]-SUM('Справочник условий'!E:E)</f>
        <v>-1231</v>
      </c>
      <c r="J110" s="8">
        <f ca="1">IFERROR(IF(спецификация[[#This Row],[Просрочка - сроки (дни)]]&gt;0, (E110*'Справочник условий'!$H$2)*'Справочник условий'!H109,0),"")</f>
        <v>0</v>
      </c>
      <c r="K110" s="8">
        <f t="shared" si="1"/>
        <v>1260</v>
      </c>
      <c r="L110" s="8">
        <f ca="1">спецификация[[#This Row],[Просрочка - сроки (дни)]]+K110</f>
        <v>29</v>
      </c>
      <c r="M110" s="8">
        <f ca="1">IFERROR(IF(спецификация[[#This Row],[Риск просрочки - сроки (дни)]]&gt;0, (E110*'Справочник условий'!$H$2)*K110,0),"")</f>
        <v>1407648.3901199999</v>
      </c>
    </row>
    <row r="111" spans="1:13" x14ac:dyDescent="0.25">
      <c r="A111" s="1" t="s">
        <v>66</v>
      </c>
      <c r="B111" s="1">
        <v>53</v>
      </c>
      <c r="C111" s="1" t="s">
        <v>119</v>
      </c>
      <c r="D111" s="1" t="s">
        <v>9</v>
      </c>
      <c r="E111" s="1">
        <v>628204.92000000004</v>
      </c>
      <c r="F111" s="1">
        <v>753845.9</v>
      </c>
      <c r="G111" s="2">
        <v>45487</v>
      </c>
      <c r="H111" s="17">
        <v>45640</v>
      </c>
      <c r="I111" s="7">
        <f ca="1">TODAY()-спецификация[[#This Row],[Дата поставки]]-SUM('Справочник условий'!E:E)</f>
        <v>-1231</v>
      </c>
      <c r="J111" s="8">
        <f ca="1">IFERROR(IF(спецификация[[#This Row],[Просрочка - сроки (дни)]]&gt;0, (E111*'Справочник условий'!$H$2)*'Справочник условий'!H110,0),"")</f>
        <v>0</v>
      </c>
      <c r="K111" s="8">
        <f t="shared" si="1"/>
        <v>1260</v>
      </c>
      <c r="L111" s="8">
        <f ca="1">спецификация[[#This Row],[Просрочка - сроки (дни)]]+K111</f>
        <v>29</v>
      </c>
      <c r="M111" s="8">
        <f ca="1">IFERROR(IF(спецификация[[#This Row],[Риск просрочки - сроки (дни)]]&gt;0, (E111*'Справочник условий'!$H$2)*K111,0),"")</f>
        <v>474922.91952</v>
      </c>
    </row>
    <row r="112" spans="1:13" x14ac:dyDescent="0.25">
      <c r="A112" s="1" t="s">
        <v>66</v>
      </c>
      <c r="B112" s="1">
        <v>54</v>
      </c>
      <c r="C112" s="1" t="s">
        <v>120</v>
      </c>
      <c r="D112" s="1" t="s">
        <v>9</v>
      </c>
      <c r="E112" s="1">
        <v>886713.71</v>
      </c>
      <c r="F112" s="1">
        <v>1064056.45</v>
      </c>
      <c r="G112" s="2">
        <v>45607</v>
      </c>
      <c r="H112" s="17">
        <v>45760</v>
      </c>
      <c r="I112" s="7">
        <f ca="1">TODAY()-спецификация[[#This Row],[Дата поставки]]-SUM('Справочник условий'!E:E)</f>
        <v>-1351</v>
      </c>
      <c r="J112" s="8">
        <f ca="1">IFERROR(IF(спецификация[[#This Row],[Просрочка - сроки (дни)]]&gt;0, (E112*'Справочник условий'!$H$2)*'Справочник условий'!H111,0),"")</f>
        <v>0</v>
      </c>
      <c r="K112" s="8">
        <f t="shared" si="1"/>
        <v>1260</v>
      </c>
      <c r="L112" s="8">
        <f ca="1">спецификация[[#This Row],[Просрочка - сроки (дни)]]+K112</f>
        <v>-91</v>
      </c>
      <c r="M112" s="8">
        <f ca="1">IFERROR(IF(спецификация[[#This Row],[Риск просрочки - сроки (дни)]]&gt;0, (E112*'Справочник условий'!$H$2)*K112,0),"")</f>
        <v>0</v>
      </c>
    </row>
    <row r="113" spans="1:13" x14ac:dyDescent="0.25">
      <c r="A113" s="1" t="s">
        <v>66</v>
      </c>
      <c r="B113" s="1">
        <v>55</v>
      </c>
      <c r="C113" s="1" t="s">
        <v>121</v>
      </c>
      <c r="D113" s="1" t="s">
        <v>7</v>
      </c>
      <c r="E113" s="1">
        <v>1569883.29</v>
      </c>
      <c r="F113" s="1">
        <v>1883859.95</v>
      </c>
      <c r="G113" s="2">
        <v>45577</v>
      </c>
      <c r="H113" s="17">
        <v>45730</v>
      </c>
      <c r="I113" s="7">
        <f ca="1">TODAY()-спецификация[[#This Row],[Дата поставки]]-SUM('Справочник условий'!E:E)</f>
        <v>-1321</v>
      </c>
      <c r="J113" s="8">
        <f ca="1">IFERROR(IF(спецификация[[#This Row],[Просрочка - сроки (дни)]]&gt;0, (E113*'Справочник условий'!$H$2)*'Справочник условий'!H112,0),"")</f>
        <v>0</v>
      </c>
      <c r="K113" s="8">
        <f t="shared" si="1"/>
        <v>1260</v>
      </c>
      <c r="L113" s="8">
        <f ca="1">спецификация[[#This Row],[Просрочка - сроки (дни)]]+K113</f>
        <v>-61</v>
      </c>
      <c r="M113" s="8">
        <f ca="1">IFERROR(IF(спецификация[[#This Row],[Риск просрочки - сроки (дни)]]&gt;0, (E113*'Справочник условий'!$H$2)*K113,0),"")</f>
        <v>0</v>
      </c>
    </row>
    <row r="114" spans="1:13" x14ac:dyDescent="0.25">
      <c r="A114" s="1" t="s">
        <v>66</v>
      </c>
      <c r="B114" s="1">
        <v>56</v>
      </c>
      <c r="C114" s="1" t="s">
        <v>122</v>
      </c>
      <c r="D114" s="1" t="s">
        <v>7</v>
      </c>
      <c r="E114" s="1">
        <v>1212797.1000000001</v>
      </c>
      <c r="F114" s="1">
        <v>1455356.52</v>
      </c>
      <c r="G114" s="2">
        <v>45517</v>
      </c>
      <c r="H114" s="17">
        <v>45670</v>
      </c>
      <c r="I114" s="7">
        <f ca="1">TODAY()-спецификация[[#This Row],[Дата поставки]]-SUM('Справочник условий'!E:E)</f>
        <v>-1261</v>
      </c>
      <c r="J114" s="8">
        <f ca="1">IFERROR(IF(спецификация[[#This Row],[Просрочка - сроки (дни)]]&gt;0, (E114*'Справочник условий'!$H$2)*'Справочник условий'!H113,0),"")</f>
        <v>0</v>
      </c>
      <c r="K114" s="8">
        <f t="shared" si="1"/>
        <v>1260</v>
      </c>
      <c r="L114" s="8">
        <f ca="1">спецификация[[#This Row],[Просрочка - сроки (дни)]]+K114</f>
        <v>-1</v>
      </c>
      <c r="M114" s="8">
        <f ca="1">IFERROR(IF(спецификация[[#This Row],[Риск просрочки - сроки (дни)]]&gt;0, (E114*'Справочник условий'!$H$2)*K114,0),"")</f>
        <v>0</v>
      </c>
    </row>
    <row r="115" spans="1:13" x14ac:dyDescent="0.25">
      <c r="A115" s="1" t="s">
        <v>66</v>
      </c>
      <c r="B115" s="1">
        <v>57</v>
      </c>
      <c r="C115" s="1" t="s">
        <v>123</v>
      </c>
      <c r="D115" s="1" t="s">
        <v>9</v>
      </c>
      <c r="E115" s="1">
        <v>1498876.41</v>
      </c>
      <c r="F115" s="1">
        <v>1798651.69</v>
      </c>
      <c r="G115" s="2">
        <v>45607</v>
      </c>
      <c r="H115" s="17">
        <v>45760</v>
      </c>
      <c r="I115" s="7">
        <f ca="1">TODAY()-спецификация[[#This Row],[Дата поставки]]-SUM('Справочник условий'!E:E)</f>
        <v>-1351</v>
      </c>
      <c r="J115" s="8">
        <f ca="1">IFERROR(IF(спецификация[[#This Row],[Просрочка - сроки (дни)]]&gt;0, (E115*'Справочник условий'!$H$2)*'Справочник условий'!H114,0),"")</f>
        <v>0</v>
      </c>
      <c r="K115" s="8">
        <f t="shared" si="1"/>
        <v>1260</v>
      </c>
      <c r="L115" s="8">
        <f ca="1">спецификация[[#This Row],[Просрочка - сроки (дни)]]+K115</f>
        <v>-91</v>
      </c>
      <c r="M115" s="8">
        <f ca="1">IFERROR(IF(спецификация[[#This Row],[Риск просрочки - сроки (дни)]]&gt;0, (E115*'Справочник условий'!$H$2)*K115,0),"")</f>
        <v>0</v>
      </c>
    </row>
  </sheetData>
  <dataValidations count="3">
    <dataValidation type="list" allowBlank="1" showInputMessage="1" showErrorMessage="1" sqref="K116:K1048576">
      <formula1>"180, 360, 540"</formula1>
    </dataValidation>
    <dataValidation type="list" allowBlank="1" showInputMessage="1" showErrorMessage="1" sqref="K2:K115">
      <formula1>"180, 360, 720"</formula1>
    </dataValidation>
    <dataValidation type="list" allowBlank="1" showInputMessage="1" showErrorMessage="1" sqref="Q2">
      <formula1>"180, 360, 720, 1260"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H13" sqref="H13"/>
    </sheetView>
  </sheetViews>
  <sheetFormatPr defaultRowHeight="15" x14ac:dyDescent="0.25"/>
  <cols>
    <col min="1" max="1" width="30.140625" style="13" customWidth="1"/>
    <col min="2" max="2" width="14.42578125" style="11" customWidth="1"/>
    <col min="3" max="3" width="10.140625" style="14" bestFit="1" customWidth="1"/>
    <col min="4" max="4" width="10.140625" style="11" bestFit="1" customWidth="1"/>
    <col min="5" max="5" width="10.140625" style="7" customWidth="1"/>
    <col min="7" max="7" width="30.85546875" customWidth="1"/>
    <col min="10" max="10" width="17" customWidth="1"/>
    <col min="11" max="11" width="19.85546875" customWidth="1"/>
  </cols>
  <sheetData>
    <row r="1" spans="1:11" ht="15.75" thickBot="1" x14ac:dyDescent="0.3">
      <c r="A1" s="13" t="s">
        <v>136</v>
      </c>
      <c r="B1" s="11" t="s">
        <v>140</v>
      </c>
      <c r="C1" s="14" t="s">
        <v>137</v>
      </c>
      <c r="D1" s="11" t="s">
        <v>139</v>
      </c>
      <c r="E1" s="7" t="s">
        <v>148</v>
      </c>
      <c r="G1" t="s">
        <v>134</v>
      </c>
      <c r="H1" t="s">
        <v>135</v>
      </c>
      <c r="J1" s="12" t="s">
        <v>133</v>
      </c>
      <c r="K1" s="12" t="s">
        <v>142</v>
      </c>
    </row>
    <row r="2" spans="1:11" ht="15.75" thickBot="1" x14ac:dyDescent="0.3">
      <c r="A2" s="13" t="s">
        <v>124</v>
      </c>
      <c r="B2" s="11">
        <v>44948</v>
      </c>
      <c r="C2" s="14">
        <f>B2+76</f>
        <v>45024</v>
      </c>
      <c r="D2" s="11">
        <v>45600</v>
      </c>
      <c r="E2" s="7">
        <f>D2-C2</f>
        <v>576</v>
      </c>
      <c r="G2" t="s">
        <v>132</v>
      </c>
      <c r="H2" s="15">
        <v>5.9999999999999995E-4</v>
      </c>
      <c r="J2" s="19">
        <v>44938</v>
      </c>
      <c r="K2" s="20">
        <f>SUM(Поставка!F:F)</f>
        <v>238140000</v>
      </c>
    </row>
    <row r="3" spans="1:11" x14ac:dyDescent="0.25">
      <c r="A3" s="13" t="s">
        <v>143</v>
      </c>
      <c r="B3" s="11">
        <v>44948</v>
      </c>
      <c r="C3" s="14">
        <f>B3+73</f>
        <v>45021</v>
      </c>
      <c r="D3" s="11">
        <v>45597</v>
      </c>
      <c r="E3" s="7">
        <f t="shared" ref="E3:E7" si="0">D3-C3</f>
        <v>576</v>
      </c>
      <c r="G3" t="s">
        <v>145</v>
      </c>
      <c r="H3" s="15">
        <v>0.02</v>
      </c>
    </row>
    <row r="4" spans="1:11" x14ac:dyDescent="0.25">
      <c r="A4" s="13" t="s">
        <v>144</v>
      </c>
      <c r="B4" s="11">
        <v>44958</v>
      </c>
      <c r="C4" s="14">
        <f>B4+180</f>
        <v>45138</v>
      </c>
      <c r="D4" s="11">
        <v>45161</v>
      </c>
      <c r="E4" s="7">
        <f t="shared" si="0"/>
        <v>23</v>
      </c>
    </row>
    <row r="5" spans="1:11" x14ac:dyDescent="0.25">
      <c r="A5" s="13" t="s">
        <v>125</v>
      </c>
      <c r="B5" s="11">
        <v>44948</v>
      </c>
      <c r="C5" s="14">
        <f>B5+180</f>
        <v>45128</v>
      </c>
      <c r="D5" s="11">
        <v>45171</v>
      </c>
      <c r="E5" s="7">
        <f t="shared" si="0"/>
        <v>43</v>
      </c>
    </row>
    <row r="6" spans="1:11" x14ac:dyDescent="0.25">
      <c r="A6" s="13" t="s">
        <v>146</v>
      </c>
      <c r="B6" s="11">
        <v>44916</v>
      </c>
      <c r="C6" s="14">
        <f>B6+220</f>
        <v>45136</v>
      </c>
      <c r="D6" s="11">
        <v>45504</v>
      </c>
      <c r="E6" s="7">
        <f t="shared" si="0"/>
        <v>368</v>
      </c>
    </row>
    <row r="7" spans="1:11" x14ac:dyDescent="0.25">
      <c r="A7" s="13" t="s">
        <v>147</v>
      </c>
      <c r="B7" s="11">
        <v>45351</v>
      </c>
      <c r="C7" s="14">
        <f>B7+20</f>
        <v>45371</v>
      </c>
      <c r="D7" s="11">
        <v>45710</v>
      </c>
      <c r="E7" s="7">
        <f t="shared" si="0"/>
        <v>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610E77-C1DB-40EE-8CD3-3F2D914241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Поставка</vt:lpstr>
      <vt:lpstr>Справочник условий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2026-06-08T18:27:00Z</dcterms:modified>
</cp:coreProperties>
</file>